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home.cc.lut.fi\LUTStudent\x119090\Desktop\"/>
    </mc:Choice>
  </mc:AlternateContent>
  <xr:revisionPtr revIDLastSave="0" documentId="13_ncr:1_{C0CC7DEC-6720-4ADF-856D-B3F7126EF7A0}" xr6:coauthVersionLast="47" xr6:coauthVersionMax="47" xr10:uidLastSave="{00000000-0000-0000-0000-000000000000}"/>
  <bookViews>
    <workbookView xWindow="-120" yWindow="-120" windowWidth="29040" windowHeight="15840" activeTab="1" xr2:uid="{735504FA-FFD9-4968-8082-4A5D4AB663F1}"/>
  </bookViews>
  <sheets>
    <sheet name="Sheet6" sheetId="7" r:id="rId1"/>
    <sheet name="Sheet4" sheetId="5" r:id="rId2"/>
    <sheet name="Covariance" sheetId="6" r:id="rId3"/>
    <sheet name="investment" sheetId="2" r:id="rId4"/>
    <sheet name="scatters" sheetId="1" r:id="rId5"/>
  </sheets>
  <definedNames>
    <definedName name="_xlcn.WorksheetConnection_Book1investment1" hidden="1">investment[]</definedName>
    <definedName name="ExternalData_1" localSheetId="3" hidden="1">investment!$A$1:$C$5556</definedName>
    <definedName name="solver_adj" localSheetId="1" hidden="1">Sheet4!$AA$21:$AA$30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Sheet4!$AA$38</definedName>
    <definedName name="solver_lhs2" localSheetId="1" hidden="1">Sheet4!$AA$38</definedName>
    <definedName name="solver_lhs3" localSheetId="1" hidden="1">Sheet4!$AA$38</definedName>
    <definedName name="solver_lhs4" localSheetId="1" hidden="1">Sheet4!$AA$38</definedName>
    <definedName name="solver_lhs5" localSheetId="1" hidden="1">Sheet4!$AA$38</definedName>
    <definedName name="solver_lhs6" localSheetId="1" hidden="1">Sheet4!$AA$21:$AA$30</definedName>
    <definedName name="solver_lhs7" localSheetId="1" hidden="1">Sheet4!$AA$21:$AA$30</definedName>
    <definedName name="solver_lhs8" localSheetId="1" hidden="1">Sheet4!$AA$38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8</definedName>
    <definedName name="solver_nwt" localSheetId="1" hidden="1">1</definedName>
    <definedName name="solver_opt" localSheetId="1" hidden="1">Sheet4!$AA$38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el4" localSheetId="1" hidden="1">2</definedName>
    <definedName name="solver_rel5" localSheetId="1" hidden="1">2</definedName>
    <definedName name="solver_rel6" localSheetId="1" hidden="1">1</definedName>
    <definedName name="solver_rel7" localSheetId="1" hidden="1">3</definedName>
    <definedName name="solver_rel8" localSheetId="1" hidden="1">2</definedName>
    <definedName name="solver_rhs1" localSheetId="1" hidden="1">Sheet4!$AG$15</definedName>
    <definedName name="solver_rhs2" localSheetId="1" hidden="1">Sheet4!$AG$15</definedName>
    <definedName name="solver_rhs3" localSheetId="1" hidden="1">Sheet4!$AG$15</definedName>
    <definedName name="solver_rhs4" localSheetId="1" hidden="1">Sheet4!$AG$15</definedName>
    <definedName name="solver_rhs5" localSheetId="1" hidden="1">Sheet4!$AG$15</definedName>
    <definedName name="solver_rhs6" localSheetId="1" hidden="1">30%</definedName>
    <definedName name="solver_rhs7" localSheetId="1" hidden="1">5%</definedName>
    <definedName name="solver_rhs8" localSheetId="1" hidden="1">Sheet4!$AG$15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stment" name="investment" connection="WorksheetConnection_Book1!investment"/>
        </x15:modelTables>
        <x15:extLst>
          <ext xmlns:x16="http://schemas.microsoft.com/office/spreadsheetml/2014/11/main" uri="{9835A34E-60A6-4A7C-AAB8-D5F71C897F49}">
            <x16:modelTimeGroupings>
              <x16:modelTimeGrouping tableName="investment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4" i="5" l="1"/>
  <c r="AU13" i="5"/>
  <c r="AU12" i="5"/>
  <c r="AU11" i="5"/>
  <c r="AU10" i="5"/>
  <c r="AU9" i="5"/>
  <c r="AU8" i="5"/>
  <c r="AU7" i="5"/>
  <c r="AU6" i="5"/>
  <c r="AT13" i="5"/>
  <c r="AT12" i="5"/>
  <c r="AT11" i="5"/>
  <c r="AT10" i="5"/>
  <c r="AT9" i="5"/>
  <c r="AT8" i="5"/>
  <c r="AT7" i="5"/>
  <c r="AT6" i="5"/>
  <c r="AS12" i="5"/>
  <c r="AS11" i="5"/>
  <c r="AS10" i="5"/>
  <c r="AS9" i="5"/>
  <c r="AS8" i="5"/>
  <c r="AS7" i="5"/>
  <c r="AS6" i="5"/>
  <c r="AR11" i="5"/>
  <c r="AR10" i="5"/>
  <c r="AR9" i="5"/>
  <c r="AR8" i="5"/>
  <c r="AR7" i="5"/>
  <c r="AR6" i="5"/>
  <c r="AQ10" i="5"/>
  <c r="AQ9" i="5"/>
  <c r="AQ8" i="5"/>
  <c r="AQ7" i="5"/>
  <c r="AQ6" i="5"/>
  <c r="AP9" i="5"/>
  <c r="AP8" i="5"/>
  <c r="AP7" i="5"/>
  <c r="AP6" i="5"/>
  <c r="AO8" i="5"/>
  <c r="AO7" i="5"/>
  <c r="AO6" i="5"/>
  <c r="AN7" i="5"/>
  <c r="AN6" i="5"/>
  <c r="AM6" i="5"/>
  <c r="AU15" i="5"/>
  <c r="AT14" i="5"/>
  <c r="AS13" i="5"/>
  <c r="AR12" i="5"/>
  <c r="AQ11" i="5"/>
  <c r="AP10" i="5"/>
  <c r="AO9" i="5"/>
  <c r="AN8" i="5"/>
  <c r="AM7" i="5"/>
  <c r="AL6" i="5"/>
  <c r="AA35" i="5" a="1"/>
  <c r="AA35" i="5" s="1"/>
  <c r="AA36" i="5" s="1"/>
  <c r="AA31" i="5"/>
  <c r="AA38" i="5"/>
  <c r="AA34" i="5"/>
  <c r="Z31" i="5"/>
  <c r="Z35" i="5" a="1"/>
  <c r="Z35" i="5" s="1"/>
  <c r="Z36" i="5" s="1"/>
  <c r="Z38" i="5"/>
  <c r="AB10" i="5"/>
  <c r="AB9" i="5"/>
  <c r="AB8" i="5"/>
  <c r="Z34" i="5"/>
  <c r="AG15" i="5" s="1"/>
  <c r="Q1" i="5"/>
  <c r="P1" i="5"/>
  <c r="AA9" i="5"/>
  <c r="AA8" i="5"/>
  <c r="AB15" i="5"/>
  <c r="AB14" i="5"/>
  <c r="AB13" i="5"/>
  <c r="AB12" i="5"/>
  <c r="AB11" i="5"/>
  <c r="AB7" i="5"/>
  <c r="AB6" i="5"/>
  <c r="W1" i="5"/>
  <c r="V1" i="5"/>
  <c r="O1" i="5"/>
  <c r="R1" i="5"/>
  <c r="S1" i="5"/>
  <c r="T1" i="5"/>
  <c r="U1" i="5"/>
  <c r="N1" i="5"/>
  <c r="L14" i="6"/>
  <c r="L13" i="6"/>
  <c r="K13" i="6"/>
  <c r="L12" i="6"/>
  <c r="K12" i="6"/>
  <c r="J12" i="6"/>
  <c r="L11" i="6"/>
  <c r="K11" i="6"/>
  <c r="J11" i="6"/>
  <c r="I11" i="6"/>
  <c r="L10" i="6"/>
  <c r="K10" i="6"/>
  <c r="J10" i="6"/>
  <c r="I10" i="6"/>
  <c r="H10" i="6"/>
  <c r="L9" i="6"/>
  <c r="K9" i="6"/>
  <c r="J9" i="6"/>
  <c r="I9" i="6"/>
  <c r="H9" i="6"/>
  <c r="G9" i="6"/>
  <c r="L8" i="6"/>
  <c r="K8" i="6"/>
  <c r="J8" i="6"/>
  <c r="I8" i="6"/>
  <c r="H8" i="6"/>
  <c r="G8" i="6"/>
  <c r="F8" i="6"/>
  <c r="L7" i="6"/>
  <c r="K7" i="6"/>
  <c r="J7" i="6"/>
  <c r="I7" i="6"/>
  <c r="H7" i="6"/>
  <c r="G7" i="6"/>
  <c r="F7" i="6"/>
  <c r="E7" i="6"/>
  <c r="L6" i="6"/>
  <c r="K6" i="6"/>
  <c r="J6" i="6"/>
  <c r="I6" i="6"/>
  <c r="H6" i="6"/>
  <c r="G6" i="6"/>
  <c r="F6" i="6"/>
  <c r="E6" i="6"/>
  <c r="D6" i="6"/>
  <c r="L5" i="6"/>
  <c r="K5" i="6"/>
  <c r="J5" i="6"/>
  <c r="I5" i="6"/>
  <c r="H5" i="6"/>
  <c r="G5" i="6"/>
  <c r="F5" i="6"/>
  <c r="E5" i="6"/>
  <c r="D5" i="6"/>
  <c r="C5" i="6"/>
  <c r="AI25" i="5"/>
  <c r="AI24" i="5"/>
  <c r="AI23" i="5"/>
  <c r="AI22" i="5"/>
  <c r="AJ26" i="5"/>
  <c r="AJ25" i="5"/>
  <c r="AJ24" i="5"/>
  <c r="AJ23" i="5"/>
  <c r="AJ22" i="5"/>
  <c r="AK27" i="5"/>
  <c r="AK26" i="5"/>
  <c r="AK25" i="5"/>
  <c r="AK24" i="5"/>
  <c r="AK23" i="5"/>
  <c r="AK22" i="5"/>
  <c r="AH25" i="5"/>
  <c r="AH24" i="5"/>
  <c r="AH23" i="5"/>
  <c r="AH22" i="5"/>
  <c r="AL28" i="5"/>
  <c r="AL27" i="5"/>
  <c r="AL26" i="5"/>
  <c r="AL25" i="5"/>
  <c r="AL24" i="5"/>
  <c r="AL23" i="5"/>
  <c r="AL22" i="5"/>
  <c r="AM30" i="5"/>
  <c r="AM29" i="5"/>
  <c r="AM28" i="5"/>
  <c r="AM27" i="5"/>
  <c r="AM26" i="5"/>
  <c r="AM25" i="5"/>
  <c r="AM23" i="5"/>
  <c r="AM24" i="5"/>
  <c r="AM22" i="5"/>
  <c r="AN31" i="5"/>
  <c r="AN30" i="5"/>
  <c r="AN29" i="5"/>
  <c r="AN28" i="5"/>
  <c r="AN27" i="5"/>
  <c r="AN26" i="5"/>
  <c r="AN25" i="5"/>
  <c r="AN24" i="5"/>
  <c r="AN23" i="5"/>
  <c r="AN22" i="5"/>
  <c r="AG23" i="5"/>
  <c r="AG22" i="5"/>
  <c r="AF22" i="5"/>
  <c r="AL29" i="5"/>
  <c r="AK28" i="5"/>
  <c r="AJ27" i="5"/>
  <c r="AI26" i="5"/>
  <c r="AG24" i="5"/>
  <c r="AF23" i="5"/>
  <c r="AE22" i="5"/>
  <c r="AA37" i="5" l="1"/>
  <c r="Z37" i="5"/>
  <c r="AA15" i="5" l="1"/>
  <c r="AA14" i="5"/>
  <c r="AA13" i="5"/>
  <c r="AA12" i="5"/>
  <c r="AA11" i="5" l="1"/>
  <c r="AA10" i="5"/>
  <c r="AA7" i="5"/>
  <c r="AA6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O5" i="5"/>
  <c r="N5" i="5"/>
  <c r="P5" i="5"/>
  <c r="Q5" i="5"/>
  <c r="R5" i="5"/>
  <c r="S5" i="5"/>
  <c r="T5" i="5"/>
  <c r="U5" i="5"/>
  <c r="V5" i="5"/>
  <c r="W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A01ED2-0714-4AE2-B274-44280DC1ED14}" keepAlive="1" name="Query - investment" description="Connection to the 'investment' query in the workbook." type="5" refreshedVersion="8" background="1" saveData="1">
    <dbPr connection="Provider=Microsoft.Mashup.OleDb.1;Data Source=$Workbook$;Location=investment;Extended Properties=&quot;&quot;" command="SELECT * FROM [investment]"/>
  </connection>
  <connection id="2" xr16:uid="{FFA3B1CC-9C96-42D6-A5C2-4065BDDD533D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460FB087-8C81-4711-B767-46FEF0946D75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A764920B-6F62-42C8-AFD6-639BBB7E7094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949B2D1C-3557-4E3B-959B-EC65CE08CEE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6" xr16:uid="{A4B3042C-65B1-4C2A-AFF5-3429025E1D9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23EE933A-9EB6-4502-9E0D-E1243C07018B}" name="WorksheetConnection_Book1!investment" type="102" refreshedVersion="8" minRefreshableVersion="5">
    <extLst>
      <ext xmlns:x15="http://schemas.microsoft.com/office/spreadsheetml/2010/11/main" uri="{DE250136-89BD-433C-8126-D09CA5730AF9}">
        <x15:connection id="investment" autoDelete="1">
          <x15:rangePr sourceName="_xlcn.WorksheetConnection_Book1investmen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<sst xmlns="http://schemas.openxmlformats.org/spreadsheetml/2006/main" count="5675" uniqueCount="26">
  <si>
    <t>Name</t>
  </si>
  <si>
    <t>Date</t>
  </si>
  <si>
    <t>Adj Close</t>
  </si>
  <si>
    <t>AKTIA.HE.csv</t>
  </si>
  <si>
    <t>ASPO.HE.csv</t>
  </si>
  <si>
    <t>FIA1S.HE.csv</t>
  </si>
  <si>
    <t>FORTUM.HE.csv</t>
  </si>
  <si>
    <t>KESKOA.HE.csv</t>
  </si>
  <si>
    <t>METSO.HE.csv</t>
  </si>
  <si>
    <t>NESTE.HE.csv</t>
  </si>
  <si>
    <t>NOKIA.HE.csv</t>
  </si>
  <si>
    <t>UPM.HE.csv</t>
  </si>
  <si>
    <t>VALMT.HE.csv</t>
  </si>
  <si>
    <t>^OMXH25.csv</t>
  </si>
  <si>
    <t>Sum of Adj Close</t>
  </si>
  <si>
    <t>Returns</t>
  </si>
  <si>
    <t>Beta</t>
  </si>
  <si>
    <t>return</t>
  </si>
  <si>
    <t>Portfolio</t>
  </si>
  <si>
    <t>Expected return</t>
  </si>
  <si>
    <t>Variance</t>
  </si>
  <si>
    <t>st deviation</t>
  </si>
  <si>
    <t>Sharpe ratio</t>
  </si>
  <si>
    <t>Max return</t>
  </si>
  <si>
    <t>Min Beta</t>
  </si>
  <si>
    <t>budget for minimizing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</si>
</sst>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0\ 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0" xfId="0" pivotButton="1"/>
    <xf numFmtId="9" fontId="0" fillId="0" borderId="0" xfId="1" applyFont="1"/>
    <xf numFmtId="164" fontId="0" fillId="0" borderId="0" xfId="1" applyNumberFormat="1" applyFont="1"/>
    <xf numFmtId="0" fontId="3" fillId="2" borderId="3" xfId="0" applyFont="1" applyFill="1" applyBorder="1"/>
    <xf numFmtId="0" fontId="2" fillId="2" borderId="1" xfId="0" applyFont="1" applyFill="1" applyBorder="1"/>
    <xf numFmtId="0" fontId="2" fillId="2" borderId="2" xfId="0" applyFont="1" applyFill="1" applyBorder="1"/>
    <xf numFmtId="0" fontId="0" fillId="0" borderId="4" xfId="0" applyBorder="1"/>
    <xf numFmtId="0" fontId="4" fillId="0" borderId="5" xfId="0" applyFont="1" applyBorder="1" applyAlignment="1">
      <alignment horizontal="center"/>
    </xf>
    <xf numFmtId="9" fontId="0" fillId="0" borderId="0" xfId="0" applyNumberFormat="1"/>
    <xf numFmtId="0" fontId="2" fillId="2" borderId="0" xfId="0" applyFont="1" applyFill="1"/>
    <xf numFmtId="10" fontId="0" fillId="0" borderId="0" xfId="1" applyNumberFormat="1" applyFont="1"/>
    <xf numFmtId="165" fontId="0" fillId="0" borderId="0" xfId="1" applyNumberFormat="1" applyFont="1"/>
    <xf numFmtId="2" fontId="0" fillId="0" borderId="0" xfId="1" applyNumberFormat="1" applyFont="1"/>
    <xf numFmtId="2" fontId="0" fillId="0" borderId="0" xfId="0" applyNumberFormat="1"/>
    <xf numFmtId="0" fontId="0" fillId="0" borderId="0" xfId="0" applyFill="1" applyBorder="1" applyAlignment="1"/>
    <xf numFmtId="0" fontId="0" fillId="0" borderId="4" xfId="0" applyFill="1" applyBorder="1" applyAlignment="1"/>
    <xf numFmtId="0" fontId="4" fillId="0" borderId="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numFmt numFmtId="19" formatCode="d/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\ 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Sheet4!$N$4</c:f>
              <c:strCache>
                <c:ptCount val="1"/>
                <c:pt idx="0">
                  <c:v>AKTIA.HE.csv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8453943257092864"/>
                  <c:y val="-0.2965164771070282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Sheet4!$N$5:$N$511</c:f>
              <c:numCache>
                <c:formatCode>0.0\ %</c:formatCode>
                <c:ptCount val="507"/>
                <c:pt idx="0">
                  <c:v>2.9772357516118619E-2</c:v>
                </c:pt>
                <c:pt idx="1">
                  <c:v>-2.7257254620115079E-2</c:v>
                </c:pt>
                <c:pt idx="2">
                  <c:v>5.1971316061290684E-2</c:v>
                </c:pt>
                <c:pt idx="3">
                  <c:v>7.1017271422274542E-2</c:v>
                </c:pt>
                <c:pt idx="4">
                  <c:v>1.9569509458090328E-2</c:v>
                </c:pt>
                <c:pt idx="5">
                  <c:v>3.9291936256349302E-3</c:v>
                </c:pt>
                <c:pt idx="6">
                  <c:v>7.9208509439370189E-3</c:v>
                </c:pt>
                <c:pt idx="7">
                  <c:v>9.9999635738792225E-3</c:v>
                </c:pt>
                <c:pt idx="8">
                  <c:v>4.1666628339520839E-2</c:v>
                </c:pt>
                <c:pt idx="9">
                  <c:v>-4.3824694186937907E-2</c:v>
                </c:pt>
                <c:pt idx="10">
                  <c:v>-1.5686281724325513E-2</c:v>
                </c:pt>
                <c:pt idx="11">
                  <c:v>4.0816404685430907E-2</c:v>
                </c:pt>
                <c:pt idx="12">
                  <c:v>-2.5845010692587711E-2</c:v>
                </c:pt>
                <c:pt idx="13">
                  <c:v>3.6045411983049558E-2</c:v>
                </c:pt>
                <c:pt idx="14">
                  <c:v>2.7513317991959552E-2</c:v>
                </c:pt>
                <c:pt idx="15">
                  <c:v>2.2727264582187212E-2</c:v>
                </c:pt>
                <c:pt idx="16">
                  <c:v>-6.4517790699483157E-3</c:v>
                </c:pt>
                <c:pt idx="17">
                  <c:v>-3.426787956398214E-2</c:v>
                </c:pt>
                <c:pt idx="18">
                  <c:v>-3.1055559948498512E-3</c:v>
                </c:pt>
                <c:pt idx="19">
                  <c:v>-3.5928188568900565E-2</c:v>
                </c:pt>
                <c:pt idx="20">
                  <c:v>-3.8387682788715738E-2</c:v>
                </c:pt>
                <c:pt idx="21">
                  <c:v>9.6898870347461585E-3</c:v>
                </c:pt>
                <c:pt idx="22">
                  <c:v>-4.089218758815949E-2</c:v>
                </c:pt>
                <c:pt idx="23">
                  <c:v>3.7313709467494682E-3</c:v>
                </c:pt>
                <c:pt idx="24">
                  <c:v>-1.8622111730409729E-3</c:v>
                </c:pt>
                <c:pt idx="25">
                  <c:v>-1.1049704102558233E-2</c:v>
                </c:pt>
                <c:pt idx="26">
                  <c:v>1.1173164261537583E-2</c:v>
                </c:pt>
                <c:pt idx="27">
                  <c:v>1.1299519588006346E-2</c:v>
                </c:pt>
                <c:pt idx="28">
                  <c:v>5.6817558210140451E-3</c:v>
                </c:pt>
                <c:pt idx="29">
                  <c:v>-7.5187494112605169E-3</c:v>
                </c:pt>
                <c:pt idx="30">
                  <c:v>1.8832532646677613E-3</c:v>
                </c:pt>
                <c:pt idx="31">
                  <c:v>-2.5688063360595037E-2</c:v>
                </c:pt>
                <c:pt idx="32">
                  <c:v>-5.474493354810761E-3</c:v>
                </c:pt>
                <c:pt idx="33">
                  <c:v>5.5046284064426132E-3</c:v>
                </c:pt>
                <c:pt idx="34">
                  <c:v>-9.0909765973705703E-3</c:v>
                </c:pt>
                <c:pt idx="35">
                  <c:v>-1.4336925007470191E-2</c:v>
                </c:pt>
                <c:pt idx="36">
                  <c:v>5.4054457203034367E-3</c:v>
                </c:pt>
                <c:pt idx="37">
                  <c:v>5.434722835734318E-3</c:v>
                </c:pt>
                <c:pt idx="38">
                  <c:v>4.1749498426483012E-2</c:v>
                </c:pt>
                <c:pt idx="39">
                  <c:v>-1.3725454946095783E-2</c:v>
                </c:pt>
                <c:pt idx="40">
                  <c:v>2.4096429905263728E-2</c:v>
                </c:pt>
                <c:pt idx="41">
                  <c:v>-4.0000943047774351E-3</c:v>
                </c:pt>
                <c:pt idx="42">
                  <c:v>1.6260227532651994E-2</c:v>
                </c:pt>
                <c:pt idx="43">
                  <c:v>-7.0635017306657222E-3</c:v>
                </c:pt>
                <c:pt idx="44">
                  <c:v>-2.6522679466260857E-2</c:v>
                </c:pt>
                <c:pt idx="45">
                  <c:v>3.944659240570747E-3</c:v>
                </c:pt>
                <c:pt idx="46">
                  <c:v>0</c:v>
                </c:pt>
                <c:pt idx="47">
                  <c:v>1.1976121168567833E-2</c:v>
                </c:pt>
                <c:pt idx="48">
                  <c:v>3.1925930546182091E-2</c:v>
                </c:pt>
                <c:pt idx="49">
                  <c:v>1.7819716400268026E-2</c:v>
                </c:pt>
                <c:pt idx="50">
                  <c:v>-6.2500927766908632E-3</c:v>
                </c:pt>
                <c:pt idx="51">
                  <c:v>-6.2111639546177377E-3</c:v>
                </c:pt>
                <c:pt idx="52">
                  <c:v>-1.0340693505875853E-3</c:v>
                </c:pt>
                <c:pt idx="53">
                  <c:v>-2.4217901478932546E-2</c:v>
                </c:pt>
                <c:pt idx="54">
                  <c:v>2.694304793962754E-2</c:v>
                </c:pt>
                <c:pt idx="55">
                  <c:v>1.3655261013340469E-2</c:v>
                </c:pt>
                <c:pt idx="56">
                  <c:v>-6.2629228840159756E-3</c:v>
                </c:pt>
                <c:pt idx="57">
                  <c:v>1.2684957113143991E-2</c:v>
                </c:pt>
                <c:pt idx="58">
                  <c:v>4.7618981311129849E-2</c:v>
                </c:pt>
                <c:pt idx="59">
                  <c:v>-2.2098234676860562E-3</c:v>
                </c:pt>
                <c:pt idx="60">
                  <c:v>2.2147176026185988E-3</c:v>
                </c:pt>
                <c:pt idx="61">
                  <c:v>-2.5890011900283505E-2</c:v>
                </c:pt>
                <c:pt idx="62">
                  <c:v>-2.421040974822497E-2</c:v>
                </c:pt>
                <c:pt idx="63">
                  <c:v>-1.6563212350086176E-2</c:v>
                </c:pt>
                <c:pt idx="64">
                  <c:v>-1.0245875239412228E-2</c:v>
                </c:pt>
                <c:pt idx="65">
                  <c:v>-4.0816221791162288E-3</c:v>
                </c:pt>
                <c:pt idx="66">
                  <c:v>1.5544166349964694E-2</c:v>
                </c:pt>
                <c:pt idx="67">
                  <c:v>1.0471067468679873E-2</c:v>
                </c:pt>
                <c:pt idx="68">
                  <c:v>-1.1387188152352068E-2</c:v>
                </c:pt>
                <c:pt idx="69">
                  <c:v>-1.3278769060837359E-2</c:v>
                </c:pt>
                <c:pt idx="70">
                  <c:v>9.2783814748662596E-3</c:v>
                </c:pt>
                <c:pt idx="71">
                  <c:v>-1.5228546274551835E-2</c:v>
                </c:pt>
                <c:pt idx="72">
                  <c:v>1.0163108088019346E-3</c:v>
                </c:pt>
                <c:pt idx="73">
                  <c:v>-1.3039136326689404E-2</c:v>
                </c:pt>
                <c:pt idx="74">
                  <c:v>3.6382608619880186E-2</c:v>
                </c:pt>
                <c:pt idx="75">
                  <c:v>-1.5353242333996486E-2</c:v>
                </c:pt>
                <c:pt idx="76">
                  <c:v>1.1387188152351957E-2</c:v>
                </c:pt>
                <c:pt idx="79">
                  <c:v>-2.1095889805310408E-3</c:v>
                </c:pt>
                <c:pt idx="80">
                  <c:v>-2.0661319842582904E-2</c:v>
                </c:pt>
                <c:pt idx="81">
                  <c:v>2.3255865471799808E-2</c:v>
                </c:pt>
                <c:pt idx="82">
                  <c:v>2.1598215926486253E-2</c:v>
                </c:pt>
                <c:pt idx="83">
                  <c:v>-3.2292142034894278E-3</c:v>
                </c:pt>
                <c:pt idx="84">
                  <c:v>8.6861884052331639E-3</c:v>
                </c:pt>
                <c:pt idx="85">
                  <c:v>6.5573601532238346E-3</c:v>
                </c:pt>
                <c:pt idx="86">
                  <c:v>-1.2945062467446089E-2</c:v>
                </c:pt>
                <c:pt idx="87">
                  <c:v>-1.9047460645353009E-2</c:v>
                </c:pt>
                <c:pt idx="88">
                  <c:v>2.2727272727272707E-2</c:v>
                </c:pt>
                <c:pt idx="89">
                  <c:v>9.8359829713163816E-3</c:v>
                </c:pt>
                <c:pt idx="90">
                  <c:v>8.8203802783184404E-3</c:v>
                </c:pt>
                <c:pt idx="91">
                  <c:v>-1.9459523140638035E-2</c:v>
                </c:pt>
                <c:pt idx="92">
                  <c:v>4.343094202616582E-3</c:v>
                </c:pt>
                <c:pt idx="93">
                  <c:v>9.8684535554673936E-3</c:v>
                </c:pt>
                <c:pt idx="94">
                  <c:v>-2.1881782885525558E-3</c:v>
                </c:pt>
                <c:pt idx="95">
                  <c:v>7.717789420857768E-3</c:v>
                </c:pt>
                <c:pt idx="96">
                  <c:v>1.3407787479742916E-2</c:v>
                </c:pt>
                <c:pt idx="97">
                  <c:v>4.489326471667443E-3</c:v>
                </c:pt>
                <c:pt idx="98">
                  <c:v>4.5095714099741002E-3</c:v>
                </c:pt>
                <c:pt idx="99">
                  <c:v>-1.1148244018689968E-2</c:v>
                </c:pt>
                <c:pt idx="100">
                  <c:v>-6.6446169632793373E-3</c:v>
                </c:pt>
                <c:pt idx="101">
                  <c:v>2.14932158877712E-2</c:v>
                </c:pt>
                <c:pt idx="102">
                  <c:v>0</c:v>
                </c:pt>
                <c:pt idx="103">
                  <c:v>-6.7414386319517572E-3</c:v>
                </c:pt>
                <c:pt idx="104">
                  <c:v>-2.242264141723127E-3</c:v>
                </c:pt>
                <c:pt idx="105">
                  <c:v>2.1764158561679681E-2</c:v>
                </c:pt>
                <c:pt idx="106">
                  <c:v>-1.6891909033636687E-2</c:v>
                </c:pt>
                <c:pt idx="107">
                  <c:v>-4.1036836573688062E-2</c:v>
                </c:pt>
                <c:pt idx="108">
                  <c:v>9.8146447681812798E-3</c:v>
                </c:pt>
                <c:pt idx="109">
                  <c:v>-1.3978514734642955E-2</c:v>
                </c:pt>
                <c:pt idx="110">
                  <c:v>-4.2825324886514027E-3</c:v>
                </c:pt>
                <c:pt idx="111">
                  <c:v>-9.5441502369454367E-3</c:v>
                </c:pt>
                <c:pt idx="112">
                  <c:v>0</c:v>
                </c:pt>
                <c:pt idx="113">
                  <c:v>6.4033983268032557E-3</c:v>
                </c:pt>
                <c:pt idx="114">
                  <c:v>-4.2506750214020839E-3</c:v>
                </c:pt>
                <c:pt idx="115">
                  <c:v>4.2688203896030785E-3</c:v>
                </c:pt>
                <c:pt idx="116">
                  <c:v>-1.6788935608200384E-2</c:v>
                </c:pt>
                <c:pt idx="117">
                  <c:v>0</c:v>
                </c:pt>
                <c:pt idx="118">
                  <c:v>-1.3457684608329856E-2</c:v>
                </c:pt>
                <c:pt idx="119">
                  <c:v>-1.8292636176490684E-2</c:v>
                </c:pt>
                <c:pt idx="120">
                  <c:v>-6.0605906654772612E-3</c:v>
                </c:pt>
                <c:pt idx="121">
                  <c:v>-4.2553282046371099E-2</c:v>
                </c:pt>
                <c:pt idx="122">
                  <c:v>-1.9303959071479415E-3</c:v>
                </c:pt>
                <c:pt idx="123">
                  <c:v>0</c:v>
                </c:pt>
                <c:pt idx="124">
                  <c:v>-5.7581429136861484E-3</c:v>
                </c:pt>
                <c:pt idx="125">
                  <c:v>-7.6190286107756799E-3</c:v>
                </c:pt>
                <c:pt idx="126">
                  <c:v>1.9417426344097599E-2</c:v>
                </c:pt>
                <c:pt idx="127">
                  <c:v>-1.9379795768408314E-3</c:v>
                </c:pt>
                <c:pt idx="128">
                  <c:v>-1.1494224032485123E-2</c:v>
                </c:pt>
                <c:pt idx="129">
                  <c:v>1.1627877461044545E-2</c:v>
                </c:pt>
                <c:pt idx="130">
                  <c:v>1.1764675668082258E-2</c:v>
                </c:pt>
                <c:pt idx="131">
                  <c:v>3.937101262141196E-3</c:v>
                </c:pt>
                <c:pt idx="132">
                  <c:v>-1.3592300172027283E-2</c:v>
                </c:pt>
                <c:pt idx="133">
                  <c:v>1.5778946971391816E-2</c:v>
                </c:pt>
                <c:pt idx="134">
                  <c:v>-1.9682927986370835E-3</c:v>
                </c:pt>
                <c:pt idx="135">
                  <c:v>3.952455398073873E-3</c:v>
                </c:pt>
                <c:pt idx="136">
                  <c:v>1.7085435708623864E-2</c:v>
                </c:pt>
                <c:pt idx="137">
                  <c:v>1.0060863798526665E-3</c:v>
                </c:pt>
                <c:pt idx="138">
                  <c:v>-3.3073849052395854E-2</c:v>
                </c:pt>
                <c:pt idx="139">
                  <c:v>5.220042333653363E-2</c:v>
                </c:pt>
                <c:pt idx="140">
                  <c:v>-1.2133436654332197E-2</c:v>
                </c:pt>
                <c:pt idx="141">
                  <c:v>1.8537651015532841E-2</c:v>
                </c:pt>
                <c:pt idx="142">
                  <c:v>-5.1229912995679472E-3</c:v>
                </c:pt>
                <c:pt idx="143">
                  <c:v>-1.4141378219447276E-2</c:v>
                </c:pt>
                <c:pt idx="144">
                  <c:v>-1.3944188180424755E-2</c:v>
                </c:pt>
                <c:pt idx="145">
                  <c:v>-1.1810994387503659E-2</c:v>
                </c:pt>
                <c:pt idx="146">
                  <c:v>-1.3592300172027283E-2</c:v>
                </c:pt>
                <c:pt idx="147">
                  <c:v>1.1787788920330611E-2</c:v>
                </c:pt>
                <c:pt idx="148">
                  <c:v>7.9207715355182895E-3</c:v>
                </c:pt>
                <c:pt idx="149">
                  <c:v>-1.7509582863355133E-2</c:v>
                </c:pt>
                <c:pt idx="150">
                  <c:v>7.8430143835339639E-3</c:v>
                </c:pt>
                <c:pt idx="151">
                  <c:v>1.9999947608456914E-2</c:v>
                </c:pt>
                <c:pt idx="152">
                  <c:v>3.009071882461356E-3</c:v>
                </c:pt>
                <c:pt idx="153">
                  <c:v>6.0545811044454556E-3</c:v>
                </c:pt>
                <c:pt idx="154">
                  <c:v>-4.0201954399451401E-3</c:v>
                </c:pt>
                <c:pt idx="155">
                  <c:v>1.3238416772125339E-2</c:v>
                </c:pt>
                <c:pt idx="156">
                  <c:v>-1.2072509480287263E-2</c:v>
                </c:pt>
                <c:pt idx="157">
                  <c:v>8.1135695699694477E-3</c:v>
                </c:pt>
                <c:pt idx="158">
                  <c:v>-2.0242863454691395E-3</c:v>
                </c:pt>
                <c:pt idx="159">
                  <c:v>1.9607847377854482E-2</c:v>
                </c:pt>
                <c:pt idx="160">
                  <c:v>2.0682470601134373E-3</c:v>
                </c:pt>
                <c:pt idx="161">
                  <c:v>1.3626854874973171E-2</c:v>
                </c:pt>
                <c:pt idx="162">
                  <c:v>-4.7904275526393869E-2</c:v>
                </c:pt>
                <c:pt idx="163">
                  <c:v>4.0081109256115965E-3</c:v>
                </c:pt>
                <c:pt idx="164">
                  <c:v>2.6748901987493801E-2</c:v>
                </c:pt>
                <c:pt idx="165">
                  <c:v>8.298733537696501E-3</c:v>
                </c:pt>
                <c:pt idx="166">
                  <c:v>1.3669952625037007E-2</c:v>
                </c:pt>
                <c:pt idx="167">
                  <c:v>-6.2696858357677021E-3</c:v>
                </c:pt>
                <c:pt idx="168">
                  <c:v>-1.3401974545700468E-2</c:v>
                </c:pt>
                <c:pt idx="169">
                  <c:v>-6.1476325033710255E-3</c:v>
                </c:pt>
                <c:pt idx="170">
                  <c:v>-8.1300605228847855E-3</c:v>
                </c:pt>
                <c:pt idx="171">
                  <c:v>-4.048572690937946E-3</c:v>
                </c:pt>
                <c:pt idx="172">
                  <c:v>-1.2000073348160112E-2</c:v>
                </c:pt>
                <c:pt idx="173">
                  <c:v>-1.9960027657713875E-3</c:v>
                </c:pt>
                <c:pt idx="174">
                  <c:v>7.0352103828563717E-3</c:v>
                </c:pt>
                <c:pt idx="175">
                  <c:v>0</c:v>
                </c:pt>
                <c:pt idx="176">
                  <c:v>7.0850552370227415E-3</c:v>
                </c:pt>
                <c:pt idx="177">
                  <c:v>-1.0020014831322865E-2</c:v>
                </c:pt>
                <c:pt idx="178">
                  <c:v>3.0150149429113426E-3</c:v>
                </c:pt>
                <c:pt idx="179">
                  <c:v>-1.8737777245021459E-2</c:v>
                </c:pt>
                <c:pt idx="180">
                  <c:v>1.1976121168567833E-2</c:v>
                </c:pt>
                <c:pt idx="181">
                  <c:v>-3.9761327874613395E-3</c:v>
                </c:pt>
                <c:pt idx="182">
                  <c:v>5.9999842825368965E-3</c:v>
                </c:pt>
                <c:pt idx="183">
                  <c:v>1.8330107322652944E-2</c:v>
                </c:pt>
                <c:pt idx="184">
                  <c:v>1.0192051054678242E-3</c:v>
                </c:pt>
                <c:pt idx="185">
                  <c:v>-8.088957769554872E-3</c:v>
                </c:pt>
                <c:pt idx="186">
                  <c:v>1.0214585935518494E-2</c:v>
                </c:pt>
                <c:pt idx="187">
                  <c:v>2.0469702780687715E-3</c:v>
                </c:pt>
                <c:pt idx="188">
                  <c:v>2.0513843405263188E-3</c:v>
                </c:pt>
                <c:pt idx="189">
                  <c:v>-2.0471847777311369E-3</c:v>
                </c:pt>
                <c:pt idx="190">
                  <c:v>-5.0914771429853012E-3</c:v>
                </c:pt>
                <c:pt idx="191">
                  <c:v>-1.9960236805592335E-2</c:v>
                </c:pt>
                <c:pt idx="192">
                  <c:v>8.0483747920545579E-3</c:v>
                </c:pt>
                <c:pt idx="193">
                  <c:v>1.119015145579727E-2</c:v>
                </c:pt>
                <c:pt idx="194">
                  <c:v>4.0858985926528479E-3</c:v>
                </c:pt>
                <c:pt idx="195">
                  <c:v>6.1664797693778972E-3</c:v>
                </c:pt>
                <c:pt idx="196">
                  <c:v>5.1652217136537448E-3</c:v>
                </c:pt>
                <c:pt idx="197">
                  <c:v>-1.022492258318819E-2</c:v>
                </c:pt>
                <c:pt idx="198">
                  <c:v>-6.0975453921635614E-3</c:v>
                </c:pt>
                <c:pt idx="199">
                  <c:v>-1.0060336720582042E-2</c:v>
                </c:pt>
                <c:pt idx="200">
                  <c:v>-1.5841646816669219E-2</c:v>
                </c:pt>
                <c:pt idx="201">
                  <c:v>1.507539064347041E-2</c:v>
                </c:pt>
                <c:pt idx="202">
                  <c:v>-1.2896741245621679E-2</c:v>
                </c:pt>
                <c:pt idx="203">
                  <c:v>0</c:v>
                </c:pt>
                <c:pt idx="204">
                  <c:v>1.9879622355920556E-3</c:v>
                </c:pt>
                <c:pt idx="205">
                  <c:v>1.105530051316328E-2</c:v>
                </c:pt>
                <c:pt idx="206">
                  <c:v>1.015225780426543E-2</c:v>
                </c:pt>
                <c:pt idx="209">
                  <c:v>4.1364941202273187E-3</c:v>
                </c:pt>
                <c:pt idx="210">
                  <c:v>-2.2244739814797798E-2</c:v>
                </c:pt>
                <c:pt idx="211">
                  <c:v>5.0813410702441608E-3</c:v>
                </c:pt>
                <c:pt idx="212">
                  <c:v>-8.0644956848799909E-3</c:v>
                </c:pt>
                <c:pt idx="213">
                  <c:v>-2.0120673441162973E-3</c:v>
                </c:pt>
                <c:pt idx="214">
                  <c:v>1.3251695809039621E-2</c:v>
                </c:pt>
                <c:pt idx="215">
                  <c:v>-7.0849491812602361E-3</c:v>
                </c:pt>
                <c:pt idx="216">
                  <c:v>1.3333353394370473E-2</c:v>
                </c:pt>
                <c:pt idx="217">
                  <c:v>-1.2158024378897458E-2</c:v>
                </c:pt>
                <c:pt idx="218">
                  <c:v>-1.888678697764945E-2</c:v>
                </c:pt>
                <c:pt idx="219">
                  <c:v>5.9999842825368965E-3</c:v>
                </c:pt>
                <c:pt idx="220">
                  <c:v>0</c:v>
                </c:pt>
                <c:pt idx="221">
                  <c:v>-1.9960027657713875E-3</c:v>
                </c:pt>
                <c:pt idx="222">
                  <c:v>-3.9761327874613395E-3</c:v>
                </c:pt>
                <c:pt idx="223">
                  <c:v>1.9921312485531306E-3</c:v>
                </c:pt>
                <c:pt idx="224">
                  <c:v>-1.7612581845129816E-2</c:v>
                </c:pt>
                <c:pt idx="225">
                  <c:v>-7.766970537638973E-3</c:v>
                </c:pt>
                <c:pt idx="226">
                  <c:v>-1.1516285827372297E-2</c:v>
                </c:pt>
                <c:pt idx="227">
                  <c:v>-7.6190286107756799E-3</c:v>
                </c:pt>
                <c:pt idx="228">
                  <c:v>0</c:v>
                </c:pt>
                <c:pt idx="229">
                  <c:v>-1.315795952654597E-2</c:v>
                </c:pt>
                <c:pt idx="230">
                  <c:v>-3.7453087981300648E-3</c:v>
                </c:pt>
                <c:pt idx="231">
                  <c:v>0</c:v>
                </c:pt>
                <c:pt idx="232">
                  <c:v>-3.7314311815103141E-3</c:v>
                </c:pt>
                <c:pt idx="233">
                  <c:v>-1.8620951057808366E-3</c:v>
                </c:pt>
                <c:pt idx="234">
                  <c:v>9.3984721758544332E-3</c:v>
                </c:pt>
                <c:pt idx="235">
                  <c:v>1.720836818172411E-2</c:v>
                </c:pt>
                <c:pt idx="236">
                  <c:v>-1.6917249916538091E-2</c:v>
                </c:pt>
                <c:pt idx="237">
                  <c:v>-3.7453087981300648E-3</c:v>
                </c:pt>
                <c:pt idx="238">
                  <c:v>-7.4349254131336195E-3</c:v>
                </c:pt>
                <c:pt idx="239">
                  <c:v>-1.2844004594690817E-2</c:v>
                </c:pt>
                <c:pt idx="240">
                  <c:v>-1.8315930416736848E-3</c:v>
                </c:pt>
                <c:pt idx="241">
                  <c:v>2.247195090029086E-2</c:v>
                </c:pt>
                <c:pt idx="242">
                  <c:v>-9.2764144041180829E-3</c:v>
                </c:pt>
                <c:pt idx="243">
                  <c:v>-5.5351375679169035E-3</c:v>
                </c:pt>
                <c:pt idx="244">
                  <c:v>-5.5044772664415431E-3</c:v>
                </c:pt>
                <c:pt idx="245">
                  <c:v>1.8382306911619573E-3</c:v>
                </c:pt>
                <c:pt idx="246">
                  <c:v>-1.0909158108825201E-2</c:v>
                </c:pt>
                <c:pt idx="247">
                  <c:v>-5.4250351416499365E-3</c:v>
                </c:pt>
                <c:pt idx="248">
                  <c:v>9.1242561212547812E-3</c:v>
                </c:pt>
                <c:pt idx="249">
                  <c:v>-1.0830298280043893E-2</c:v>
                </c:pt>
                <c:pt idx="250">
                  <c:v>2.5925760989586877E-2</c:v>
                </c:pt>
                <c:pt idx="251">
                  <c:v>-9.1741928649246018E-3</c:v>
                </c:pt>
                <c:pt idx="252">
                  <c:v>7.3936967253731556E-3</c:v>
                </c:pt>
                <c:pt idx="253">
                  <c:v>-5.5146920734860938E-3</c:v>
                </c:pt>
                <c:pt idx="254">
                  <c:v>-1.8348577992414183E-3</c:v>
                </c:pt>
                <c:pt idx="255">
                  <c:v>3.6832320124520201E-3</c:v>
                </c:pt>
                <c:pt idx="256">
                  <c:v>-3.6697155984830587E-3</c:v>
                </c:pt>
                <c:pt idx="257">
                  <c:v>0</c:v>
                </c:pt>
                <c:pt idx="258">
                  <c:v>6.4453062444481013E-2</c:v>
                </c:pt>
                <c:pt idx="259">
                  <c:v>-1.3487441877180095E-2</c:v>
                </c:pt>
                <c:pt idx="260">
                  <c:v>-1.1428542916163464E-2</c:v>
                </c:pt>
                <c:pt idx="261">
                  <c:v>1.3513479343924217E-2</c:v>
                </c:pt>
                <c:pt idx="262">
                  <c:v>-3.8461441583674816E-3</c:v>
                </c:pt>
                <c:pt idx="263">
                  <c:v>1.9267774110256486E-3</c:v>
                </c:pt>
                <c:pt idx="264">
                  <c:v>-3.8387619424573582E-3</c:v>
                </c:pt>
                <c:pt idx="265">
                  <c:v>0</c:v>
                </c:pt>
                <c:pt idx="266">
                  <c:v>0</c:v>
                </c:pt>
                <c:pt idx="267">
                  <c:v>1.1650455806458515E-2</c:v>
                </c:pt>
                <c:pt idx="268">
                  <c:v>-1.7175529587077687E-2</c:v>
                </c:pt>
                <c:pt idx="269">
                  <c:v>5.7581429136861484E-3</c:v>
                </c:pt>
                <c:pt idx="270">
                  <c:v>1.5594502094436358E-2</c:v>
                </c:pt>
                <c:pt idx="271">
                  <c:v>1.9531200035527441E-3</c:v>
                </c:pt>
                <c:pt idx="272">
                  <c:v>1.3861350187157173E-2</c:v>
                </c:pt>
                <c:pt idx="273">
                  <c:v>1.3039136326689515E-2</c:v>
                </c:pt>
                <c:pt idx="274">
                  <c:v>2.4666026768257687E-2</c:v>
                </c:pt>
                <c:pt idx="275">
                  <c:v>7.2463037115018114E-3</c:v>
                </c:pt>
                <c:pt idx="276">
                  <c:v>3.6480704789947582E-2</c:v>
                </c:pt>
                <c:pt idx="277">
                  <c:v>-4.2733818007424373E-3</c:v>
                </c:pt>
                <c:pt idx="278">
                  <c:v>1.5184343814029777E-2</c:v>
                </c:pt>
                <c:pt idx="279">
                  <c:v>-4.3197563419793417E-3</c:v>
                </c:pt>
                <c:pt idx="280">
                  <c:v>-2.6287997509005012E-2</c:v>
                </c:pt>
                <c:pt idx="281">
                  <c:v>1.1702041921485717E-2</c:v>
                </c:pt>
                <c:pt idx="282">
                  <c:v>5.3475234658073578E-3</c:v>
                </c:pt>
                <c:pt idx="283">
                  <c:v>3.2189320107280928E-3</c:v>
                </c:pt>
                <c:pt idx="284">
                  <c:v>-4.2733818007424373E-3</c:v>
                </c:pt>
                <c:pt idx="285">
                  <c:v>1.0693477987033795E-3</c:v>
                </c:pt>
                <c:pt idx="286">
                  <c:v>2.1437296133424155E-3</c:v>
                </c:pt>
                <c:pt idx="287">
                  <c:v>-2.8125090047964485E-2</c:v>
                </c:pt>
                <c:pt idx="288">
                  <c:v>5.2356434548532782E-3</c:v>
                </c:pt>
                <c:pt idx="289">
                  <c:v>9.5137732170424982E-3</c:v>
                </c:pt>
                <c:pt idx="290">
                  <c:v>-1.1494278043956974E-2</c:v>
                </c:pt>
                <c:pt idx="291">
                  <c:v>1.5923581757508298E-2</c:v>
                </c:pt>
                <c:pt idx="292">
                  <c:v>-2.2826086956521663E-2</c:v>
                </c:pt>
                <c:pt idx="293">
                  <c:v>4.366812227074135E-3</c:v>
                </c:pt>
                <c:pt idx="294">
                  <c:v>5.488474204171423E-3</c:v>
                </c:pt>
                <c:pt idx="295">
                  <c:v>-6.5430752453653485E-3</c:v>
                </c:pt>
                <c:pt idx="296">
                  <c:v>-3.260869565217317E-3</c:v>
                </c:pt>
                <c:pt idx="297">
                  <c:v>2.1786492374726851E-3</c:v>
                </c:pt>
                <c:pt idx="298">
                  <c:v>7.6838638858398589E-3</c:v>
                </c:pt>
                <c:pt idx="299">
                  <c:v>-1.0857763300760159E-2</c:v>
                </c:pt>
                <c:pt idx="300">
                  <c:v>8.7623220153341119E-3</c:v>
                </c:pt>
                <c:pt idx="301">
                  <c:v>1.0964912280704286E-3</c:v>
                </c:pt>
                <c:pt idx="302">
                  <c:v>4.405286343612147E-3</c:v>
                </c:pt>
                <c:pt idx="303">
                  <c:v>3.3149171270716593E-3</c:v>
                </c:pt>
                <c:pt idx="304">
                  <c:v>-9.8468271334791746E-3</c:v>
                </c:pt>
                <c:pt idx="305">
                  <c:v>-3.2715376226826187E-3</c:v>
                </c:pt>
                <c:pt idx="306">
                  <c:v>4.3811610076669449E-3</c:v>
                </c:pt>
                <c:pt idx="307">
                  <c:v>-7.6086956521737026E-3</c:v>
                </c:pt>
                <c:pt idx="308">
                  <c:v>3.2715376226826187E-3</c:v>
                </c:pt>
                <c:pt idx="309">
                  <c:v>2.1857923497268228E-3</c:v>
                </c:pt>
                <c:pt idx="310">
                  <c:v>-6.514657980456029E-3</c:v>
                </c:pt>
                <c:pt idx="311">
                  <c:v>-2.4364406779660897E-2</c:v>
                </c:pt>
                <c:pt idx="312">
                  <c:v>1.396348012889348E-2</c:v>
                </c:pt>
                <c:pt idx="313">
                  <c:v>-3.2119914346894207E-3</c:v>
                </c:pt>
                <c:pt idx="314">
                  <c:v>-2.9106029106028997E-2</c:v>
                </c:pt>
                <c:pt idx="315">
                  <c:v>3.9999999999999813E-2</c:v>
                </c:pt>
                <c:pt idx="316">
                  <c:v>-2.1574973031283085E-3</c:v>
                </c:pt>
                <c:pt idx="317">
                  <c:v>-4.2964554242750363E-3</c:v>
                </c:pt>
                <c:pt idx="318">
                  <c:v>-9.5744680851063135E-3</c:v>
                </c:pt>
                <c:pt idx="319">
                  <c:v>-2.1231422505307851E-3</c:v>
                </c:pt>
                <c:pt idx="320">
                  <c:v>1.8378378378378413E-2</c:v>
                </c:pt>
                <c:pt idx="321">
                  <c:v>-1.2806830309498363E-2</c:v>
                </c:pt>
                <c:pt idx="322">
                  <c:v>1.297297297297284E-2</c:v>
                </c:pt>
                <c:pt idx="323">
                  <c:v>4.3431053203040193E-3</c:v>
                </c:pt>
                <c:pt idx="324">
                  <c:v>1.0869565217392907E-3</c:v>
                </c:pt>
                <c:pt idx="325">
                  <c:v>6.5645514223193757E-3</c:v>
                </c:pt>
                <c:pt idx="326">
                  <c:v>-1.1891891891891881E-2</c:v>
                </c:pt>
                <c:pt idx="327">
                  <c:v>1.0928961748633892E-2</c:v>
                </c:pt>
                <c:pt idx="328">
                  <c:v>-1.8240343347639465E-2</c:v>
                </c:pt>
                <c:pt idx="329">
                  <c:v>-1.6877637130801704E-2</c:v>
                </c:pt>
                <c:pt idx="330">
                  <c:v>-1.5576323987538943E-2</c:v>
                </c:pt>
                <c:pt idx="333">
                  <c:v>6.2176165803109473E-3</c:v>
                </c:pt>
                <c:pt idx="334">
                  <c:v>-6.1791967044284579E-3</c:v>
                </c:pt>
                <c:pt idx="335">
                  <c:v>5.1759834368529933E-3</c:v>
                </c:pt>
                <c:pt idx="336">
                  <c:v>-5.1493305870237149E-3</c:v>
                </c:pt>
                <c:pt idx="337">
                  <c:v>-4.1025641025640436E-3</c:v>
                </c:pt>
                <c:pt idx="338">
                  <c:v>0</c:v>
                </c:pt>
                <c:pt idx="339">
                  <c:v>-3.0674846625766694E-3</c:v>
                </c:pt>
                <c:pt idx="340">
                  <c:v>1.4522821576763434E-2</c:v>
                </c:pt>
                <c:pt idx="341">
                  <c:v>1.5806111696522684E-2</c:v>
                </c:pt>
                <c:pt idx="342">
                  <c:v>4.2328042328043658E-3</c:v>
                </c:pt>
                <c:pt idx="343">
                  <c:v>2.1621621621621623E-2</c:v>
                </c:pt>
                <c:pt idx="344">
                  <c:v>1.0928961748633892E-2</c:v>
                </c:pt>
                <c:pt idx="345">
                  <c:v>1.094091903719896E-3</c:v>
                </c:pt>
                <c:pt idx="346">
                  <c:v>-3.2715376226826187E-3</c:v>
                </c:pt>
                <c:pt idx="347">
                  <c:v>-7.575757575757569E-3</c:v>
                </c:pt>
                <c:pt idx="348">
                  <c:v>-6.4516129032258229E-3</c:v>
                </c:pt>
                <c:pt idx="349">
                  <c:v>-1.0638297872340385E-2</c:v>
                </c:pt>
                <c:pt idx="350">
                  <c:v>2.132196162046851E-3</c:v>
                </c:pt>
                <c:pt idx="351">
                  <c:v>2.1367521367523512E-3</c:v>
                </c:pt>
                <c:pt idx="352">
                  <c:v>1.5184381778741818E-2</c:v>
                </c:pt>
                <c:pt idx="353">
                  <c:v>-5.3937432578208266E-3</c:v>
                </c:pt>
                <c:pt idx="354">
                  <c:v>1.4223194748358647E-2</c:v>
                </c:pt>
                <c:pt idx="355">
                  <c:v>-9.750812567713929E-3</c:v>
                </c:pt>
                <c:pt idx="356">
                  <c:v>-1.4941302027748016E-2</c:v>
                </c:pt>
                <c:pt idx="357">
                  <c:v>-1.0559662090813271E-2</c:v>
                </c:pt>
                <c:pt idx="358">
                  <c:v>8.5197018104365974E-3</c:v>
                </c:pt>
                <c:pt idx="359">
                  <c:v>-7.3995771670191113E-3</c:v>
                </c:pt>
                <c:pt idx="360">
                  <c:v>1.9396551724138122E-2</c:v>
                </c:pt>
                <c:pt idx="361">
                  <c:v>-9.605122732123772E-3</c:v>
                </c:pt>
                <c:pt idx="362">
                  <c:v>-3.1914893617022155E-3</c:v>
                </c:pt>
                <c:pt idx="363">
                  <c:v>-1.0626992561104665E-3</c:v>
                </c:pt>
                <c:pt idx="364">
                  <c:v>3.1982942430703876E-3</c:v>
                </c:pt>
                <c:pt idx="365">
                  <c:v>-1.0548523206751037E-2</c:v>
                </c:pt>
                <c:pt idx="366">
                  <c:v>-6.2893081761005165E-3</c:v>
                </c:pt>
                <c:pt idx="367">
                  <c:v>3.154574132492094E-3</c:v>
                </c:pt>
                <c:pt idx="368">
                  <c:v>1.1702127659574346E-2</c:v>
                </c:pt>
                <c:pt idx="369">
                  <c:v>0</c:v>
                </c:pt>
                <c:pt idx="370">
                  <c:v>-5.2910052910051242E-3</c:v>
                </c:pt>
                <c:pt idx="371">
                  <c:v>1.0695187165775444E-2</c:v>
                </c:pt>
                <c:pt idx="372">
                  <c:v>-1.0683760683760646E-3</c:v>
                </c:pt>
                <c:pt idx="373">
                  <c:v>-9.52380952380949E-3</c:v>
                </c:pt>
                <c:pt idx="374">
                  <c:v>-3.1645569620254443E-3</c:v>
                </c:pt>
                <c:pt idx="375">
                  <c:v>-7.3298429319371694E-3</c:v>
                </c:pt>
                <c:pt idx="376">
                  <c:v>1.5957446808510634E-2</c:v>
                </c:pt>
                <c:pt idx="377">
                  <c:v>-5.2910052910051242E-3</c:v>
                </c:pt>
                <c:pt idx="378">
                  <c:v>2.2727272727272707E-2</c:v>
                </c:pt>
                <c:pt idx="379">
                  <c:v>8.733624454148492E-3</c:v>
                </c:pt>
                <c:pt idx="380">
                  <c:v>1.0928961748633004E-3</c:v>
                </c:pt>
                <c:pt idx="381">
                  <c:v>-1.0917030567685337E-3</c:v>
                </c:pt>
                <c:pt idx="382">
                  <c:v>-5.4288816503801351E-3</c:v>
                </c:pt>
                <c:pt idx="383">
                  <c:v>5.4585152838428908E-3</c:v>
                </c:pt>
                <c:pt idx="384">
                  <c:v>1.0928961748633004E-3</c:v>
                </c:pt>
                <c:pt idx="385">
                  <c:v>2.1905805038333614E-3</c:v>
                </c:pt>
                <c:pt idx="386">
                  <c:v>-1.094091903719896E-3</c:v>
                </c:pt>
                <c:pt idx="387">
                  <c:v>-3.2715376226826187E-3</c:v>
                </c:pt>
                <c:pt idx="388">
                  <c:v>1.0917030567685337E-3</c:v>
                </c:pt>
                <c:pt idx="389">
                  <c:v>-3.2644178454841466E-3</c:v>
                </c:pt>
                <c:pt idx="390">
                  <c:v>-8.6299892125134559E-3</c:v>
                </c:pt>
                <c:pt idx="391">
                  <c:v>-3.225806451613078E-3</c:v>
                </c:pt>
                <c:pt idx="392">
                  <c:v>-2.1052631578947323E-2</c:v>
                </c:pt>
                <c:pt idx="393">
                  <c:v>5.2910052910053462E-3</c:v>
                </c:pt>
                <c:pt idx="394">
                  <c:v>3.1847133757960666E-3</c:v>
                </c:pt>
                <c:pt idx="395">
                  <c:v>-1.0604453870625141E-3</c:v>
                </c:pt>
                <c:pt idx="396">
                  <c:v>5.3304904051172386E-3</c:v>
                </c:pt>
                <c:pt idx="397">
                  <c:v>9.6878363832080261E-3</c:v>
                </c:pt>
                <c:pt idx="398">
                  <c:v>-4.2872454448018571E-3</c:v>
                </c:pt>
                <c:pt idx="399">
                  <c:v>-1.0706638115631772E-3</c:v>
                </c:pt>
                <c:pt idx="400">
                  <c:v>-4.2643923240939241E-3</c:v>
                </c:pt>
                <c:pt idx="401">
                  <c:v>4.282655246252709E-3</c:v>
                </c:pt>
                <c:pt idx="402">
                  <c:v>-8.4925690021231404E-3</c:v>
                </c:pt>
                <c:pt idx="403">
                  <c:v>0</c:v>
                </c:pt>
                <c:pt idx="404">
                  <c:v>4.2643923240937021E-3</c:v>
                </c:pt>
                <c:pt idx="405">
                  <c:v>-1.0649627263045192E-3</c:v>
                </c:pt>
                <c:pt idx="406">
                  <c:v>-2.1253985122210439E-3</c:v>
                </c:pt>
                <c:pt idx="407">
                  <c:v>5.3418803418803229E-3</c:v>
                </c:pt>
                <c:pt idx="408">
                  <c:v>1.628664495113985E-2</c:v>
                </c:pt>
                <c:pt idx="409">
                  <c:v>1.0976948408342624E-2</c:v>
                </c:pt>
                <c:pt idx="410">
                  <c:v>7.7433628318583914E-3</c:v>
                </c:pt>
                <c:pt idx="411">
                  <c:v>7.8037904124859114E-3</c:v>
                </c:pt>
                <c:pt idx="412">
                  <c:v>-3.3333333333332993E-3</c:v>
                </c:pt>
                <c:pt idx="413">
                  <c:v>-1.098901098901095E-2</c:v>
                </c:pt>
                <c:pt idx="414">
                  <c:v>1.1111111111111072E-2</c:v>
                </c:pt>
                <c:pt idx="415">
                  <c:v>2.1566401816117908E-2</c:v>
                </c:pt>
                <c:pt idx="416">
                  <c:v>0</c:v>
                </c:pt>
                <c:pt idx="417">
                  <c:v>-2.2650056625140857E-3</c:v>
                </c:pt>
                <c:pt idx="418">
                  <c:v>-7.8651685393258397E-3</c:v>
                </c:pt>
                <c:pt idx="419">
                  <c:v>5.6497175141243527E-3</c:v>
                </c:pt>
                <c:pt idx="420">
                  <c:v>-1.0067114093959662E-2</c:v>
                </c:pt>
                <c:pt idx="421">
                  <c:v>-4.0772532188841248E-2</c:v>
                </c:pt>
                <c:pt idx="422">
                  <c:v>1.3043478260869712E-2</c:v>
                </c:pt>
                <c:pt idx="423">
                  <c:v>2.1786492374726851E-3</c:v>
                </c:pt>
                <c:pt idx="424">
                  <c:v>-2.8571428571428581E-2</c:v>
                </c:pt>
                <c:pt idx="425">
                  <c:v>-1.0570824524314126E-3</c:v>
                </c:pt>
                <c:pt idx="426">
                  <c:v>-6.3025210084032279E-3</c:v>
                </c:pt>
                <c:pt idx="427">
                  <c:v>2.6968716289104577E-2</c:v>
                </c:pt>
                <c:pt idx="428">
                  <c:v>6.5146579804558069E-3</c:v>
                </c:pt>
                <c:pt idx="429">
                  <c:v>5.4585152838428908E-3</c:v>
                </c:pt>
                <c:pt idx="430">
                  <c:v>1.3274336283185972E-2</c:v>
                </c:pt>
                <c:pt idx="431">
                  <c:v>6.6815144766145806E-3</c:v>
                </c:pt>
                <c:pt idx="432">
                  <c:v>1.5837104072398356E-2</c:v>
                </c:pt>
                <c:pt idx="433">
                  <c:v>5.6882821387942428E-3</c:v>
                </c:pt>
                <c:pt idx="434">
                  <c:v>-6.7796610169491567E-3</c:v>
                </c:pt>
                <c:pt idx="435">
                  <c:v>-7.8475336322870737E-3</c:v>
                </c:pt>
                <c:pt idx="436">
                  <c:v>-1.1086474501108556E-2</c:v>
                </c:pt>
                <c:pt idx="437">
                  <c:v>-7.700770077007757E-3</c:v>
                </c:pt>
                <c:pt idx="438">
                  <c:v>-2.5723472668810365E-2</c:v>
                </c:pt>
                <c:pt idx="439">
                  <c:v>1.7448200654307522E-2</c:v>
                </c:pt>
                <c:pt idx="440">
                  <c:v>-2.1762785636560977E-3</c:v>
                </c:pt>
                <c:pt idx="441">
                  <c:v>-1.3948497854077369E-2</c:v>
                </c:pt>
                <c:pt idx="442">
                  <c:v>2.5302530253025424E-2</c:v>
                </c:pt>
                <c:pt idx="443">
                  <c:v>-9.8039215686274161E-3</c:v>
                </c:pt>
                <c:pt idx="444">
                  <c:v>-5.4171180931744667E-3</c:v>
                </c:pt>
                <c:pt idx="445">
                  <c:v>-1.4941302027748016E-2</c:v>
                </c:pt>
                <c:pt idx="446">
                  <c:v>0</c:v>
                </c:pt>
                <c:pt idx="447">
                  <c:v>1.626898047722336E-2</c:v>
                </c:pt>
                <c:pt idx="448">
                  <c:v>3.2644178454843686E-3</c:v>
                </c:pt>
                <c:pt idx="449">
                  <c:v>2.1810250817884125E-3</c:v>
                </c:pt>
                <c:pt idx="450">
                  <c:v>1.2141280353200834E-2</c:v>
                </c:pt>
                <c:pt idx="451">
                  <c:v>4.4345898004436446E-3</c:v>
                </c:pt>
                <c:pt idx="452">
                  <c:v>5.5741360089185399E-3</c:v>
                </c:pt>
                <c:pt idx="453">
                  <c:v>-2.2246941045606095E-3</c:v>
                </c:pt>
                <c:pt idx="454">
                  <c:v>1.0112359550561889E-2</c:v>
                </c:pt>
                <c:pt idx="455">
                  <c:v>-6.6964285714286031E-3</c:v>
                </c:pt>
                <c:pt idx="456">
                  <c:v>-2.2271714922048602E-3</c:v>
                </c:pt>
                <c:pt idx="457">
                  <c:v>2.7459954233409745E-2</c:v>
                </c:pt>
                <c:pt idx="458">
                  <c:v>-3.104212860310418E-2</c:v>
                </c:pt>
                <c:pt idx="459">
                  <c:v>-4.4150110375277274E-3</c:v>
                </c:pt>
                <c:pt idx="460">
                  <c:v>-4.395604395604269E-3</c:v>
                </c:pt>
                <c:pt idx="463">
                  <c:v>-1.7039403620873306E-2</c:v>
                </c:pt>
                <c:pt idx="464">
                  <c:v>-3.1847133757960666E-3</c:v>
                </c:pt>
                <c:pt idx="465">
                  <c:v>-1.0604453870625141E-3</c:v>
                </c:pt>
                <c:pt idx="466">
                  <c:v>2.1253985122209329E-3</c:v>
                </c:pt>
                <c:pt idx="467">
                  <c:v>-3.1779661016948513E-3</c:v>
                </c:pt>
                <c:pt idx="468">
                  <c:v>8.5470085470085166E-3</c:v>
                </c:pt>
                <c:pt idx="469">
                  <c:v>-4.2553191489362874E-3</c:v>
                </c:pt>
                <c:pt idx="470">
                  <c:v>-4.237288135593098E-3</c:v>
                </c:pt>
                <c:pt idx="471">
                  <c:v>1.0604453870626251E-3</c:v>
                </c:pt>
                <c:pt idx="472">
                  <c:v>7.4786324786324521E-3</c:v>
                </c:pt>
                <c:pt idx="473">
                  <c:v>-6.3694267515923553E-3</c:v>
                </c:pt>
                <c:pt idx="474">
                  <c:v>-6.3291139240506666E-3</c:v>
                </c:pt>
                <c:pt idx="475">
                  <c:v>-1.0537407797681642E-3</c:v>
                </c:pt>
                <c:pt idx="476">
                  <c:v>6.3626723223755288E-3</c:v>
                </c:pt>
                <c:pt idx="477">
                  <c:v>-1.3598326359832713E-2</c:v>
                </c:pt>
                <c:pt idx="478">
                  <c:v>7.3761854583773712E-3</c:v>
                </c:pt>
                <c:pt idx="479">
                  <c:v>-1.6580310880829008E-2</c:v>
                </c:pt>
                <c:pt idx="480">
                  <c:v>-2.0304568527918732E-2</c:v>
                </c:pt>
                <c:pt idx="481">
                  <c:v>7.1574642126790433E-3</c:v>
                </c:pt>
                <c:pt idx="482">
                  <c:v>2.049180327868827E-3</c:v>
                </c:pt>
                <c:pt idx="483">
                  <c:v>4.1152263374484299E-3</c:v>
                </c:pt>
                <c:pt idx="484">
                  <c:v>7.2538860103628089E-3</c:v>
                </c:pt>
                <c:pt idx="485">
                  <c:v>-7.2016460905349744E-3</c:v>
                </c:pt>
                <c:pt idx="486">
                  <c:v>5.170630816959676E-3</c:v>
                </c:pt>
                <c:pt idx="487">
                  <c:v>7.2916666666666963E-3</c:v>
                </c:pt>
                <c:pt idx="488">
                  <c:v>1.0427528675702735E-3</c:v>
                </c:pt>
                <c:pt idx="489">
                  <c:v>1.1603375527426074E-2</c:v>
                </c:pt>
                <c:pt idx="490">
                  <c:v>8.5106382978723527E-3</c:v>
                </c:pt>
                <c:pt idx="491">
                  <c:v>-6.3424947145878097E-3</c:v>
                </c:pt>
                <c:pt idx="492">
                  <c:v>3.1813361611878754E-3</c:v>
                </c:pt>
                <c:pt idx="493">
                  <c:v>-1.6684045881126153E-2</c:v>
                </c:pt>
                <c:pt idx="494">
                  <c:v>1.0438413361169019E-3</c:v>
                </c:pt>
                <c:pt idx="495">
                  <c:v>-7.2538860103626979E-3</c:v>
                </c:pt>
                <c:pt idx="496">
                  <c:v>1.0471204188481575E-2</c:v>
                </c:pt>
                <c:pt idx="497">
                  <c:v>-2.1516393442622905E-2</c:v>
                </c:pt>
                <c:pt idx="498">
                  <c:v>1.0256410256410664E-3</c:v>
                </c:pt>
                <c:pt idx="499">
                  <c:v>1.1410788381742698E-2</c:v>
                </c:pt>
                <c:pt idx="500">
                  <c:v>-9.2497430626926613E-3</c:v>
                </c:pt>
                <c:pt idx="501">
                  <c:v>3.290870488322728E-2</c:v>
                </c:pt>
                <c:pt idx="502">
                  <c:v>3.1948881789136685E-3</c:v>
                </c:pt>
                <c:pt idx="503">
                  <c:v>8.5929108485498507E-3</c:v>
                </c:pt>
                <c:pt idx="504">
                  <c:v>2.5330396475770955E-2</c:v>
                </c:pt>
                <c:pt idx="505">
                  <c:v>1.6797312430011146E-2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ED-4026-995D-A75DBFDD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Sheet4!$O$4</c:f>
              <c:strCache>
                <c:ptCount val="1"/>
                <c:pt idx="0">
                  <c:v>ASPO.HE.csv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58674921571479"/>
                  <c:y val="-0.398949037620297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Sheet4!$O$5:$O$511</c:f>
              <c:numCache>
                <c:formatCode>0.0\ %</c:formatCode>
                <c:ptCount val="507"/>
                <c:pt idx="0">
                  <c:v>3.4068107224072941E-2</c:v>
                </c:pt>
                <c:pt idx="1">
                  <c:v>-2.1568660474064916E-2</c:v>
                </c:pt>
                <c:pt idx="2">
                  <c:v>-1.3539760504200693E-2</c:v>
                </c:pt>
                <c:pt idx="3">
                  <c:v>2.9880542892093187E-2</c:v>
                </c:pt>
                <c:pt idx="4">
                  <c:v>2.4489779443563453E-2</c:v>
                </c:pt>
                <c:pt idx="5">
                  <c:v>4.8128260801508116E-2</c:v>
                </c:pt>
                <c:pt idx="6">
                  <c:v>2.7472607311961328E-2</c:v>
                </c:pt>
                <c:pt idx="7">
                  <c:v>7.751874920681523E-3</c:v>
                </c:pt>
                <c:pt idx="8">
                  <c:v>5.7377255281435335E-2</c:v>
                </c:pt>
                <c:pt idx="9">
                  <c:v>-5.0055666295893309E-2</c:v>
                </c:pt>
                <c:pt idx="10">
                  <c:v>0.13224174512154474</c:v>
                </c:pt>
                <c:pt idx="11">
                  <c:v>9.5172452495769777E-2</c:v>
                </c:pt>
                <c:pt idx="12">
                  <c:v>-1.3773772327700939E-3</c:v>
                </c:pt>
                <c:pt idx="13">
                  <c:v>3.4188013547892249E-2</c:v>
                </c:pt>
                <c:pt idx="14">
                  <c:v>5.2473677762849835E-2</c:v>
                </c:pt>
                <c:pt idx="15">
                  <c:v>2.1439509689014091E-2</c:v>
                </c:pt>
                <c:pt idx="16">
                  <c:v>-3.4023679768241166E-2</c:v>
                </c:pt>
                <c:pt idx="17">
                  <c:v>-2.7337959394475142E-2</c:v>
                </c:pt>
                <c:pt idx="18">
                  <c:v>0</c:v>
                </c:pt>
                <c:pt idx="19">
                  <c:v>-2.1126886113088439E-2</c:v>
                </c:pt>
                <c:pt idx="20">
                  <c:v>-2.203850273739727E-2</c:v>
                </c:pt>
                <c:pt idx="21">
                  <c:v>5.3701033344328852E-2</c:v>
                </c:pt>
                <c:pt idx="22">
                  <c:v>-3.5014107358382285E-2</c:v>
                </c:pt>
                <c:pt idx="23">
                  <c:v>1.4204522195107705E-2</c:v>
                </c:pt>
                <c:pt idx="24">
                  <c:v>-9.8452094076056929E-3</c:v>
                </c:pt>
                <c:pt idx="25">
                  <c:v>3.7956280009358245E-2</c:v>
                </c:pt>
                <c:pt idx="26">
                  <c:v>-2.9113022587144988E-3</c:v>
                </c:pt>
                <c:pt idx="27">
                  <c:v>2.5373197017763749E-2</c:v>
                </c:pt>
                <c:pt idx="28">
                  <c:v>-3.8737483187278543E-2</c:v>
                </c:pt>
                <c:pt idx="29">
                  <c:v>2.9542050144560017E-2</c:v>
                </c:pt>
                <c:pt idx="30">
                  <c:v>-3.147357872444867E-2</c:v>
                </c:pt>
                <c:pt idx="31">
                  <c:v>-1.5492901249110069E-2</c:v>
                </c:pt>
                <c:pt idx="32">
                  <c:v>1.4104030615691432E-3</c:v>
                </c:pt>
                <c:pt idx="33">
                  <c:v>1.4125549621799571E-3</c:v>
                </c:pt>
                <c:pt idx="34">
                  <c:v>-1.2552313786092339E-2</c:v>
                </c:pt>
                <c:pt idx="35">
                  <c:v>-3.6290503886331482E-2</c:v>
                </c:pt>
                <c:pt idx="36">
                  <c:v>-7.9998071173691399E-3</c:v>
                </c:pt>
                <c:pt idx="37">
                  <c:v>-9.2471026849710869E-3</c:v>
                </c:pt>
                <c:pt idx="38">
                  <c:v>7.3099465797177077E-2</c:v>
                </c:pt>
                <c:pt idx="39">
                  <c:v>-4.3669041716798418E-3</c:v>
                </c:pt>
                <c:pt idx="40">
                  <c:v>2.0802436690784853E-2</c:v>
                </c:pt>
                <c:pt idx="41">
                  <c:v>-2.0378513944599996E-2</c:v>
                </c:pt>
                <c:pt idx="42">
                  <c:v>1.3274291942941607E-2</c:v>
                </c:pt>
                <c:pt idx="43">
                  <c:v>-2.8653219104992966E-2</c:v>
                </c:pt>
                <c:pt idx="44">
                  <c:v>5.7637051424750396E-3</c:v>
                </c:pt>
                <c:pt idx="45">
                  <c:v>0</c:v>
                </c:pt>
                <c:pt idx="46">
                  <c:v>-2.1156693037764351E-2</c:v>
                </c:pt>
                <c:pt idx="47">
                  <c:v>-1.1157479827570538E-2</c:v>
                </c:pt>
                <c:pt idx="48">
                  <c:v>2.8694326318741803E-2</c:v>
                </c:pt>
                <c:pt idx="49">
                  <c:v>1.0145035945720915E-2</c:v>
                </c:pt>
                <c:pt idx="50">
                  <c:v>1.1730076640849685E-2</c:v>
                </c:pt>
                <c:pt idx="51">
                  <c:v>-2.0114842088192475E-2</c:v>
                </c:pt>
                <c:pt idx="52">
                  <c:v>-1.9718364639956243E-2</c:v>
                </c:pt>
                <c:pt idx="53">
                  <c:v>3.3478907439719929E-2</c:v>
                </c:pt>
                <c:pt idx="54">
                  <c:v>-2.4147717101881683E-2</c:v>
                </c:pt>
                <c:pt idx="55">
                  <c:v>-2.6279389328249581E-2</c:v>
                </c:pt>
                <c:pt idx="56">
                  <c:v>4.4797736375400854E-2</c:v>
                </c:pt>
                <c:pt idx="57">
                  <c:v>-1.001425681008028E-2</c:v>
                </c:pt>
                <c:pt idx="58">
                  <c:v>1.746713815684009E-2</c:v>
                </c:pt>
                <c:pt idx="59">
                  <c:v>-2.9026071137572274E-3</c:v>
                </c:pt>
                <c:pt idx="60">
                  <c:v>-1.8518648603210397E-2</c:v>
                </c:pt>
                <c:pt idx="61">
                  <c:v>-1.5427888327669281E-2</c:v>
                </c:pt>
                <c:pt idx="62">
                  <c:v>-1.1095579626738794E-2</c:v>
                </c:pt>
                <c:pt idx="63">
                  <c:v>-1.3849696566429204E-3</c:v>
                </c:pt>
                <c:pt idx="64">
                  <c:v>9.7901609173980386E-3</c:v>
                </c:pt>
                <c:pt idx="65">
                  <c:v>2.142855353741302E-2</c:v>
                </c:pt>
                <c:pt idx="66">
                  <c:v>-3.1811908299202885E-2</c:v>
                </c:pt>
                <c:pt idx="67">
                  <c:v>8.3682244976093223E-3</c:v>
                </c:pt>
                <c:pt idx="68">
                  <c:v>-9.6684604129385621E-3</c:v>
                </c:pt>
                <c:pt idx="69">
                  <c:v>1.6853981869803025E-2</c:v>
                </c:pt>
                <c:pt idx="70">
                  <c:v>-3.2608787899497171E-2</c:v>
                </c:pt>
                <c:pt idx="71">
                  <c:v>4.0928561219870652E-3</c:v>
                </c:pt>
                <c:pt idx="72">
                  <c:v>-2.0053605006259301E-2</c:v>
                </c:pt>
                <c:pt idx="73">
                  <c:v>3.1724151065399386E-2</c:v>
                </c:pt>
                <c:pt idx="74">
                  <c:v>-1.3605332639156309E-2</c:v>
                </c:pt>
                <c:pt idx="75">
                  <c:v>-1.6064302981679268E-2</c:v>
                </c:pt>
                <c:pt idx="76">
                  <c:v>5.3835955639833788E-3</c:v>
                </c:pt>
                <c:pt idx="79">
                  <c:v>1.7449640934338539E-2</c:v>
                </c:pt>
                <c:pt idx="80">
                  <c:v>6.7567017249456907E-3</c:v>
                </c:pt>
                <c:pt idx="81">
                  <c:v>1.3531095421137618E-3</c:v>
                </c:pt>
                <c:pt idx="82">
                  <c:v>1.0943942799594986E-2</c:v>
                </c:pt>
                <c:pt idx="83">
                  <c:v>-6.6411280113899629E-2</c:v>
                </c:pt>
                <c:pt idx="84">
                  <c:v>3.0263317261108202E-2</c:v>
                </c:pt>
                <c:pt idx="85">
                  <c:v>-7.8329205836872307E-3</c:v>
                </c:pt>
                <c:pt idx="86">
                  <c:v>7.8947596087297622E-3</c:v>
                </c:pt>
                <c:pt idx="87">
                  <c:v>-4.0404152212365818E-2</c:v>
                </c:pt>
                <c:pt idx="88">
                  <c:v>-1.7369774278724881E-2</c:v>
                </c:pt>
                <c:pt idx="89">
                  <c:v>2.9374211976157083E-2</c:v>
                </c:pt>
                <c:pt idx="90">
                  <c:v>9.0207146415777206E-3</c:v>
                </c:pt>
                <c:pt idx="91">
                  <c:v>7.7922299713304444E-3</c:v>
                </c:pt>
                <c:pt idx="92">
                  <c:v>-1.2820548843965995E-2</c:v>
                </c:pt>
                <c:pt idx="93">
                  <c:v>-1.8867908923695831E-2</c:v>
                </c:pt>
                <c:pt idx="94">
                  <c:v>3.2467553722524967E-2</c:v>
                </c:pt>
                <c:pt idx="95">
                  <c:v>-1.2820548843965995E-2</c:v>
                </c:pt>
                <c:pt idx="96">
                  <c:v>0</c:v>
                </c:pt>
                <c:pt idx="97">
                  <c:v>3.3112603928192819E-2</c:v>
                </c:pt>
                <c:pt idx="98">
                  <c:v>-1.3228274414653907E-3</c:v>
                </c:pt>
                <c:pt idx="99">
                  <c:v>-3.0769176734051107E-2</c:v>
                </c:pt>
                <c:pt idx="100">
                  <c:v>-8.8944919816178469E-3</c:v>
                </c:pt>
                <c:pt idx="101">
                  <c:v>2.875810701866266E-2</c:v>
                </c:pt>
                <c:pt idx="102">
                  <c:v>1.4588827033890084E-2</c:v>
                </c:pt>
                <c:pt idx="103">
                  <c:v>-1.6948987875537336E-2</c:v>
                </c:pt>
                <c:pt idx="104">
                  <c:v>2.8149992273346136E-2</c:v>
                </c:pt>
                <c:pt idx="105">
                  <c:v>0</c:v>
                </c:pt>
                <c:pt idx="106">
                  <c:v>-2.0997291910634597E-2</c:v>
                </c:pt>
                <c:pt idx="107">
                  <c:v>0</c:v>
                </c:pt>
                <c:pt idx="108">
                  <c:v>1.5999898306659821E-2</c:v>
                </c:pt>
                <c:pt idx="109">
                  <c:v>-1.4454633503473202E-2</c:v>
                </c:pt>
                <c:pt idx="110">
                  <c:v>2.0107221277853471E-2</c:v>
                </c:pt>
                <c:pt idx="111">
                  <c:v>-1.5831035769423241E-2</c:v>
                </c:pt>
                <c:pt idx="112">
                  <c:v>1.2015982490073185E-2</c:v>
                </c:pt>
                <c:pt idx="113">
                  <c:v>-2.4739582590173725E-2</c:v>
                </c:pt>
                <c:pt idx="114">
                  <c:v>2.2636476138043538E-2</c:v>
                </c:pt>
                <c:pt idx="115">
                  <c:v>-2.6560500340392368E-3</c:v>
                </c:pt>
                <c:pt idx="116">
                  <c:v>2.663123423097824E-3</c:v>
                </c:pt>
                <c:pt idx="117">
                  <c:v>1.3332639792544843E-3</c:v>
                </c:pt>
                <c:pt idx="118">
                  <c:v>-1.9607826284760876E-2</c:v>
                </c:pt>
                <c:pt idx="119">
                  <c:v>-5.2014331622037835E-3</c:v>
                </c:pt>
                <c:pt idx="120">
                  <c:v>1.1842067318783789E-2</c:v>
                </c:pt>
                <c:pt idx="121">
                  <c:v>-1.1703473991907964E-2</c:v>
                </c:pt>
                <c:pt idx="122">
                  <c:v>-3.8750042977220733E-2</c:v>
                </c:pt>
                <c:pt idx="123">
                  <c:v>-4.7619053831255642E-2</c:v>
                </c:pt>
                <c:pt idx="124">
                  <c:v>5.9879752291767119E-3</c:v>
                </c:pt>
                <c:pt idx="125">
                  <c:v>0</c:v>
                </c:pt>
                <c:pt idx="126">
                  <c:v>2.2031750196130018E-2</c:v>
                </c:pt>
                <c:pt idx="127">
                  <c:v>-2.441875665578408E-3</c:v>
                </c:pt>
                <c:pt idx="128">
                  <c:v>2.3749999828776014E-2</c:v>
                </c:pt>
                <c:pt idx="129">
                  <c:v>-3.7359327652193297E-3</c:v>
                </c:pt>
                <c:pt idx="130">
                  <c:v>-9.8643936385444109E-3</c:v>
                </c:pt>
                <c:pt idx="131">
                  <c:v>1.5018678542813024E-2</c:v>
                </c:pt>
                <c:pt idx="132">
                  <c:v>1.1392367312260454E-2</c:v>
                </c:pt>
                <c:pt idx="133">
                  <c:v>3.8120245934556429E-3</c:v>
                </c:pt>
                <c:pt idx="134">
                  <c:v>1.2721984690955424E-3</c:v>
                </c:pt>
                <c:pt idx="135">
                  <c:v>-1.2705820365738196E-3</c:v>
                </c:pt>
                <c:pt idx="136">
                  <c:v>4.2384080776424859E-2</c:v>
                </c:pt>
                <c:pt idx="137">
                  <c:v>-6.5788942462973177E-3</c:v>
                </c:pt>
                <c:pt idx="138">
                  <c:v>-1.2987049952217333E-2</c:v>
                </c:pt>
                <c:pt idx="139">
                  <c:v>-1.0282805316735977E-2</c:v>
                </c:pt>
                <c:pt idx="140">
                  <c:v>3.4574418089877712E-2</c:v>
                </c:pt>
                <c:pt idx="141">
                  <c:v>2.7322482086790334E-2</c:v>
                </c:pt>
                <c:pt idx="142">
                  <c:v>-1.2145710070547433E-2</c:v>
                </c:pt>
                <c:pt idx="143">
                  <c:v>-1.0680938349490465E-2</c:v>
                </c:pt>
                <c:pt idx="144">
                  <c:v>-3.9894456088483965E-3</c:v>
                </c:pt>
                <c:pt idx="145">
                  <c:v>-1.1826505230192685E-2</c:v>
                </c:pt>
                <c:pt idx="146">
                  <c:v>-7.195109695614843E-2</c:v>
                </c:pt>
                <c:pt idx="147">
                  <c:v>6.0802033912433329E-2</c:v>
                </c:pt>
                <c:pt idx="148">
                  <c:v>-3.2540767335769716E-2</c:v>
                </c:pt>
                <c:pt idx="149">
                  <c:v>3.768785764298288E-3</c:v>
                </c:pt>
                <c:pt idx="150">
                  <c:v>-1.118008735902376E-2</c:v>
                </c:pt>
                <c:pt idx="151">
                  <c:v>3.4704397517669738E-2</c:v>
                </c:pt>
                <c:pt idx="152">
                  <c:v>2.5773268667861338E-3</c:v>
                </c:pt>
                <c:pt idx="153">
                  <c:v>0</c:v>
                </c:pt>
                <c:pt idx="154">
                  <c:v>2.1052692289946107E-2</c:v>
                </c:pt>
                <c:pt idx="155">
                  <c:v>3.962950695890477E-3</c:v>
                </c:pt>
                <c:pt idx="156">
                  <c:v>1.2032045802320646E-2</c:v>
                </c:pt>
                <c:pt idx="157">
                  <c:v>2.6809726300176528E-3</c:v>
                </c:pt>
                <c:pt idx="158">
                  <c:v>1.4966104451872297E-2</c:v>
                </c:pt>
                <c:pt idx="159">
                  <c:v>1.3623270367200124E-3</c:v>
                </c:pt>
                <c:pt idx="160">
                  <c:v>-4.0704937674281849E-3</c:v>
                </c:pt>
                <c:pt idx="161">
                  <c:v>-3.2808421408675348E-2</c:v>
                </c:pt>
                <c:pt idx="162">
                  <c:v>-2.3076987919138703E-2</c:v>
                </c:pt>
                <c:pt idx="163">
                  <c:v>1.2836302329033433E-3</c:v>
                </c:pt>
                <c:pt idx="164">
                  <c:v>1.6971399460924186E-2</c:v>
                </c:pt>
                <c:pt idx="165">
                  <c:v>2.4064091604641513E-2</c:v>
                </c:pt>
                <c:pt idx="166">
                  <c:v>-1.4492722236539857E-2</c:v>
                </c:pt>
                <c:pt idx="167">
                  <c:v>1.7426248647835596E-2</c:v>
                </c:pt>
                <c:pt idx="168">
                  <c:v>-1.453101223164377E-2</c:v>
                </c:pt>
                <c:pt idx="169">
                  <c:v>2.6490141199957407E-3</c:v>
                </c:pt>
                <c:pt idx="170">
                  <c:v>-7.884384819841328E-3</c:v>
                </c:pt>
                <c:pt idx="171">
                  <c:v>-3.4263985156741672E-2</c:v>
                </c:pt>
                <c:pt idx="172">
                  <c:v>-1.0050278928142808E-2</c:v>
                </c:pt>
                <c:pt idx="173">
                  <c:v>-4.9998774036252858E-3</c:v>
                </c:pt>
                <c:pt idx="174">
                  <c:v>8.8271942476068066E-3</c:v>
                </c:pt>
                <c:pt idx="175">
                  <c:v>1.0191111966683319E-2</c:v>
                </c:pt>
                <c:pt idx="176">
                  <c:v>-1.0088300962025731E-2</c:v>
                </c:pt>
                <c:pt idx="177">
                  <c:v>0</c:v>
                </c:pt>
                <c:pt idx="178">
                  <c:v>-7.5094078467161651E-3</c:v>
                </c:pt>
                <c:pt idx="179">
                  <c:v>8.8383391150537172E-3</c:v>
                </c:pt>
                <c:pt idx="180">
                  <c:v>-1.246886200438313E-2</c:v>
                </c:pt>
                <c:pt idx="181">
                  <c:v>2.500144170597185E-3</c:v>
                </c:pt>
                <c:pt idx="182">
                  <c:v>-1.8404893952222445E-2</c:v>
                </c:pt>
                <c:pt idx="183">
                  <c:v>-2.5119624123857487E-2</c:v>
                </c:pt>
                <c:pt idx="184">
                  <c:v>-4.8900492213735935E-3</c:v>
                </c:pt>
                <c:pt idx="185">
                  <c:v>2.4509518686872678E-3</c:v>
                </c:pt>
                <c:pt idx="186">
                  <c:v>-4.8779922887436378E-3</c:v>
                </c:pt>
                <c:pt idx="187">
                  <c:v>-1.4423165091287826E-2</c:v>
                </c:pt>
                <c:pt idx="188">
                  <c:v>4.8309907106938166E-3</c:v>
                </c:pt>
                <c:pt idx="189">
                  <c:v>-3.157895525019927E-2</c:v>
                </c:pt>
                <c:pt idx="190">
                  <c:v>-2.2857121952736259E-2</c:v>
                </c:pt>
                <c:pt idx="191">
                  <c:v>-1.2415445713345075E-2</c:v>
                </c:pt>
                <c:pt idx="192">
                  <c:v>2.6651277860271883E-2</c:v>
                </c:pt>
                <c:pt idx="193">
                  <c:v>1.1723318133960881E-2</c:v>
                </c:pt>
                <c:pt idx="194">
                  <c:v>-1.3872794865196991E-2</c:v>
                </c:pt>
                <c:pt idx="195">
                  <c:v>1.6451167394819111E-2</c:v>
                </c:pt>
                <c:pt idx="196">
                  <c:v>1.916170939611761E-2</c:v>
                </c:pt>
                <c:pt idx="197">
                  <c:v>1.1990268078188038E-3</c:v>
                </c:pt>
                <c:pt idx="198">
                  <c:v>-1.3017726523821382E-2</c:v>
                </c:pt>
                <c:pt idx="199">
                  <c:v>-1.4002296095181666E-2</c:v>
                </c:pt>
                <c:pt idx="200">
                  <c:v>1.7814645871487178E-2</c:v>
                </c:pt>
                <c:pt idx="201">
                  <c:v>1.4457790745702637E-2</c:v>
                </c:pt>
                <c:pt idx="202">
                  <c:v>2.9776725196983822E-2</c:v>
                </c:pt>
                <c:pt idx="203">
                  <c:v>1.2562801608911434E-2</c:v>
                </c:pt>
                <c:pt idx="204">
                  <c:v>-2.0910098846069647E-2</c:v>
                </c:pt>
                <c:pt idx="205">
                  <c:v>-1.3349617966342486E-2</c:v>
                </c:pt>
                <c:pt idx="206">
                  <c:v>2.4330615999170746E-3</c:v>
                </c:pt>
                <c:pt idx="209">
                  <c:v>3.2467431688718795E-2</c:v>
                </c:pt>
                <c:pt idx="210">
                  <c:v>-1.2820635584630202E-2</c:v>
                </c:pt>
                <c:pt idx="211">
                  <c:v>-3.831236975122887E-3</c:v>
                </c:pt>
                <c:pt idx="212">
                  <c:v>7.7220559704525016E-3</c:v>
                </c:pt>
                <c:pt idx="213">
                  <c:v>-5.1217160679308815E-3</c:v>
                </c:pt>
                <c:pt idx="214">
                  <c:v>-1.1392407798739179E-2</c:v>
                </c:pt>
                <c:pt idx="215">
                  <c:v>1.152369037888179E-2</c:v>
                </c:pt>
                <c:pt idx="216">
                  <c:v>-1.0139434294837546E-2</c:v>
                </c:pt>
                <c:pt idx="217">
                  <c:v>1.2690207552326083E-3</c:v>
                </c:pt>
                <c:pt idx="218">
                  <c:v>-1.2674123826135197E-3</c:v>
                </c:pt>
                <c:pt idx="219">
                  <c:v>-7.5470826992873885E-3</c:v>
                </c:pt>
                <c:pt idx="220">
                  <c:v>-1.2422480445481887E-2</c:v>
                </c:pt>
                <c:pt idx="221">
                  <c:v>0</c:v>
                </c:pt>
                <c:pt idx="222">
                  <c:v>0</c:v>
                </c:pt>
                <c:pt idx="223">
                  <c:v>-1.2269797289123696E-2</c:v>
                </c:pt>
                <c:pt idx="224">
                  <c:v>-6.0976204823627311E-3</c:v>
                </c:pt>
                <c:pt idx="225">
                  <c:v>-1.796411853184976E-2</c:v>
                </c:pt>
                <c:pt idx="226">
                  <c:v>0</c:v>
                </c:pt>
                <c:pt idx="227">
                  <c:v>2.4009323979465869E-3</c:v>
                </c:pt>
                <c:pt idx="228">
                  <c:v>6.0387061723126134E-3</c:v>
                </c:pt>
                <c:pt idx="229">
                  <c:v>-1.3110947197069844E-2</c:v>
                </c:pt>
                <c:pt idx="230">
                  <c:v>8.4134915958060663E-3</c:v>
                </c:pt>
                <c:pt idx="231">
                  <c:v>8.4848790544220787E-3</c:v>
                </c:pt>
                <c:pt idx="232">
                  <c:v>6.0976204823628422E-3</c:v>
                </c:pt>
                <c:pt idx="233">
                  <c:v>-6.0606648482472991E-3</c:v>
                </c:pt>
                <c:pt idx="234">
                  <c:v>-4.8250345776126302E-3</c:v>
                </c:pt>
                <c:pt idx="235">
                  <c:v>-1.0739859688786102E-2</c:v>
                </c:pt>
                <c:pt idx="236">
                  <c:v>-2.3809248592359111E-3</c:v>
                </c:pt>
                <c:pt idx="237">
                  <c:v>1.2048051826677231E-2</c:v>
                </c:pt>
                <c:pt idx="238">
                  <c:v>-9.546428766510795E-3</c:v>
                </c:pt>
                <c:pt idx="239">
                  <c:v>-1.192008342659534E-3</c:v>
                </c:pt>
                <c:pt idx="240">
                  <c:v>2.3895860196789798E-3</c:v>
                </c:pt>
                <c:pt idx="241">
                  <c:v>0</c:v>
                </c:pt>
                <c:pt idx="242">
                  <c:v>-9.4674719096015103E-3</c:v>
                </c:pt>
                <c:pt idx="243">
                  <c:v>4.7563145280293817E-3</c:v>
                </c:pt>
                <c:pt idx="244">
                  <c:v>7.1855451856066566E-3</c:v>
                </c:pt>
                <c:pt idx="245">
                  <c:v>2.4009323979465869E-3</c:v>
                </c:pt>
                <c:pt idx="246">
                  <c:v>-3.5884750678454314E-3</c:v>
                </c:pt>
                <c:pt idx="247">
                  <c:v>1.1975908642678501E-3</c:v>
                </c:pt>
                <c:pt idx="248">
                  <c:v>2.4009323979465869E-3</c:v>
                </c:pt>
                <c:pt idx="249">
                  <c:v>-1.1862384642957635E-2</c:v>
                </c:pt>
                <c:pt idx="250">
                  <c:v>9.5808546980586939E-3</c:v>
                </c:pt>
                <c:pt idx="251">
                  <c:v>-5.9523121480897778E-3</c:v>
                </c:pt>
                <c:pt idx="252">
                  <c:v>1.1917539932850829E-3</c:v>
                </c:pt>
                <c:pt idx="253">
                  <c:v>-7.1005092284395221E-3</c:v>
                </c:pt>
                <c:pt idx="254">
                  <c:v>0</c:v>
                </c:pt>
                <c:pt idx="255">
                  <c:v>-1.182019381485655E-3</c:v>
                </c:pt>
                <c:pt idx="256">
                  <c:v>8.3431681758063814E-3</c:v>
                </c:pt>
                <c:pt idx="257">
                  <c:v>4.7904912409875156E-3</c:v>
                </c:pt>
                <c:pt idx="258">
                  <c:v>6.0240259133386154E-3</c:v>
                </c:pt>
                <c:pt idx="259">
                  <c:v>0</c:v>
                </c:pt>
                <c:pt idx="260">
                  <c:v>4.8426878887721792E-3</c:v>
                </c:pt>
                <c:pt idx="261">
                  <c:v>3.6452880726594028E-3</c:v>
                </c:pt>
                <c:pt idx="262">
                  <c:v>-3.6320482106378948E-3</c:v>
                </c:pt>
                <c:pt idx="263">
                  <c:v>8.5471711190401312E-3</c:v>
                </c:pt>
                <c:pt idx="264">
                  <c:v>-1.0869696883006541E-2</c:v>
                </c:pt>
                <c:pt idx="265">
                  <c:v>3.6363213092620583E-3</c:v>
                </c:pt>
                <c:pt idx="266">
                  <c:v>1.4760239616018023E-2</c:v>
                </c:pt>
                <c:pt idx="267">
                  <c:v>9.9377722827134196E-3</c:v>
                </c:pt>
                <c:pt idx="268">
                  <c:v>-1.8292601204221826E-2</c:v>
                </c:pt>
                <c:pt idx="269">
                  <c:v>3.6719279437034125E-3</c:v>
                </c:pt>
                <c:pt idx="270">
                  <c:v>-2.9691245414579792E-2</c:v>
                </c:pt>
                <c:pt idx="271">
                  <c:v>8.3832638337908438E-3</c:v>
                </c:pt>
                <c:pt idx="272">
                  <c:v>7.2376805751943607E-3</c:v>
                </c:pt>
                <c:pt idx="273">
                  <c:v>1.4687842374043303E-2</c:v>
                </c:pt>
                <c:pt idx="274">
                  <c:v>8.6420068582797605E-3</c:v>
                </c:pt>
                <c:pt idx="275">
                  <c:v>-2.2919171661210713E-2</c:v>
                </c:pt>
                <c:pt idx="276">
                  <c:v>1.5931317905743869E-2</c:v>
                </c:pt>
                <c:pt idx="277">
                  <c:v>1.2271106486443362E-3</c:v>
                </c:pt>
                <c:pt idx="278">
                  <c:v>-2.4480825616987056E-3</c:v>
                </c:pt>
                <c:pt idx="279">
                  <c:v>-9.6969861575092464E-3</c:v>
                </c:pt>
                <c:pt idx="280">
                  <c:v>-1.3157869546500112E-2</c:v>
                </c:pt>
                <c:pt idx="281">
                  <c:v>3.6013985969198803E-3</c:v>
                </c:pt>
                <c:pt idx="282">
                  <c:v>-9.5123753115189391E-3</c:v>
                </c:pt>
                <c:pt idx="283">
                  <c:v>2.3836351612573914E-3</c:v>
                </c:pt>
                <c:pt idx="284">
                  <c:v>-1.0613084689768515E-2</c:v>
                </c:pt>
                <c:pt idx="285">
                  <c:v>1.4354027902448552E-2</c:v>
                </c:pt>
                <c:pt idx="286">
                  <c:v>-8.3037072214470209E-3</c:v>
                </c:pt>
                <c:pt idx="287">
                  <c:v>-8.2351990110330897E-3</c:v>
                </c:pt>
                <c:pt idx="288">
                  <c:v>-7.0095129638718667E-3</c:v>
                </c:pt>
                <c:pt idx="289">
                  <c:v>-4.6511085464617796E-3</c:v>
                </c:pt>
                <c:pt idx="290">
                  <c:v>-2.3200351242150807E-3</c:v>
                </c:pt>
                <c:pt idx="291">
                  <c:v>-9.4451916981678208E-3</c:v>
                </c:pt>
                <c:pt idx="292">
                  <c:v>0</c:v>
                </c:pt>
                <c:pt idx="293">
                  <c:v>8.3333055156731284E-3</c:v>
                </c:pt>
                <c:pt idx="294">
                  <c:v>1.5719414658159403E-2</c:v>
                </c:pt>
                <c:pt idx="295">
                  <c:v>0</c:v>
                </c:pt>
                <c:pt idx="296">
                  <c:v>-1.3126447724407408E-2</c:v>
                </c:pt>
                <c:pt idx="297">
                  <c:v>-2.3809444330495921E-3</c:v>
                </c:pt>
                <c:pt idx="298">
                  <c:v>-4.7393207473990229E-3</c:v>
                </c:pt>
                <c:pt idx="299">
                  <c:v>5.9594556489994677E-3</c:v>
                </c:pt>
                <c:pt idx="300">
                  <c:v>2.1924536726948052E-2</c:v>
                </c:pt>
                <c:pt idx="301">
                  <c:v>3.6674695564604676E-3</c:v>
                </c:pt>
                <c:pt idx="302">
                  <c:v>1.2376196264956674E-2</c:v>
                </c:pt>
                <c:pt idx="303">
                  <c:v>-2.469127571505636E-3</c:v>
                </c:pt>
                <c:pt idx="304">
                  <c:v>0</c:v>
                </c:pt>
                <c:pt idx="305">
                  <c:v>-3.6900246448733354E-3</c:v>
                </c:pt>
                <c:pt idx="306">
                  <c:v>-2.4539795997814418E-3</c:v>
                </c:pt>
                <c:pt idx="307">
                  <c:v>0</c:v>
                </c:pt>
                <c:pt idx="308">
                  <c:v>9.913355780253541E-3</c:v>
                </c:pt>
                <c:pt idx="309">
                  <c:v>-1.4652093149823964E-2</c:v>
                </c:pt>
                <c:pt idx="310">
                  <c:v>1.1111074071775695E-2</c:v>
                </c:pt>
                <c:pt idx="311">
                  <c:v>7.462661504348711E-3</c:v>
                </c:pt>
                <c:pt idx="312">
                  <c:v>0</c:v>
                </c:pt>
                <c:pt idx="313">
                  <c:v>-1.242231858080256E-3</c:v>
                </c:pt>
                <c:pt idx="314">
                  <c:v>0</c:v>
                </c:pt>
                <c:pt idx="315">
                  <c:v>3.8709681742043367E-2</c:v>
                </c:pt>
                <c:pt idx="316">
                  <c:v>3.8874003968672799E-2</c:v>
                </c:pt>
                <c:pt idx="317">
                  <c:v>5.3908174710857182E-3</c:v>
                </c:pt>
                <c:pt idx="318">
                  <c:v>-9.345763292335274E-3</c:v>
                </c:pt>
                <c:pt idx="319">
                  <c:v>8.0753430315536612E-3</c:v>
                </c:pt>
                <c:pt idx="320">
                  <c:v>2.0604470654863594E-2</c:v>
                </c:pt>
                <c:pt idx="321">
                  <c:v>-4.1039537581715191E-3</c:v>
                </c:pt>
                <c:pt idx="322">
                  <c:v>5.5020451963099237E-3</c:v>
                </c:pt>
                <c:pt idx="323">
                  <c:v>9.7221899686177338E-3</c:v>
                </c:pt>
                <c:pt idx="324">
                  <c:v>1.408445965860583E-2</c:v>
                </c:pt>
                <c:pt idx="325">
                  <c:v>1.865145084471509E-2</c:v>
                </c:pt>
                <c:pt idx="326">
                  <c:v>-1.8309943827447883E-2</c:v>
                </c:pt>
                <c:pt idx="327">
                  <c:v>1.4285665538580128E-2</c:v>
                </c:pt>
                <c:pt idx="328">
                  <c:v>-1.426528662722415E-3</c:v>
                </c:pt>
                <c:pt idx="329">
                  <c:v>-9.8869722935067683E-3</c:v>
                </c:pt>
                <c:pt idx="330">
                  <c:v>1.4326598537582891E-2</c:v>
                </c:pt>
                <c:pt idx="333">
                  <c:v>1.4224702734881856E-3</c:v>
                </c:pt>
                <c:pt idx="334">
                  <c:v>7.1632992687915564E-3</c:v>
                </c:pt>
                <c:pt idx="335">
                  <c:v>8.6706416800110819E-3</c:v>
                </c:pt>
                <c:pt idx="336">
                  <c:v>-1.9830108337671626E-2</c:v>
                </c:pt>
                <c:pt idx="337">
                  <c:v>-9.8176389192338176E-3</c:v>
                </c:pt>
                <c:pt idx="338">
                  <c:v>2.1489897806374447E-2</c:v>
                </c:pt>
                <c:pt idx="339">
                  <c:v>0</c:v>
                </c:pt>
                <c:pt idx="340">
                  <c:v>-2.3776144346685735E-2</c:v>
                </c:pt>
                <c:pt idx="341">
                  <c:v>5.6258601434187039E-3</c:v>
                </c:pt>
                <c:pt idx="342">
                  <c:v>2.3021656480394892E-2</c:v>
                </c:pt>
                <c:pt idx="343">
                  <c:v>-2.250358663921026E-2</c:v>
                </c:pt>
                <c:pt idx="344">
                  <c:v>8.5106094629894269E-3</c:v>
                </c:pt>
                <c:pt idx="345">
                  <c:v>1.4204497259782123E-3</c:v>
                </c:pt>
                <c:pt idx="346">
                  <c:v>5.71426621543214E-3</c:v>
                </c:pt>
                <c:pt idx="347">
                  <c:v>1.4307590615112442E-3</c:v>
                </c:pt>
                <c:pt idx="348">
                  <c:v>1.4325110678143904E-3</c:v>
                </c:pt>
                <c:pt idx="349">
                  <c:v>2.8735533565797944E-3</c:v>
                </c:pt>
                <c:pt idx="350">
                  <c:v>1.4389936189673769E-3</c:v>
                </c:pt>
                <c:pt idx="351">
                  <c:v>1.4409174464591334E-3</c:v>
                </c:pt>
                <c:pt idx="352">
                  <c:v>1.1661768739944067E-2</c:v>
                </c:pt>
                <c:pt idx="353">
                  <c:v>0</c:v>
                </c:pt>
                <c:pt idx="354">
                  <c:v>-2.9069670905000899E-3</c:v>
                </c:pt>
                <c:pt idx="355">
                  <c:v>8.7976244860668018E-3</c:v>
                </c:pt>
                <c:pt idx="356">
                  <c:v>-1.4641239455653876E-3</c:v>
                </c:pt>
                <c:pt idx="357">
                  <c:v>1.4662707476778003E-3</c:v>
                </c:pt>
                <c:pt idx="358">
                  <c:v>7.3854994473723234E-3</c:v>
                </c:pt>
                <c:pt idx="359">
                  <c:v>5.9435162265430996E-3</c:v>
                </c:pt>
                <c:pt idx="360">
                  <c:v>-5.9083995578979032E-3</c:v>
                </c:pt>
                <c:pt idx="361">
                  <c:v>2.9629529338512928E-3</c:v>
                </c:pt>
                <c:pt idx="362">
                  <c:v>5.961231564810765E-3</c:v>
                </c:pt>
                <c:pt idx="363">
                  <c:v>-1.4879358660697672E-3</c:v>
                </c:pt>
                <c:pt idx="364">
                  <c:v>-1.4662859753312052E-2</c:v>
                </c:pt>
                <c:pt idx="365">
                  <c:v>-1.4641239455653876E-3</c:v>
                </c:pt>
                <c:pt idx="366">
                  <c:v>-4.373163277479053E-3</c:v>
                </c:pt>
                <c:pt idx="367">
                  <c:v>1.6296241136181333E-2</c:v>
                </c:pt>
                <c:pt idx="368">
                  <c:v>-8.8105431277261115E-3</c:v>
                </c:pt>
                <c:pt idx="369">
                  <c:v>-8.7335954087174317E-3</c:v>
                </c:pt>
                <c:pt idx="370">
                  <c:v>-4.3478116902507802E-3</c:v>
                </c:pt>
                <c:pt idx="371">
                  <c:v>7.2992457269203115E-3</c:v>
                </c:pt>
                <c:pt idx="372">
                  <c:v>1.3313564469877193E-2</c:v>
                </c:pt>
                <c:pt idx="373">
                  <c:v>-1.0248867618957935E-2</c:v>
                </c:pt>
                <c:pt idx="374">
                  <c:v>1.1851811735404505E-2</c:v>
                </c:pt>
                <c:pt idx="375">
                  <c:v>2.9717581132715498E-3</c:v>
                </c:pt>
                <c:pt idx="376">
                  <c:v>-5.9083995578979032E-3</c:v>
                </c:pt>
                <c:pt idx="377">
                  <c:v>1.3473165372991813E-2</c:v>
                </c:pt>
                <c:pt idx="378">
                  <c:v>1.5197518017558087E-2</c:v>
                </c:pt>
                <c:pt idx="379">
                  <c:v>1.5432046827263068E-2</c:v>
                </c:pt>
                <c:pt idx="380">
                  <c:v>2.047253752799727E-2</c:v>
                </c:pt>
                <c:pt idx="381">
                  <c:v>-1.5723219091112739E-3</c:v>
                </c:pt>
                <c:pt idx="382">
                  <c:v>1.2738811370603065E-2</c:v>
                </c:pt>
                <c:pt idx="383">
                  <c:v>6.4102350730195212E-3</c:v>
                </c:pt>
                <c:pt idx="384">
                  <c:v>9.7087052337339053E-3</c:v>
                </c:pt>
                <c:pt idx="385">
                  <c:v>-1.6155034644655952E-3</c:v>
                </c:pt>
                <c:pt idx="386">
                  <c:v>3.2414801738329668E-3</c:v>
                </c:pt>
                <c:pt idx="387">
                  <c:v>8.1699069127814106E-3</c:v>
                </c:pt>
                <c:pt idx="388">
                  <c:v>4.9262629432067495E-3</c:v>
                </c:pt>
                <c:pt idx="389">
                  <c:v>6.6115486843849602E-3</c:v>
                </c:pt>
                <c:pt idx="390">
                  <c:v>1.6556237303202437E-3</c:v>
                </c:pt>
                <c:pt idx="391">
                  <c:v>0</c:v>
                </c:pt>
                <c:pt idx="392">
                  <c:v>-9.8360337565241984E-3</c:v>
                </c:pt>
                <c:pt idx="393">
                  <c:v>1.6420308044908793E-3</c:v>
                </c:pt>
                <c:pt idx="394">
                  <c:v>1.6447315042862343E-3</c:v>
                </c:pt>
                <c:pt idx="395">
                  <c:v>-1.298713778878946E-2</c:v>
                </c:pt>
                <c:pt idx="396">
                  <c:v>6.5359255302253061E-3</c:v>
                </c:pt>
                <c:pt idx="397">
                  <c:v>-4.8780323057555641E-3</c:v>
                </c:pt>
                <c:pt idx="398">
                  <c:v>1.6286589856340239E-3</c:v>
                </c:pt>
                <c:pt idx="399">
                  <c:v>-1.62601076858504E-3</c:v>
                </c:pt>
                <c:pt idx="400">
                  <c:v>1.1513291340212728E-2</c:v>
                </c:pt>
                <c:pt idx="401">
                  <c:v>1.6474411025690916E-3</c:v>
                </c:pt>
                <c:pt idx="402">
                  <c:v>9.9833282875827489E-3</c:v>
                </c:pt>
                <c:pt idx="403">
                  <c:v>5.0167058545254051E-3</c:v>
                </c:pt>
                <c:pt idx="404">
                  <c:v>-4.9916641437914855E-3</c:v>
                </c:pt>
                <c:pt idx="405">
                  <c:v>-8.250798216956956E-3</c:v>
                </c:pt>
                <c:pt idx="406">
                  <c:v>-6.5573558376826879E-3</c:v>
                </c:pt>
                <c:pt idx="407">
                  <c:v>1.6420308044908793E-3</c:v>
                </c:pt>
                <c:pt idx="408">
                  <c:v>1.1627868863488544E-2</c:v>
                </c:pt>
                <c:pt idx="409">
                  <c:v>-4.9586615132887202E-3</c:v>
                </c:pt>
                <c:pt idx="410">
                  <c:v>3.3167387319923414E-3</c:v>
                </c:pt>
                <c:pt idx="411">
                  <c:v>1.0050218038274883E-2</c:v>
                </c:pt>
                <c:pt idx="412">
                  <c:v>5.0504882733106715E-3</c:v>
                </c:pt>
                <c:pt idx="413">
                  <c:v>-5.0251090191374415E-3</c:v>
                </c:pt>
                <c:pt idx="414">
                  <c:v>5.0504882733106715E-3</c:v>
                </c:pt>
                <c:pt idx="415">
                  <c:v>-1.6806666952916549E-3</c:v>
                </c:pt>
                <c:pt idx="416">
                  <c:v>1.0186723089129934E-2</c:v>
                </c:pt>
                <c:pt idx="417">
                  <c:v>1.0291560364720453E-2</c:v>
                </c:pt>
                <c:pt idx="418">
                  <c:v>2.1015689197403153E-2</c:v>
                </c:pt>
                <c:pt idx="419">
                  <c:v>1.9642977023725638E-2</c:v>
                </c:pt>
                <c:pt idx="420">
                  <c:v>-3.4482820364203803E-2</c:v>
                </c:pt>
                <c:pt idx="421">
                  <c:v>-1.6949095857531238E-2</c:v>
                </c:pt>
                <c:pt idx="422">
                  <c:v>1.6977871815218037E-3</c:v>
                </c:pt>
                <c:pt idx="423">
                  <c:v>-5.0675506768225187E-3</c:v>
                </c:pt>
                <c:pt idx="424">
                  <c:v>5.0933615445649671E-3</c:v>
                </c:pt>
                <c:pt idx="425">
                  <c:v>4.9910892249319438E-2</c:v>
                </c:pt>
                <c:pt idx="426">
                  <c:v>5.3763260748185271E-3</c:v>
                </c:pt>
                <c:pt idx="427">
                  <c:v>-3.5714166495741662E-3</c:v>
                </c:pt>
                <c:pt idx="428">
                  <c:v>-2.6087047613612024E-2</c:v>
                </c:pt>
                <c:pt idx="429">
                  <c:v>3.0466033873068898E-2</c:v>
                </c:pt>
                <c:pt idx="430">
                  <c:v>-3.1250073246725796E-2</c:v>
                </c:pt>
                <c:pt idx="431">
                  <c:v>3.4844901379829096E-3</c:v>
                </c:pt>
                <c:pt idx="432">
                  <c:v>8.7871332306368455E-3</c:v>
                </c:pt>
                <c:pt idx="433">
                  <c:v>-1.8965452719406972E-2</c:v>
                </c:pt>
                <c:pt idx="434">
                  <c:v>-1.1925002503431426E-2</c:v>
                </c:pt>
                <c:pt idx="435">
                  <c:v>-5.0847287572594047E-3</c:v>
                </c:pt>
                <c:pt idx="436">
                  <c:v>-4.8387102177554375E-2</c:v>
                </c:pt>
                <c:pt idx="437">
                  <c:v>-1.4851485148514865E-2</c:v>
                </c:pt>
                <c:pt idx="438">
                  <c:v>1.0000000000000009E-2</c:v>
                </c:pt>
                <c:pt idx="439">
                  <c:v>1.6949152542372836E-2</c:v>
                </c:pt>
                <c:pt idx="440">
                  <c:v>-1.1725293132328174E-2</c:v>
                </c:pt>
                <c:pt idx="441">
                  <c:v>3.3613445378151141E-3</c:v>
                </c:pt>
                <c:pt idx="442">
                  <c:v>-2.4590163934426146E-2</c:v>
                </c:pt>
                <c:pt idx="443">
                  <c:v>1.6666666666666607E-2</c:v>
                </c:pt>
                <c:pt idx="444">
                  <c:v>-8.2644628099173278E-3</c:v>
                </c:pt>
                <c:pt idx="445">
                  <c:v>-1.3050570962479635E-2</c:v>
                </c:pt>
                <c:pt idx="446">
                  <c:v>-2.6984126984126999E-2</c:v>
                </c:pt>
                <c:pt idx="447">
                  <c:v>-2.3255813953488413E-2</c:v>
                </c:pt>
                <c:pt idx="448">
                  <c:v>-3.5874439461883401E-2</c:v>
                </c:pt>
                <c:pt idx="449">
                  <c:v>2.2935779816513735E-2</c:v>
                </c:pt>
                <c:pt idx="450">
                  <c:v>3.8095238095238182E-2</c:v>
                </c:pt>
                <c:pt idx="451">
                  <c:v>1.9417475728155331E-2</c:v>
                </c:pt>
                <c:pt idx="452">
                  <c:v>-3.225806451612967E-3</c:v>
                </c:pt>
                <c:pt idx="453">
                  <c:v>-8.0000000000000071E-3</c:v>
                </c:pt>
                <c:pt idx="454">
                  <c:v>3.2102728731941976E-3</c:v>
                </c:pt>
                <c:pt idx="455">
                  <c:v>-3.1999999999999806E-3</c:v>
                </c:pt>
                <c:pt idx="456">
                  <c:v>8.0645161290322509E-3</c:v>
                </c:pt>
                <c:pt idx="457">
                  <c:v>3.2362459546926292E-3</c:v>
                </c:pt>
                <c:pt idx="458">
                  <c:v>1.6207455429497752E-3</c:v>
                </c:pt>
                <c:pt idx="459">
                  <c:v>-9.6308186195827039E-3</c:v>
                </c:pt>
                <c:pt idx="460">
                  <c:v>4.8387096774193949E-3</c:v>
                </c:pt>
                <c:pt idx="463">
                  <c:v>4.8939641109297938E-3</c:v>
                </c:pt>
                <c:pt idx="464">
                  <c:v>3.2733224222585289E-3</c:v>
                </c:pt>
                <c:pt idx="465">
                  <c:v>2.1739130434782483E-2</c:v>
                </c:pt>
                <c:pt idx="466">
                  <c:v>-3.3333333333332993E-3</c:v>
                </c:pt>
                <c:pt idx="467">
                  <c:v>-6.6225165562914245E-3</c:v>
                </c:pt>
                <c:pt idx="468">
                  <c:v>-1.6528925619834212E-3</c:v>
                </c:pt>
                <c:pt idx="469">
                  <c:v>8.3333333333333037E-3</c:v>
                </c:pt>
                <c:pt idx="470">
                  <c:v>3.3444816053511683E-3</c:v>
                </c:pt>
                <c:pt idx="471">
                  <c:v>-6.6445182724250706E-3</c:v>
                </c:pt>
                <c:pt idx="472">
                  <c:v>3.3333333333331883E-3</c:v>
                </c:pt>
                <c:pt idx="473">
                  <c:v>-3.3222591362125353E-3</c:v>
                </c:pt>
                <c:pt idx="474">
                  <c:v>3.3333333333331883E-3</c:v>
                </c:pt>
                <c:pt idx="475">
                  <c:v>1.6694490818029983E-3</c:v>
                </c:pt>
                <c:pt idx="476">
                  <c:v>-1.6666666666665941E-3</c:v>
                </c:pt>
                <c:pt idx="477">
                  <c:v>-3.2258064516129115E-2</c:v>
                </c:pt>
                <c:pt idx="478">
                  <c:v>8.1300813008129413E-3</c:v>
                </c:pt>
                <c:pt idx="479">
                  <c:v>-9.6618357487922024E-3</c:v>
                </c:pt>
                <c:pt idx="480">
                  <c:v>-3.2102728731943087E-3</c:v>
                </c:pt>
                <c:pt idx="481">
                  <c:v>-4.7923322683705027E-3</c:v>
                </c:pt>
                <c:pt idx="482">
                  <c:v>0</c:v>
                </c:pt>
                <c:pt idx="483">
                  <c:v>4.8154093097911854E-3</c:v>
                </c:pt>
                <c:pt idx="484">
                  <c:v>-3.1999999999999806E-3</c:v>
                </c:pt>
                <c:pt idx="485">
                  <c:v>3.2102728731941976E-3</c:v>
                </c:pt>
                <c:pt idx="486">
                  <c:v>3.2206119162641045E-3</c:v>
                </c:pt>
                <c:pt idx="487">
                  <c:v>2.1381578947368363E-2</c:v>
                </c:pt>
                <c:pt idx="488">
                  <c:v>-1.1382113821138296E-2</c:v>
                </c:pt>
                <c:pt idx="489">
                  <c:v>3.2626427406199365E-3</c:v>
                </c:pt>
                <c:pt idx="490">
                  <c:v>-1.6286644951140072E-3</c:v>
                </c:pt>
                <c:pt idx="491">
                  <c:v>6.5573770491802463E-3</c:v>
                </c:pt>
                <c:pt idx="492">
                  <c:v>-3.2679738562092497E-3</c:v>
                </c:pt>
                <c:pt idx="493">
                  <c:v>-4.8780487804878092E-3</c:v>
                </c:pt>
                <c:pt idx="494">
                  <c:v>-4.8543689320387218E-3</c:v>
                </c:pt>
                <c:pt idx="495">
                  <c:v>-6.4308681672026191E-3</c:v>
                </c:pt>
                <c:pt idx="496">
                  <c:v>1.6339869281045694E-2</c:v>
                </c:pt>
                <c:pt idx="497">
                  <c:v>-8.1037277147487652E-3</c:v>
                </c:pt>
                <c:pt idx="498">
                  <c:v>0</c:v>
                </c:pt>
                <c:pt idx="499">
                  <c:v>6.5252854812398731E-3</c:v>
                </c:pt>
                <c:pt idx="500">
                  <c:v>1.3223140495867813E-2</c:v>
                </c:pt>
                <c:pt idx="501">
                  <c:v>-1.6501650165016146E-3</c:v>
                </c:pt>
                <c:pt idx="502">
                  <c:v>-1.1419249592169667E-2</c:v>
                </c:pt>
                <c:pt idx="503">
                  <c:v>-1.1290322580645218E-2</c:v>
                </c:pt>
                <c:pt idx="504">
                  <c:v>8.1300813008129413E-3</c:v>
                </c:pt>
                <c:pt idx="505">
                  <c:v>1.1513157894736947E-2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40-453D-97BA-ED82169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Sheet4!$P$4</c:f>
              <c:strCache>
                <c:ptCount val="1"/>
                <c:pt idx="0">
                  <c:v>FIA1S.HE.csv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811693491909799E-2"/>
                  <c:y val="-0.280160032079323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Sheet4!$P$5:$P$511</c:f>
              <c:numCache>
                <c:formatCode>0.0\ %</c:formatCode>
                <c:ptCount val="507"/>
                <c:pt idx="0">
                  <c:v>3.0918941971252112E-2</c:v>
                </c:pt>
                <c:pt idx="1">
                  <c:v>-3.2429593645375232E-2</c:v>
                </c:pt>
                <c:pt idx="2">
                  <c:v>-9.4629539407098395E-4</c:v>
                </c:pt>
                <c:pt idx="3">
                  <c:v>3.5499112279646416E-2</c:v>
                </c:pt>
                <c:pt idx="4">
                  <c:v>3.6026211503070726E-3</c:v>
                </c:pt>
                <c:pt idx="5">
                  <c:v>1.9323911231093005E-2</c:v>
                </c:pt>
                <c:pt idx="6">
                  <c:v>-3.9838274399707219E-3</c:v>
                </c:pt>
                <c:pt idx="7">
                  <c:v>2.101395884009416E-2</c:v>
                </c:pt>
                <c:pt idx="8">
                  <c:v>0.12590058864974196</c:v>
                </c:pt>
                <c:pt idx="9">
                  <c:v>-8.034613214054287E-2</c:v>
                </c:pt>
                <c:pt idx="10">
                  <c:v>0.26722996238809116</c:v>
                </c:pt>
                <c:pt idx="11">
                  <c:v>0.14482382194190069</c:v>
                </c:pt>
                <c:pt idx="12">
                  <c:v>-4.8665801240444284E-2</c:v>
                </c:pt>
                <c:pt idx="13">
                  <c:v>-5.6863011835124544E-2</c:v>
                </c:pt>
                <c:pt idx="14">
                  <c:v>6.8040158658666083E-2</c:v>
                </c:pt>
                <c:pt idx="15">
                  <c:v>1.4354560594225685E-2</c:v>
                </c:pt>
                <c:pt idx="16">
                  <c:v>-3.8541651906536467E-2</c:v>
                </c:pt>
                <c:pt idx="17">
                  <c:v>-6.7222670138384122E-2</c:v>
                </c:pt>
                <c:pt idx="18">
                  <c:v>1.7742469381001325E-3</c:v>
                </c:pt>
                <c:pt idx="19">
                  <c:v>3.1889166700823646E-2</c:v>
                </c:pt>
                <c:pt idx="20">
                  <c:v>-5.7715580503128416E-2</c:v>
                </c:pt>
                <c:pt idx="21">
                  <c:v>-1.9280059595206955E-2</c:v>
                </c:pt>
                <c:pt idx="22">
                  <c:v>-5.5455510369584182E-2</c:v>
                </c:pt>
                <c:pt idx="23">
                  <c:v>1.6474324783009253E-2</c:v>
                </c:pt>
                <c:pt idx="24">
                  <c:v>6.7612096951352729E-3</c:v>
                </c:pt>
                <c:pt idx="25">
                  <c:v>1.3507161764342079E-2</c:v>
                </c:pt>
                <c:pt idx="26">
                  <c:v>-4.2037586547960526E-4</c:v>
                </c:pt>
                <c:pt idx="27">
                  <c:v>1.5378821166279533E-2</c:v>
                </c:pt>
                <c:pt idx="28">
                  <c:v>-1.4536681925027772E-2</c:v>
                </c:pt>
                <c:pt idx="29">
                  <c:v>1.2831115454978281E-2</c:v>
                </c:pt>
                <c:pt idx="30">
                  <c:v>-2.300287535942025E-3</c:v>
                </c:pt>
                <c:pt idx="31">
                  <c:v>-5.1936661451666422E-2</c:v>
                </c:pt>
                <c:pt idx="32">
                  <c:v>2.5924124513618807E-2</c:v>
                </c:pt>
                <c:pt idx="33">
                  <c:v>-1.9610180604399008E-2</c:v>
                </c:pt>
                <c:pt idx="34">
                  <c:v>-5.9569905283840541E-4</c:v>
                </c:pt>
                <c:pt idx="35">
                  <c:v>-1.4778036011925844E-2</c:v>
                </c:pt>
                <c:pt idx="36">
                  <c:v>3.2341714631929808E-2</c:v>
                </c:pt>
                <c:pt idx="37">
                  <c:v>2.7593420413652314E-2</c:v>
                </c:pt>
                <c:pt idx="38">
                  <c:v>2.0042930992874686E-2</c:v>
                </c:pt>
                <c:pt idx="39">
                  <c:v>-2.5763181666316082E-2</c:v>
                </c:pt>
                <c:pt idx="40">
                  <c:v>-1.3525225522149409E-2</c:v>
                </c:pt>
                <c:pt idx="41">
                  <c:v>2.3922906745659667E-2</c:v>
                </c:pt>
                <c:pt idx="42">
                  <c:v>-2.8144890918808563E-2</c:v>
                </c:pt>
                <c:pt idx="43">
                  <c:v>2.8627465312038858E-3</c:v>
                </c:pt>
                <c:pt idx="44">
                  <c:v>-1.370899915895718E-2</c:v>
                </c:pt>
                <c:pt idx="45">
                  <c:v>2.2682591172711986E-2</c:v>
                </c:pt>
                <c:pt idx="46">
                  <c:v>1.0843238812087819E-2</c:v>
                </c:pt>
                <c:pt idx="47">
                  <c:v>1.9991638478203066E-2</c:v>
                </c:pt>
                <c:pt idx="48">
                  <c:v>6.4261943923804576E-3</c:v>
                </c:pt>
                <c:pt idx="49">
                  <c:v>5.5902452784222234E-3</c:v>
                </c:pt>
                <c:pt idx="50">
                  <c:v>7.3751646818733807E-3</c:v>
                </c:pt>
                <c:pt idx="51">
                  <c:v>-6.4499758337360991E-2</c:v>
                </c:pt>
                <c:pt idx="52">
                  <c:v>4.7594936708860835E-2</c:v>
                </c:pt>
                <c:pt idx="53">
                  <c:v>-2.1623362147970115E-2</c:v>
                </c:pt>
                <c:pt idx="54">
                  <c:v>-8.24152204085149E-3</c:v>
                </c:pt>
                <c:pt idx="55">
                  <c:v>2.4748817966904202E-3</c:v>
                </c:pt>
                <c:pt idx="56">
                  <c:v>6.6560071394041742E-3</c:v>
                </c:pt>
                <c:pt idx="57">
                  <c:v>-2.8689412727841757E-2</c:v>
                </c:pt>
                <c:pt idx="58">
                  <c:v>4.4765606329320917E-2</c:v>
                </c:pt>
                <c:pt idx="59">
                  <c:v>2.7329818576523612E-2</c:v>
                </c:pt>
                <c:pt idx="60">
                  <c:v>1.7345380174489389E-3</c:v>
                </c:pt>
                <c:pt idx="61">
                  <c:v>4.7993756909672225E-3</c:v>
                </c:pt>
                <c:pt idx="62">
                  <c:v>-1.4206403138743329E-2</c:v>
                </c:pt>
                <c:pt idx="63">
                  <c:v>-8.5831411734560437E-4</c:v>
                </c:pt>
                <c:pt idx="64">
                  <c:v>-1.7742544356360801E-2</c:v>
                </c:pt>
                <c:pt idx="65">
                  <c:v>4.6649220616679088E-3</c:v>
                </c:pt>
                <c:pt idx="66">
                  <c:v>1.9921089277425308E-2</c:v>
                </c:pt>
                <c:pt idx="67">
                  <c:v>4.2568012073851413E-4</c:v>
                </c:pt>
                <c:pt idx="68">
                  <c:v>-2.035787398589739E-2</c:v>
                </c:pt>
                <c:pt idx="69">
                  <c:v>1.5945154829764219E-2</c:v>
                </c:pt>
                <c:pt idx="70">
                  <c:v>2.1614945190675527E-3</c:v>
                </c:pt>
                <c:pt idx="71">
                  <c:v>-2.7307085825845401E-2</c:v>
                </c:pt>
                <c:pt idx="72">
                  <c:v>-4.0709749450760446E-2</c:v>
                </c:pt>
                <c:pt idx="73">
                  <c:v>3.0737628846843945E-2</c:v>
                </c:pt>
                <c:pt idx="74">
                  <c:v>2.6444475492499731E-2</c:v>
                </c:pt>
                <c:pt idx="75">
                  <c:v>1.2956101075600746E-2</c:v>
                </c:pt>
                <c:pt idx="76">
                  <c:v>4.3417584121570041E-3</c:v>
                </c:pt>
                <c:pt idx="79">
                  <c:v>1.0169804112710956E-2</c:v>
                </c:pt>
                <c:pt idx="80">
                  <c:v>-4.4067307566197922E-3</c:v>
                </c:pt>
                <c:pt idx="81">
                  <c:v>8.4381488976179586E-3</c:v>
                </c:pt>
                <c:pt idx="82">
                  <c:v>-3.1398923904688791E-2</c:v>
                </c:pt>
                <c:pt idx="83">
                  <c:v>5.6335169222025305E-2</c:v>
                </c:pt>
                <c:pt idx="84">
                  <c:v>2.3731020724814478E-2</c:v>
                </c:pt>
                <c:pt idx="85">
                  <c:v>2.821816731478699E-2</c:v>
                </c:pt>
                <c:pt idx="86">
                  <c:v>-7.1280071280072077E-3</c:v>
                </c:pt>
                <c:pt idx="87">
                  <c:v>-6.5241532481954412E-2</c:v>
                </c:pt>
                <c:pt idx="88">
                  <c:v>2.0369071386175941E-2</c:v>
                </c:pt>
                <c:pt idx="89">
                  <c:v>2.7323143514135229E-3</c:v>
                </c:pt>
                <c:pt idx="90">
                  <c:v>1.5675445465660909E-2</c:v>
                </c:pt>
                <c:pt idx="91">
                  <c:v>1.0733725838702579E-2</c:v>
                </c:pt>
                <c:pt idx="92">
                  <c:v>-2.8543678843144793E-2</c:v>
                </c:pt>
                <c:pt idx="93">
                  <c:v>2.6503087872829401E-2</c:v>
                </c:pt>
                <c:pt idx="94">
                  <c:v>5.183588458905608E-2</c:v>
                </c:pt>
                <c:pt idx="95">
                  <c:v>-2.4328203379233027E-2</c:v>
                </c:pt>
                <c:pt idx="96">
                  <c:v>-1.1323882714922018E-2</c:v>
                </c:pt>
                <c:pt idx="97">
                  <c:v>3.0624656106107651E-2</c:v>
                </c:pt>
                <c:pt idx="98">
                  <c:v>3.4143577375158607E-3</c:v>
                </c:pt>
                <c:pt idx="99">
                  <c:v>-1.9431272748364758E-3</c:v>
                </c:pt>
                <c:pt idx="100">
                  <c:v>-2.422424405359902E-2</c:v>
                </c:pt>
                <c:pt idx="101">
                  <c:v>2.6328783038048087E-2</c:v>
                </c:pt>
                <c:pt idx="102">
                  <c:v>-8.2239921648831205E-3</c:v>
                </c:pt>
                <c:pt idx="103">
                  <c:v>6.8154464117400337E-3</c:v>
                </c:pt>
                <c:pt idx="104">
                  <c:v>-3.5227129646469679E-2</c:v>
                </c:pt>
                <c:pt idx="105">
                  <c:v>-4.7429302486739933E-2</c:v>
                </c:pt>
                <c:pt idx="106">
                  <c:v>8.9367888917046834E-4</c:v>
                </c:pt>
                <c:pt idx="107">
                  <c:v>0.10108976618493726</c:v>
                </c:pt>
                <c:pt idx="108">
                  <c:v>-8.3164625176597173E-3</c:v>
                </c:pt>
                <c:pt idx="109">
                  <c:v>7.3949086640745509E-3</c:v>
                </c:pt>
                <c:pt idx="110">
                  <c:v>2.4710606439464211E-3</c:v>
                </c:pt>
                <c:pt idx="111">
                  <c:v>-5.4127594833008885E-3</c:v>
                </c:pt>
                <c:pt idx="112">
                  <c:v>1.7489803816498339E-2</c:v>
                </c:pt>
                <c:pt idx="113">
                  <c:v>6.5473069143757723E-3</c:v>
                </c:pt>
                <c:pt idx="114">
                  <c:v>-1.0028138657726116E-3</c:v>
                </c:pt>
                <c:pt idx="115">
                  <c:v>-7.9881217520415548E-3</c:v>
                </c:pt>
                <c:pt idx="116">
                  <c:v>-1.5696246930901547E-2</c:v>
                </c:pt>
                <c:pt idx="117">
                  <c:v>4.9714870595107818E-4</c:v>
                </c:pt>
                <c:pt idx="118">
                  <c:v>-5.8581541726628883E-3</c:v>
                </c:pt>
                <c:pt idx="119">
                  <c:v>-1.8686789438397633E-2</c:v>
                </c:pt>
                <c:pt idx="120">
                  <c:v>-2.5657062641593398E-2</c:v>
                </c:pt>
                <c:pt idx="121">
                  <c:v>-4.7233374546773454E-4</c:v>
                </c:pt>
                <c:pt idx="122">
                  <c:v>-9.6989874532247278E-3</c:v>
                </c:pt>
                <c:pt idx="123">
                  <c:v>9.3312597200623237E-3</c:v>
                </c:pt>
                <c:pt idx="124">
                  <c:v>1.4181300961849885E-2</c:v>
                </c:pt>
                <c:pt idx="125">
                  <c:v>3.7884677909558739E-3</c:v>
                </c:pt>
                <c:pt idx="126">
                  <c:v>-2.6330277754837983E-2</c:v>
                </c:pt>
                <c:pt idx="127">
                  <c:v>-2.3913802832039144E-2</c:v>
                </c:pt>
                <c:pt idx="128">
                  <c:v>1.5581509578125985E-2</c:v>
                </c:pt>
                <c:pt idx="129">
                  <c:v>-2.1076532656604918E-2</c:v>
                </c:pt>
                <c:pt idx="130">
                  <c:v>6.5962384498199134E-2</c:v>
                </c:pt>
                <c:pt idx="131">
                  <c:v>1.9997095556200772E-2</c:v>
                </c:pt>
                <c:pt idx="132">
                  <c:v>-1.4892490808429026E-2</c:v>
                </c:pt>
                <c:pt idx="133">
                  <c:v>-1.7457796269485293E-2</c:v>
                </c:pt>
                <c:pt idx="134">
                  <c:v>2.4657573706269309E-2</c:v>
                </c:pt>
                <c:pt idx="135">
                  <c:v>1.1243973841739807E-2</c:v>
                </c:pt>
                <c:pt idx="136">
                  <c:v>1.1878619957850001E-2</c:v>
                </c:pt>
                <c:pt idx="137">
                  <c:v>-1.0283263805828557E-2</c:v>
                </c:pt>
                <c:pt idx="138">
                  <c:v>-9.7632058287810963E-4</c:v>
                </c:pt>
                <c:pt idx="139">
                  <c:v>2.6106849683757316E-2</c:v>
                </c:pt>
                <c:pt idx="140">
                  <c:v>-1.5079128097940098E-3</c:v>
                </c:pt>
                <c:pt idx="141">
                  <c:v>1.0119289990800473E-2</c:v>
                </c:pt>
                <c:pt idx="142">
                  <c:v>-1.100720390174037E-2</c:v>
                </c:pt>
                <c:pt idx="143">
                  <c:v>1.8347787785355285E-2</c:v>
                </c:pt>
                <c:pt idx="144">
                  <c:v>0</c:v>
                </c:pt>
                <c:pt idx="145">
                  <c:v>-1.0165993991444466E-3</c:v>
                </c:pt>
                <c:pt idx="146">
                  <c:v>-1.5549613873661272E-2</c:v>
                </c:pt>
                <c:pt idx="147">
                  <c:v>3.4233983717229854E-2</c:v>
                </c:pt>
                <c:pt idx="148">
                  <c:v>-5.6682027649770372E-3</c:v>
                </c:pt>
                <c:pt idx="149">
                  <c:v>4.1492495873889368E-3</c:v>
                </c:pt>
                <c:pt idx="150">
                  <c:v>-8.2302008597346932E-3</c:v>
                </c:pt>
                <c:pt idx="151">
                  <c:v>-1.5274404680077902E-3</c:v>
                </c:pt>
                <c:pt idx="152">
                  <c:v>0</c:v>
                </c:pt>
                <c:pt idx="153">
                  <c:v>7.2308804750842448E-3</c:v>
                </c:pt>
                <c:pt idx="154">
                  <c:v>1.3076683291770586E-2</c:v>
                </c:pt>
                <c:pt idx="155">
                  <c:v>3.9146138023743449E-2</c:v>
                </c:pt>
                <c:pt idx="156">
                  <c:v>2.1102419501546343E-2</c:v>
                </c:pt>
                <c:pt idx="157">
                  <c:v>-1.1068160042290165E-3</c:v>
                </c:pt>
                <c:pt idx="158">
                  <c:v>2.9104756723674852E-2</c:v>
                </c:pt>
                <c:pt idx="159">
                  <c:v>2.5166440098992604E-2</c:v>
                </c:pt>
                <c:pt idx="160">
                  <c:v>-3.6101264972197455E-2</c:v>
                </c:pt>
                <c:pt idx="161">
                  <c:v>1.8391158557448772E-2</c:v>
                </c:pt>
                <c:pt idx="162">
                  <c:v>-2.0264494393322341E-2</c:v>
                </c:pt>
                <c:pt idx="163">
                  <c:v>-1.4974904239862585E-2</c:v>
                </c:pt>
                <c:pt idx="164">
                  <c:v>-2.1676627362300138E-2</c:v>
                </c:pt>
                <c:pt idx="165">
                  <c:v>2.3864256536623385E-2</c:v>
                </c:pt>
                <c:pt idx="166">
                  <c:v>-5.4545454545451566E-4</c:v>
                </c:pt>
                <c:pt idx="167">
                  <c:v>-1.0985418165173622E-2</c:v>
                </c:pt>
                <c:pt idx="168">
                  <c:v>-1.4594542349946948E-2</c:v>
                </c:pt>
                <c:pt idx="169">
                  <c:v>-7.5142290720727756E-3</c:v>
                </c:pt>
                <c:pt idx="170">
                  <c:v>-1.8962623711905935E-2</c:v>
                </c:pt>
                <c:pt idx="171">
                  <c:v>-1.1458074919374894E-2</c:v>
                </c:pt>
                <c:pt idx="172">
                  <c:v>-7.7385805935475949E-3</c:v>
                </c:pt>
                <c:pt idx="173">
                  <c:v>-2.5677539273294081E-2</c:v>
                </c:pt>
                <c:pt idx="174">
                  <c:v>5.0991331473637658E-4</c:v>
                </c:pt>
                <c:pt idx="175">
                  <c:v>2.6352245790105755E-2</c:v>
                </c:pt>
                <c:pt idx="176">
                  <c:v>2.6529935057752807E-2</c:v>
                </c:pt>
                <c:pt idx="177">
                  <c:v>-2.7341468662588797E-2</c:v>
                </c:pt>
                <c:pt idx="178">
                  <c:v>-3.8225033997516755E-2</c:v>
                </c:pt>
                <c:pt idx="179">
                  <c:v>-1.6114019778941224E-2</c:v>
                </c:pt>
                <c:pt idx="180">
                  <c:v>-4.0749989536976283E-2</c:v>
                </c:pt>
                <c:pt idx="181">
                  <c:v>-4.6517440568762947E-3</c:v>
                </c:pt>
                <c:pt idx="182">
                  <c:v>-3.941524055968304E-2</c:v>
                </c:pt>
                <c:pt idx="183">
                  <c:v>-2.4894322689731352E-2</c:v>
                </c:pt>
                <c:pt idx="184">
                  <c:v>-2.4277265920454982E-2</c:v>
                </c:pt>
                <c:pt idx="185">
                  <c:v>-6.1202120688627959E-2</c:v>
                </c:pt>
                <c:pt idx="186">
                  <c:v>-3.4752808859551343E-2</c:v>
                </c:pt>
                <c:pt idx="187">
                  <c:v>-3.1777844584738979E-2</c:v>
                </c:pt>
                <c:pt idx="188">
                  <c:v>9.0508396371893118E-2</c:v>
                </c:pt>
                <c:pt idx="189">
                  <c:v>-1.6045400238948626E-2</c:v>
                </c:pt>
                <c:pt idx="190">
                  <c:v>-2.995885727530867E-2</c:v>
                </c:pt>
                <c:pt idx="191">
                  <c:v>-2.1889453160424455E-2</c:v>
                </c:pt>
                <c:pt idx="192">
                  <c:v>-1.3144500005593307E-2</c:v>
                </c:pt>
                <c:pt idx="193">
                  <c:v>6.5002680645737776E-2</c:v>
                </c:pt>
                <c:pt idx="194">
                  <c:v>-9.9085815393690213E-3</c:v>
                </c:pt>
                <c:pt idx="195">
                  <c:v>1.6925771316155691E-2</c:v>
                </c:pt>
                <c:pt idx="196">
                  <c:v>3.8040568304922084E-2</c:v>
                </c:pt>
                <c:pt idx="197">
                  <c:v>2.4846226487328149E-2</c:v>
                </c:pt>
                <c:pt idx="198">
                  <c:v>4.2436013409248075E-2</c:v>
                </c:pt>
                <c:pt idx="199">
                  <c:v>-3.9065296313340547E-2</c:v>
                </c:pt>
                <c:pt idx="200">
                  <c:v>3.5556379232744906E-2</c:v>
                </c:pt>
                <c:pt idx="201">
                  <c:v>2.4590052760786074E-2</c:v>
                </c:pt>
                <c:pt idx="202">
                  <c:v>-2.3560417439211778E-2</c:v>
                </c:pt>
                <c:pt idx="203">
                  <c:v>8.8811123924670277E-4</c:v>
                </c:pt>
                <c:pt idx="204">
                  <c:v>-1.0129505464947064E-2</c:v>
                </c:pt>
                <c:pt idx="205">
                  <c:v>8.8824759736305658E-3</c:v>
                </c:pt>
                <c:pt idx="206">
                  <c:v>-2.4698211864953801E-2</c:v>
                </c:pt>
                <c:pt idx="209">
                  <c:v>4.3666983849732777E-3</c:v>
                </c:pt>
                <c:pt idx="210">
                  <c:v>1.7372392483456345E-2</c:v>
                </c:pt>
                <c:pt idx="211">
                  <c:v>-6.1942354073039052E-3</c:v>
                </c:pt>
                <c:pt idx="212">
                  <c:v>-5.2831672784477979E-3</c:v>
                </c:pt>
                <c:pt idx="213">
                  <c:v>2.8975341283116629E-2</c:v>
                </c:pt>
                <c:pt idx="214">
                  <c:v>-7.6303177960429514E-3</c:v>
                </c:pt>
                <c:pt idx="215">
                  <c:v>3.392340590441667E-2</c:v>
                </c:pt>
                <c:pt idx="216">
                  <c:v>9.8538003522208317E-3</c:v>
                </c:pt>
                <c:pt idx="217">
                  <c:v>6.6126399909955946E-3</c:v>
                </c:pt>
                <c:pt idx="218">
                  <c:v>3.3172880111800307E-3</c:v>
                </c:pt>
                <c:pt idx="219">
                  <c:v>2.4765293870879113E-2</c:v>
                </c:pt>
                <c:pt idx="220">
                  <c:v>-3.3879245718240192E-3</c:v>
                </c:pt>
                <c:pt idx="221">
                  <c:v>1.8231995537418166E-2</c:v>
                </c:pt>
                <c:pt idx="222">
                  <c:v>2.6830665340206838E-2</c:v>
                </c:pt>
                <c:pt idx="223">
                  <c:v>2.5387614470939734E-3</c:v>
                </c:pt>
                <c:pt idx="224">
                  <c:v>1.5452606380530032E-2</c:v>
                </c:pt>
                <c:pt idx="225">
                  <c:v>-3.9585574698244641E-2</c:v>
                </c:pt>
                <c:pt idx="226">
                  <c:v>6.9750530549248513E-3</c:v>
                </c:pt>
                <c:pt idx="227">
                  <c:v>-2.1932243736754953E-2</c:v>
                </c:pt>
                <c:pt idx="228">
                  <c:v>-3.3893789176985378E-2</c:v>
                </c:pt>
                <c:pt idx="229">
                  <c:v>-4.8387312008754124E-2</c:v>
                </c:pt>
                <c:pt idx="230">
                  <c:v>-1.7982736572889069E-3</c:v>
                </c:pt>
                <c:pt idx="231">
                  <c:v>5.3971527675473752E-3</c:v>
                </c:pt>
                <c:pt idx="232">
                  <c:v>-2.6846533992254118E-3</c:v>
                </c:pt>
                <c:pt idx="233">
                  <c:v>-5.5887619479962569E-2</c:v>
                </c:pt>
                <c:pt idx="234">
                  <c:v>-3.3950955670065341E-2</c:v>
                </c:pt>
                <c:pt idx="235">
                  <c:v>7.0045879437670155E-3</c:v>
                </c:pt>
                <c:pt idx="236">
                  <c:v>-4.0309858491676787E-2</c:v>
                </c:pt>
                <c:pt idx="237">
                  <c:v>9.9758629299788737E-3</c:v>
                </c:pt>
                <c:pt idx="238">
                  <c:v>-2.4338464750988997E-2</c:v>
                </c:pt>
                <c:pt idx="239">
                  <c:v>4.8844745984006899E-3</c:v>
                </c:pt>
                <c:pt idx="240">
                  <c:v>-1.954624781849934E-3</c:v>
                </c:pt>
                <c:pt idx="241">
                  <c:v>-1.0624705029180559E-2</c:v>
                </c:pt>
                <c:pt idx="242">
                  <c:v>-2.0818304779080088E-2</c:v>
                </c:pt>
                <c:pt idx="243">
                  <c:v>2.4231999168792706E-2</c:v>
                </c:pt>
                <c:pt idx="244">
                  <c:v>1.574849316353566E-2</c:v>
                </c:pt>
                <c:pt idx="245">
                  <c:v>-1.930839380383409E-2</c:v>
                </c:pt>
                <c:pt idx="246">
                  <c:v>-1.0502958579881594E-2</c:v>
                </c:pt>
                <c:pt idx="247">
                  <c:v>-3.8575148239721746E-2</c:v>
                </c:pt>
                <c:pt idx="248">
                  <c:v>1.8712316248175043E-2</c:v>
                </c:pt>
                <c:pt idx="249">
                  <c:v>-9.2639621933174876E-3</c:v>
                </c:pt>
                <c:pt idx="250">
                  <c:v>1.9852932896410991E-2</c:v>
                </c:pt>
                <c:pt idx="251">
                  <c:v>2.6185331130036849E-2</c:v>
                </c:pt>
                <c:pt idx="252">
                  <c:v>9.7162620151980406E-4</c:v>
                </c:pt>
                <c:pt idx="253">
                  <c:v>1.9793571217929795E-2</c:v>
                </c:pt>
                <c:pt idx="254">
                  <c:v>-2.3205705792208708E-2</c:v>
                </c:pt>
                <c:pt idx="255">
                  <c:v>-2.1765103697024224E-2</c:v>
                </c:pt>
                <c:pt idx="256">
                  <c:v>-3.9088477076541506E-2</c:v>
                </c:pt>
                <c:pt idx="257">
                  <c:v>-6.4624954410990032E-2</c:v>
                </c:pt>
                <c:pt idx="258">
                  <c:v>1.4668845920580598E-2</c:v>
                </c:pt>
                <c:pt idx="259">
                  <c:v>1.7299434679187708E-3</c:v>
                </c:pt>
                <c:pt idx="260">
                  <c:v>-2.2801597923102324E-2</c:v>
                </c:pt>
                <c:pt idx="261">
                  <c:v>3.5866914048656495E-2</c:v>
                </c:pt>
                <c:pt idx="262">
                  <c:v>-1.6353439348733234E-2</c:v>
                </c:pt>
                <c:pt idx="263">
                  <c:v>3.8424683786891567E-2</c:v>
                </c:pt>
                <c:pt idx="264">
                  <c:v>-2.1849159567599141E-2</c:v>
                </c:pt>
                <c:pt idx="265">
                  <c:v>9.7056751385398154E-3</c:v>
                </c:pt>
                <c:pt idx="266">
                  <c:v>2.07260003434655E-2</c:v>
                </c:pt>
                <c:pt idx="267">
                  <c:v>3.6194415718717732E-3</c:v>
                </c:pt>
                <c:pt idx="268">
                  <c:v>-2.9826724912735414E-2</c:v>
                </c:pt>
                <c:pt idx="269">
                  <c:v>-4.3701745988804497E-3</c:v>
                </c:pt>
                <c:pt idx="270">
                  <c:v>-1.6325319085782164E-2</c:v>
                </c:pt>
                <c:pt idx="271">
                  <c:v>-6.8210466392876201E-3</c:v>
                </c:pt>
                <c:pt idx="272">
                  <c:v>0</c:v>
                </c:pt>
                <c:pt idx="273">
                  <c:v>2.8974289240810913E-2</c:v>
                </c:pt>
                <c:pt idx="274">
                  <c:v>4.495622424553769E-2</c:v>
                </c:pt>
                <c:pt idx="275">
                  <c:v>-1.8329205625320366E-3</c:v>
                </c:pt>
                <c:pt idx="276">
                  <c:v>7.2689183811998292E-2</c:v>
                </c:pt>
                <c:pt idx="277">
                  <c:v>1.9700274396676765E-3</c:v>
                </c:pt>
                <c:pt idx="278">
                  <c:v>2.3364654210317859E-2</c:v>
                </c:pt>
                <c:pt idx="279">
                  <c:v>-1.3121898648728592E-2</c:v>
                </c:pt>
                <c:pt idx="280">
                  <c:v>-3.7315304633345425E-2</c:v>
                </c:pt>
                <c:pt idx="281">
                  <c:v>5.7677533282116666E-3</c:v>
                </c:pt>
                <c:pt idx="282">
                  <c:v>1.4648051192553746E-2</c:v>
                </c:pt>
                <c:pt idx="283">
                  <c:v>2.4006671829391868E-2</c:v>
                </c:pt>
                <c:pt idx="284">
                  <c:v>2.8076463560333664E-3</c:v>
                </c:pt>
                <c:pt idx="285">
                  <c:v>5.6470022828307709E-3</c:v>
                </c:pt>
                <c:pt idx="286">
                  <c:v>-1.4318028399199489E-2</c:v>
                </c:pt>
                <c:pt idx="287">
                  <c:v>-2.0440598136912569E-2</c:v>
                </c:pt>
                <c:pt idx="288">
                  <c:v>2.9203025014543638E-3</c:v>
                </c:pt>
                <c:pt idx="289">
                  <c:v>3.9245917723738089E-3</c:v>
                </c:pt>
                <c:pt idx="290">
                  <c:v>-9.8018623538476124E-4</c:v>
                </c:pt>
                <c:pt idx="291">
                  <c:v>7.9034648225246862E-3</c:v>
                </c:pt>
                <c:pt idx="292">
                  <c:v>-9.7826846481726681E-3</c:v>
                </c:pt>
                <c:pt idx="293">
                  <c:v>-4.8560004635800347E-3</c:v>
                </c:pt>
                <c:pt idx="294">
                  <c:v>5.5009414814271462E-2</c:v>
                </c:pt>
                <c:pt idx="295">
                  <c:v>-1.2568365388098135E-2</c:v>
                </c:pt>
                <c:pt idx="296">
                  <c:v>2.0324465575436435E-3</c:v>
                </c:pt>
                <c:pt idx="297">
                  <c:v>-2.592535853592437E-2</c:v>
                </c:pt>
                <c:pt idx="298">
                  <c:v>-1.2693426410703812E-2</c:v>
                </c:pt>
                <c:pt idx="299">
                  <c:v>3.9245917723738089E-3</c:v>
                </c:pt>
                <c:pt idx="300">
                  <c:v>2.2049255673475265E-2</c:v>
                </c:pt>
                <c:pt idx="301">
                  <c:v>3.5694856577645817E-2</c:v>
                </c:pt>
                <c:pt idx="302">
                  <c:v>-3.1748312024134528E-2</c:v>
                </c:pt>
                <c:pt idx="303">
                  <c:v>3.9265452373842935E-2</c:v>
                </c:pt>
                <c:pt idx="304">
                  <c:v>-4.2283298097245403E-4</c:v>
                </c:pt>
                <c:pt idx="305">
                  <c:v>-4.9605824577162672E-2</c:v>
                </c:pt>
                <c:pt idx="306">
                  <c:v>-5.0841943481528817E-2</c:v>
                </c:pt>
                <c:pt idx="307">
                  <c:v>1.2390968562602245E-2</c:v>
                </c:pt>
                <c:pt idx="308">
                  <c:v>4.7929885424751184E-3</c:v>
                </c:pt>
                <c:pt idx="309">
                  <c:v>9.5951749977163381E-4</c:v>
                </c:pt>
                <c:pt idx="310">
                  <c:v>-4.3997684907123302E-2</c:v>
                </c:pt>
                <c:pt idx="311">
                  <c:v>8.3133299566164887E-3</c:v>
                </c:pt>
                <c:pt idx="312">
                  <c:v>-2.7671022290546299E-3</c:v>
                </c:pt>
                <c:pt idx="313">
                  <c:v>1.3070804827854721E-2</c:v>
                </c:pt>
                <c:pt idx="314">
                  <c:v>9.4323732524845827E-3</c:v>
                </c:pt>
                <c:pt idx="315">
                  <c:v>1.5311473914629614E-2</c:v>
                </c:pt>
                <c:pt idx="316">
                  <c:v>-2.154100152828442E-2</c:v>
                </c:pt>
                <c:pt idx="317">
                  <c:v>-2.3762591886741125E-2</c:v>
                </c:pt>
                <c:pt idx="318">
                  <c:v>-4.0350730514390754E-2</c:v>
                </c:pt>
                <c:pt idx="319">
                  <c:v>-1.7526655121330448E-3</c:v>
                </c:pt>
                <c:pt idx="320">
                  <c:v>-1.4668845920580709E-2</c:v>
                </c:pt>
                <c:pt idx="321">
                  <c:v>6.0811020446154274E-3</c:v>
                </c:pt>
                <c:pt idx="322">
                  <c:v>1.0524005601655562E-2</c:v>
                </c:pt>
                <c:pt idx="323">
                  <c:v>-2.6266964080968735E-3</c:v>
                </c:pt>
                <c:pt idx="324">
                  <c:v>8.763327560665779E-4</c:v>
                </c:pt>
                <c:pt idx="325">
                  <c:v>4.4009472515036396E-3</c:v>
                </c:pt>
                <c:pt idx="326">
                  <c:v>-6.9922793582085641E-3</c:v>
                </c:pt>
                <c:pt idx="327">
                  <c:v>4.3893568547124229E-3</c:v>
                </c:pt>
                <c:pt idx="328">
                  <c:v>4.4914985858276912E-2</c:v>
                </c:pt>
                <c:pt idx="329">
                  <c:v>-1.0887763147946039E-2</c:v>
                </c:pt>
                <c:pt idx="330">
                  <c:v>9.1562115084857787E-3</c:v>
                </c:pt>
                <c:pt idx="333">
                  <c:v>2.0990727555357358E-2</c:v>
                </c:pt>
                <c:pt idx="334">
                  <c:v>1.8295671113530698E-3</c:v>
                </c:pt>
                <c:pt idx="335">
                  <c:v>-2.0596015188361294E-2</c:v>
                </c:pt>
                <c:pt idx="336">
                  <c:v>-3.8725354495401487E-2</c:v>
                </c:pt>
                <c:pt idx="337">
                  <c:v>-4.2776053577262552E-3</c:v>
                </c:pt>
                <c:pt idx="338">
                  <c:v>-5.1190379458845303E-3</c:v>
                </c:pt>
                <c:pt idx="339">
                  <c:v>-2.5529845605219981E-3</c:v>
                </c:pt>
                <c:pt idx="340">
                  <c:v>2.5595189729421541E-3</c:v>
                </c:pt>
                <c:pt idx="341">
                  <c:v>1.2078412022902718E-2</c:v>
                </c:pt>
                <c:pt idx="342">
                  <c:v>4.336110508873503E-3</c:v>
                </c:pt>
                <c:pt idx="343">
                  <c:v>-1.3675614027941818E-2</c:v>
                </c:pt>
                <c:pt idx="344">
                  <c:v>6.9469098829294751E-2</c:v>
                </c:pt>
                <c:pt idx="345">
                  <c:v>-4.5530923085260744E-3</c:v>
                </c:pt>
                <c:pt idx="346">
                  <c:v>-5.094807452904937E-2</c:v>
                </c:pt>
                <c:pt idx="347">
                  <c:v>1.4900281925446457E-2</c:v>
                </c:pt>
                <c:pt idx="348">
                  <c:v>8.8379981249537831E-3</c:v>
                </c:pt>
                <c:pt idx="349">
                  <c:v>8.8563686779763451E-4</c:v>
                </c:pt>
                <c:pt idx="350">
                  <c:v>8.8642191572652074E-4</c:v>
                </c:pt>
                <c:pt idx="351">
                  <c:v>-1.769706418345951E-3</c:v>
                </c:pt>
                <c:pt idx="352">
                  <c:v>1.5261379192333946E-2</c:v>
                </c:pt>
                <c:pt idx="353">
                  <c:v>-2.7074272157825652E-2</c:v>
                </c:pt>
                <c:pt idx="354">
                  <c:v>-2.6152473069179782E-3</c:v>
                </c:pt>
                <c:pt idx="355">
                  <c:v>-8.6319536611212389E-3</c:v>
                </c:pt>
                <c:pt idx="356">
                  <c:v>0</c:v>
                </c:pt>
                <c:pt idx="357">
                  <c:v>3.6701651094329879E-2</c:v>
                </c:pt>
                <c:pt idx="358">
                  <c:v>1.5455598999231102E-2</c:v>
                </c:pt>
                <c:pt idx="359">
                  <c:v>5.4887013340592095E-3</c:v>
                </c:pt>
                <c:pt idx="360">
                  <c:v>0</c:v>
                </c:pt>
                <c:pt idx="361">
                  <c:v>-1.6188823176480627E-2</c:v>
                </c:pt>
                <c:pt idx="362">
                  <c:v>-2.0269348252805242E-2</c:v>
                </c:pt>
                <c:pt idx="363">
                  <c:v>-2.6586559584750979E-2</c:v>
                </c:pt>
                <c:pt idx="364">
                  <c:v>7.7847456056345798E-3</c:v>
                </c:pt>
                <c:pt idx="365">
                  <c:v>1.9377119044370117E-2</c:v>
                </c:pt>
                <c:pt idx="366">
                  <c:v>-1.3043117916416214E-2</c:v>
                </c:pt>
                <c:pt idx="367">
                  <c:v>-1.7271157167529916E-3</c:v>
                </c:pt>
                <c:pt idx="368">
                  <c:v>1.4084950183534284E-2</c:v>
                </c:pt>
                <c:pt idx="369">
                  <c:v>7.9813943654527542E-3</c:v>
                </c:pt>
                <c:pt idx="370">
                  <c:v>-1.7728438314532635E-3</c:v>
                </c:pt>
                <c:pt idx="371">
                  <c:v>1.9878169529467415E-2</c:v>
                </c:pt>
                <c:pt idx="372">
                  <c:v>2.7086818108239541E-3</c:v>
                </c:pt>
                <c:pt idx="373">
                  <c:v>-1.9532117954523809E-2</c:v>
                </c:pt>
                <c:pt idx="374">
                  <c:v>-7.0600842587437151E-3</c:v>
                </c:pt>
                <c:pt idx="375">
                  <c:v>-1.0468863707245979E-2</c:v>
                </c:pt>
                <c:pt idx="376">
                  <c:v>1.9577499125531306E-2</c:v>
                </c:pt>
                <c:pt idx="377">
                  <c:v>3.5635265083822087E-3</c:v>
                </c:pt>
                <c:pt idx="378">
                  <c:v>7.1997942915915658E-3</c:v>
                </c:pt>
                <c:pt idx="379">
                  <c:v>1.2749427632078536E-2</c:v>
                </c:pt>
                <c:pt idx="380">
                  <c:v>1.8262259084931287E-3</c:v>
                </c:pt>
                <c:pt idx="381">
                  <c:v>9.2042038747615074E-3</c:v>
                </c:pt>
                <c:pt idx="382">
                  <c:v>-1.8396443354284919E-3</c:v>
                </c:pt>
                <c:pt idx="383">
                  <c:v>1.1161060300728609E-2</c:v>
                </c:pt>
                <c:pt idx="384">
                  <c:v>7.2778457481559089E-2</c:v>
                </c:pt>
                <c:pt idx="385">
                  <c:v>-4.9641282636189166E-3</c:v>
                </c:pt>
                <c:pt idx="386">
                  <c:v>-2.0400838263728849E-2</c:v>
                </c:pt>
                <c:pt idx="387">
                  <c:v>2.5918490978417141E-2</c:v>
                </c:pt>
                <c:pt idx="388">
                  <c:v>3.39682009963993E-3</c:v>
                </c:pt>
                <c:pt idx="389">
                  <c:v>-1.9034256985852815E-2</c:v>
                </c:pt>
                <c:pt idx="390">
                  <c:v>-2.937679233405599E-3</c:v>
                </c:pt>
                <c:pt idx="391">
                  <c:v>3.9323081244295732E-3</c:v>
                </c:pt>
                <c:pt idx="392">
                  <c:v>-1.3564839934888884E-2</c:v>
                </c:pt>
                <c:pt idx="393">
                  <c:v>9.7068306042502606E-4</c:v>
                </c:pt>
                <c:pt idx="394">
                  <c:v>-1.7161093948755202E-2</c:v>
                </c:pt>
                <c:pt idx="395">
                  <c:v>-1.0374166863359902E-2</c:v>
                </c:pt>
                <c:pt idx="396">
                  <c:v>0</c:v>
                </c:pt>
                <c:pt idx="397">
                  <c:v>-9.3529745799513231E-3</c:v>
                </c:pt>
                <c:pt idx="398">
                  <c:v>-1.2914074692809807E-2</c:v>
                </c:pt>
                <c:pt idx="399">
                  <c:v>-7.3207720086846395E-3</c:v>
                </c:pt>
                <c:pt idx="400">
                  <c:v>-1.8295671113531808E-3</c:v>
                </c:pt>
                <c:pt idx="401">
                  <c:v>2.4340997066140124E-2</c:v>
                </c:pt>
                <c:pt idx="402">
                  <c:v>2.8190757458805837E-3</c:v>
                </c:pt>
                <c:pt idx="403">
                  <c:v>-1.2973963739151495E-2</c:v>
                </c:pt>
                <c:pt idx="404">
                  <c:v>1.3144500005593418E-2</c:v>
                </c:pt>
                <c:pt idx="405">
                  <c:v>1.8829225648095971E-3</c:v>
                </c:pt>
                <c:pt idx="406">
                  <c:v>-9.4057576673722831E-4</c:v>
                </c:pt>
                <c:pt idx="407">
                  <c:v>4.7251004083836978E-3</c:v>
                </c:pt>
                <c:pt idx="408">
                  <c:v>1.4367553749942807E-2</c:v>
                </c:pt>
                <c:pt idx="409">
                  <c:v>1.162535643781526E-2</c:v>
                </c:pt>
                <c:pt idx="410">
                  <c:v>6.8228839761024229E-3</c:v>
                </c:pt>
                <c:pt idx="411">
                  <c:v>-3.8787064803343929E-3</c:v>
                </c:pt>
                <c:pt idx="412">
                  <c:v>-1.9413661208500521E-3</c:v>
                </c:pt>
                <c:pt idx="413">
                  <c:v>-9.6974174853670103E-4</c:v>
                </c:pt>
                <c:pt idx="414">
                  <c:v>-1.0543269670108657E-2</c:v>
                </c:pt>
                <c:pt idx="415">
                  <c:v>1.4591180390566061E-2</c:v>
                </c:pt>
                <c:pt idx="416">
                  <c:v>-9.7257117715843222E-4</c:v>
                </c:pt>
                <c:pt idx="417">
                  <c:v>-1.6253587862772756E-2</c:v>
                </c:pt>
                <c:pt idx="418">
                  <c:v>0.33418433249753043</c:v>
                </c:pt>
                <c:pt idx="419">
                  <c:v>1.6073744672966406E-2</c:v>
                </c:pt>
                <c:pt idx="420">
                  <c:v>2.3338126313461105E-2</c:v>
                </c:pt>
                <c:pt idx="421">
                  <c:v>7.713386094800434E-2</c:v>
                </c:pt>
                <c:pt idx="422">
                  <c:v>-1.0725350215517238E-2</c:v>
                </c:pt>
                <c:pt idx="423">
                  <c:v>2.5502892169558811E-2</c:v>
                </c:pt>
                <c:pt idx="424">
                  <c:v>2.312475709288786E-2</c:v>
                </c:pt>
                <c:pt idx="425">
                  <c:v>4.0742783599926335E-2</c:v>
                </c:pt>
                <c:pt idx="426">
                  <c:v>1.6958659761045602E-2</c:v>
                </c:pt>
                <c:pt idx="427">
                  <c:v>1.1422303750070917E-2</c:v>
                </c:pt>
                <c:pt idx="428">
                  <c:v>6.433910492951167E-4</c:v>
                </c:pt>
                <c:pt idx="429">
                  <c:v>1.0903873744619874E-2</c:v>
                </c:pt>
                <c:pt idx="430">
                  <c:v>-5.0029076106709258E-2</c:v>
                </c:pt>
                <c:pt idx="431">
                  <c:v>1.675874429519042E-2</c:v>
                </c:pt>
                <c:pt idx="432">
                  <c:v>3.1347663693879202E-2</c:v>
                </c:pt>
                <c:pt idx="433">
                  <c:v>0.10694848753322383</c:v>
                </c:pt>
                <c:pt idx="434">
                  <c:v>-0.2987278106508876</c:v>
                </c:pt>
                <c:pt idx="435">
                  <c:v>0.17361111111111094</c:v>
                </c:pt>
                <c:pt idx="436">
                  <c:v>0.13163064833005889</c:v>
                </c:pt>
                <c:pt idx="437">
                  <c:v>-9.1071428571428581E-2</c:v>
                </c:pt>
                <c:pt idx="438">
                  <c:v>7.899807321772645E-2</c:v>
                </c:pt>
                <c:pt idx="439">
                  <c:v>5.4878048780487854E-2</c:v>
                </c:pt>
                <c:pt idx="440">
                  <c:v>4.6808510638297829E-2</c:v>
                </c:pt>
                <c:pt idx="441">
                  <c:v>-1.2605042016806789E-2</c:v>
                </c:pt>
                <c:pt idx="442">
                  <c:v>-6.2630480167013003E-3</c:v>
                </c:pt>
                <c:pt idx="443">
                  <c:v>6.4444444444444526E-2</c:v>
                </c:pt>
                <c:pt idx="444">
                  <c:v>-5.0632911392405E-2</c:v>
                </c:pt>
                <c:pt idx="445">
                  <c:v>8.5106382978723527E-3</c:v>
                </c:pt>
                <c:pt idx="446">
                  <c:v>4.2735042735042583E-3</c:v>
                </c:pt>
                <c:pt idx="447">
                  <c:v>-2.132196162046851E-3</c:v>
                </c:pt>
                <c:pt idx="448">
                  <c:v>-1.6771488469601747E-2</c:v>
                </c:pt>
                <c:pt idx="449">
                  <c:v>-7.3786407766990303E-2</c:v>
                </c:pt>
                <c:pt idx="450">
                  <c:v>2.1825396825396748E-2</c:v>
                </c:pt>
                <c:pt idx="451">
                  <c:v>0.15068493150684925</c:v>
                </c:pt>
                <c:pt idx="452">
                  <c:v>0.27325581395348841</c:v>
                </c:pt>
                <c:pt idx="453">
                  <c:v>1.7751479289940919E-2</c:v>
                </c:pt>
                <c:pt idx="454">
                  <c:v>-1.4577259475218707E-2</c:v>
                </c:pt>
                <c:pt idx="455">
                  <c:v>5.8651026392961825E-3</c:v>
                </c:pt>
                <c:pt idx="456">
                  <c:v>-2.5714285714285801E-2</c:v>
                </c:pt>
                <c:pt idx="457">
                  <c:v>-5.9139784946236396E-2</c:v>
                </c:pt>
                <c:pt idx="458">
                  <c:v>0</c:v>
                </c:pt>
                <c:pt idx="459">
                  <c:v>1.6393442622950616E-2</c:v>
                </c:pt>
                <c:pt idx="460">
                  <c:v>5.494505494505475E-3</c:v>
                </c:pt>
                <c:pt idx="463">
                  <c:v>-1.8617021276595702E-2</c:v>
                </c:pt>
                <c:pt idx="464">
                  <c:v>0</c:v>
                </c:pt>
                <c:pt idx="465">
                  <c:v>0</c:v>
                </c:pt>
                <c:pt idx="466">
                  <c:v>2.6666666666668171E-3</c:v>
                </c:pt>
                <c:pt idx="467">
                  <c:v>-7.9365079365080193E-3</c:v>
                </c:pt>
                <c:pt idx="468">
                  <c:v>0</c:v>
                </c:pt>
                <c:pt idx="469">
                  <c:v>2.6525198938993633E-3</c:v>
                </c:pt>
                <c:pt idx="470">
                  <c:v>-1.0498687664042161E-2</c:v>
                </c:pt>
                <c:pt idx="471">
                  <c:v>5.2770448548813409E-3</c:v>
                </c:pt>
                <c:pt idx="472">
                  <c:v>7.9787234042554278E-3</c:v>
                </c:pt>
                <c:pt idx="473">
                  <c:v>-2.3376623376623273E-2</c:v>
                </c:pt>
                <c:pt idx="474">
                  <c:v>7.8534031413612926E-3</c:v>
                </c:pt>
                <c:pt idx="475">
                  <c:v>-5.2083333333332593E-3</c:v>
                </c:pt>
                <c:pt idx="476">
                  <c:v>-3.7593984962406068E-2</c:v>
                </c:pt>
                <c:pt idx="477">
                  <c:v>1.0126582278480845E-2</c:v>
                </c:pt>
                <c:pt idx="478">
                  <c:v>4.2216358839050061E-2</c:v>
                </c:pt>
                <c:pt idx="479">
                  <c:v>-2.3195876288659711E-2</c:v>
                </c:pt>
                <c:pt idx="480">
                  <c:v>0</c:v>
                </c:pt>
                <c:pt idx="481">
                  <c:v>2.1052631578947434E-2</c:v>
                </c:pt>
                <c:pt idx="482">
                  <c:v>-1.2987012987012991E-2</c:v>
                </c:pt>
                <c:pt idx="483">
                  <c:v>0</c:v>
                </c:pt>
                <c:pt idx="484">
                  <c:v>-1.0282776349614386E-2</c:v>
                </c:pt>
                <c:pt idx="485">
                  <c:v>1.0389610389610393E-2</c:v>
                </c:pt>
                <c:pt idx="486">
                  <c:v>2.6666666666666616E-2</c:v>
                </c:pt>
                <c:pt idx="487">
                  <c:v>2.1798365122615682E-2</c:v>
                </c:pt>
                <c:pt idx="488">
                  <c:v>-8.1081081081079143E-3</c:v>
                </c:pt>
                <c:pt idx="489">
                  <c:v>1.3698630136986356E-2</c:v>
                </c:pt>
                <c:pt idx="490">
                  <c:v>3.1073446327683607E-2</c:v>
                </c:pt>
                <c:pt idx="491">
                  <c:v>-5.6179775280899014E-3</c:v>
                </c:pt>
                <c:pt idx="492">
                  <c:v>-2.4657534246575241E-2</c:v>
                </c:pt>
                <c:pt idx="493">
                  <c:v>-1.6172506738544534E-2</c:v>
                </c:pt>
                <c:pt idx="494">
                  <c:v>8.152173913043459E-3</c:v>
                </c:pt>
                <c:pt idx="495">
                  <c:v>8.2191780821918581E-3</c:v>
                </c:pt>
                <c:pt idx="496">
                  <c:v>1.6713091922005541E-2</c:v>
                </c:pt>
                <c:pt idx="497">
                  <c:v>1.9886363636363535E-2</c:v>
                </c:pt>
                <c:pt idx="498">
                  <c:v>-5.6497175141242417E-3</c:v>
                </c:pt>
                <c:pt idx="499">
                  <c:v>2.608695652173898E-2</c:v>
                </c:pt>
                <c:pt idx="500">
                  <c:v>-3.0898876404494291E-2</c:v>
                </c:pt>
                <c:pt idx="501">
                  <c:v>2.8901734104046284E-2</c:v>
                </c:pt>
                <c:pt idx="502">
                  <c:v>-1.7045454545454586E-2</c:v>
                </c:pt>
                <c:pt idx="503">
                  <c:v>2.6239067055393805E-2</c:v>
                </c:pt>
                <c:pt idx="504">
                  <c:v>-2.0000000000000129E-2</c:v>
                </c:pt>
                <c:pt idx="505">
                  <c:v>2.0408163265306367E-2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2B5-8627-9636B3DA9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Sheet4!$Q$4</c:f>
              <c:strCache>
                <c:ptCount val="1"/>
                <c:pt idx="0">
                  <c:v>FORTUM.HE.csv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7835641735918745"/>
                  <c:y val="-0.307839749198016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Sheet4!$Q$5:$Q$511</c:f>
              <c:numCache>
                <c:formatCode>0.0\ %</c:formatCode>
                <c:ptCount val="507"/>
                <c:pt idx="0">
                  <c:v>4.6245217874578248E-2</c:v>
                </c:pt>
                <c:pt idx="1">
                  <c:v>-4.224843446939297E-3</c:v>
                </c:pt>
                <c:pt idx="2">
                  <c:v>1.7626820694114587E-2</c:v>
                </c:pt>
                <c:pt idx="3">
                  <c:v>3.0185146100660809E-3</c:v>
                </c:pt>
                <c:pt idx="4">
                  <c:v>1.8445407166463479E-2</c:v>
                </c:pt>
                <c:pt idx="5">
                  <c:v>3.9251477265816126E-2</c:v>
                </c:pt>
                <c:pt idx="6">
                  <c:v>1.4351857781420785E-2</c:v>
                </c:pt>
                <c:pt idx="7">
                  <c:v>4.701898901166679E-2</c:v>
                </c:pt>
                <c:pt idx="8">
                  <c:v>0.10144139602129232</c:v>
                </c:pt>
                <c:pt idx="9">
                  <c:v>-3.7760032973436664E-2</c:v>
                </c:pt>
                <c:pt idx="10">
                  <c:v>3.3174009980347696E-2</c:v>
                </c:pt>
                <c:pt idx="11">
                  <c:v>0.10111049384820325</c:v>
                </c:pt>
                <c:pt idx="12">
                  <c:v>2.9240579886735674E-4</c:v>
                </c:pt>
                <c:pt idx="13">
                  <c:v>6.7061655576554635E-2</c:v>
                </c:pt>
                <c:pt idx="14">
                  <c:v>5.0803034475004338E-2</c:v>
                </c:pt>
                <c:pt idx="15">
                  <c:v>-1.9601521515565379E-2</c:v>
                </c:pt>
                <c:pt idx="16">
                  <c:v>3.8710174487310844E-3</c:v>
                </c:pt>
                <c:pt idx="17">
                  <c:v>-5.689076526714254E-2</c:v>
                </c:pt>
                <c:pt idx="18">
                  <c:v>1.0451835399928111E-2</c:v>
                </c:pt>
                <c:pt idx="19">
                  <c:v>-3.2996377466869453E-2</c:v>
                </c:pt>
                <c:pt idx="20">
                  <c:v>-3.1385060689604338E-2</c:v>
                </c:pt>
                <c:pt idx="21">
                  <c:v>-1.3632404112742691E-2</c:v>
                </c:pt>
                <c:pt idx="22">
                  <c:v>-3.4019280617747838E-2</c:v>
                </c:pt>
                <c:pt idx="23">
                  <c:v>-8.1632443099656227E-3</c:v>
                </c:pt>
                <c:pt idx="24">
                  <c:v>2.7214454671775634E-4</c:v>
                </c:pt>
                <c:pt idx="25">
                  <c:v>3.3474064258670611E-2</c:v>
                </c:pt>
                <c:pt idx="26">
                  <c:v>-5.6225720048930228E-4</c:v>
                </c:pt>
                <c:pt idx="27">
                  <c:v>4.8334722267991514E-2</c:v>
                </c:pt>
                <c:pt idx="28">
                  <c:v>1.5564217370474198E-2</c:v>
                </c:pt>
                <c:pt idx="29">
                  <c:v>6.6286112000599751E-3</c:v>
                </c:pt>
                <c:pt idx="30">
                  <c:v>-2.094406189342557E-2</c:v>
                </c:pt>
                <c:pt idx="31">
                  <c:v>-6.4220154294035381E-2</c:v>
                </c:pt>
                <c:pt idx="32">
                  <c:v>1.1852158058678341E-3</c:v>
                </c:pt>
                <c:pt idx="33">
                  <c:v>2.0871129446065284E-2</c:v>
                </c:pt>
                <c:pt idx="34">
                  <c:v>1.3799441591692441E-2</c:v>
                </c:pt>
                <c:pt idx="35">
                  <c:v>-7.6080666447266854E-3</c:v>
                </c:pt>
                <c:pt idx="36">
                  <c:v>2.816018580848656E-2</c:v>
                </c:pt>
                <c:pt idx="37">
                  <c:v>5.6639502729161073E-3</c:v>
                </c:pt>
                <c:pt idx="38">
                  <c:v>-2.3355941428218285E-2</c:v>
                </c:pt>
                <c:pt idx="39">
                  <c:v>-1.8401129734607058E-2</c:v>
                </c:pt>
                <c:pt idx="40">
                  <c:v>6.4547250405920575E-2</c:v>
                </c:pt>
                <c:pt idx="41">
                  <c:v>3.212763852806777E-4</c:v>
                </c:pt>
                <c:pt idx="42">
                  <c:v>-2.0453202631750544E-2</c:v>
                </c:pt>
                <c:pt idx="43">
                  <c:v>1.4687136757388863E-2</c:v>
                </c:pt>
                <c:pt idx="44">
                  <c:v>-1.011370209506024E-2</c:v>
                </c:pt>
                <c:pt idx="45">
                  <c:v>-2.4660953403166652E-2</c:v>
                </c:pt>
                <c:pt idx="46">
                  <c:v>-6.736110759045455E-3</c:v>
                </c:pt>
                <c:pt idx="47">
                  <c:v>-3.0600041203754369E-4</c:v>
                </c:pt>
                <c:pt idx="48">
                  <c:v>1.5858116767059283E-2</c:v>
                </c:pt>
                <c:pt idx="49">
                  <c:v>2.9120029902761635E-2</c:v>
                </c:pt>
                <c:pt idx="50">
                  <c:v>2.257851899590757E-2</c:v>
                </c:pt>
                <c:pt idx="51">
                  <c:v>-4.2906354599063889E-2</c:v>
                </c:pt>
                <c:pt idx="52">
                  <c:v>4.088054482328074E-3</c:v>
                </c:pt>
                <c:pt idx="53">
                  <c:v>5.3746813803188243E-3</c:v>
                </c:pt>
                <c:pt idx="54">
                  <c:v>5.4036559571213338E-3</c:v>
                </c:pt>
                <c:pt idx="55">
                  <c:v>1.6478164342677903E-2</c:v>
                </c:pt>
                <c:pt idx="56">
                  <c:v>-7.376541262223868E-3</c:v>
                </c:pt>
                <c:pt idx="57">
                  <c:v>1.4313617625077102E-2</c:v>
                </c:pt>
                <c:pt idx="58">
                  <c:v>2.5350316077406676E-2</c:v>
                </c:pt>
                <c:pt idx="59">
                  <c:v>-5.3086967794372386E-3</c:v>
                </c:pt>
                <c:pt idx="60">
                  <c:v>-6.6872994895653237E-2</c:v>
                </c:pt>
                <c:pt idx="61">
                  <c:v>5.5210700695541348E-2</c:v>
                </c:pt>
                <c:pt idx="62">
                  <c:v>-9.9705893737210061E-2</c:v>
                </c:pt>
                <c:pt idx="63">
                  <c:v>-1.7615795349182894E-3</c:v>
                </c:pt>
                <c:pt idx="64">
                  <c:v>-1.0458993589334553E-2</c:v>
                </c:pt>
                <c:pt idx="65">
                  <c:v>2.5320142568286519E-2</c:v>
                </c:pt>
                <c:pt idx="66">
                  <c:v>-2.4411451674317131E-2</c:v>
                </c:pt>
                <c:pt idx="67">
                  <c:v>-2.9337182673021545E-2</c:v>
                </c:pt>
                <c:pt idx="68">
                  <c:v>7.3885311708070667E-3</c:v>
                </c:pt>
                <c:pt idx="69">
                  <c:v>3.0755718693605383E-2</c:v>
                </c:pt>
                <c:pt idx="70">
                  <c:v>-3.3408843588688675E-2</c:v>
                </c:pt>
                <c:pt idx="71">
                  <c:v>6.2679074317497641E-3</c:v>
                </c:pt>
                <c:pt idx="72">
                  <c:v>0</c:v>
                </c:pt>
                <c:pt idx="73">
                  <c:v>2.0348609881824409E-2</c:v>
                </c:pt>
                <c:pt idx="74">
                  <c:v>3.6144735165756892E-2</c:v>
                </c:pt>
                <c:pt idx="75">
                  <c:v>-1.3958960336005743E-2</c:v>
                </c:pt>
                <c:pt idx="76">
                  <c:v>-1.4055809537518615E-2</c:v>
                </c:pt>
                <c:pt idx="79">
                  <c:v>1.0038387803669613E-2</c:v>
                </c:pt>
                <c:pt idx="80">
                  <c:v>-6.453545968323593E-3</c:v>
                </c:pt>
                <c:pt idx="81">
                  <c:v>3.8695900494196689E-2</c:v>
                </c:pt>
                <c:pt idx="82">
                  <c:v>5.496617794032943E-2</c:v>
                </c:pt>
                <c:pt idx="83">
                  <c:v>-6.153842660973885E-2</c:v>
                </c:pt>
                <c:pt idx="84">
                  <c:v>-6.0284043580582924E-4</c:v>
                </c:pt>
                <c:pt idx="85">
                  <c:v>6.8276864114442226E-2</c:v>
                </c:pt>
                <c:pt idx="86">
                  <c:v>-9.5693507505106856E-3</c:v>
                </c:pt>
                <c:pt idx="87">
                  <c:v>-3.8638462833456955E-2</c:v>
                </c:pt>
                <c:pt idx="88">
                  <c:v>2.3219320519371589E-2</c:v>
                </c:pt>
                <c:pt idx="89">
                  <c:v>-3.8322315486757907E-2</c:v>
                </c:pt>
                <c:pt idx="90">
                  <c:v>3.8545926802922681E-2</c:v>
                </c:pt>
                <c:pt idx="91">
                  <c:v>5.0016543423585746E-2</c:v>
                </c:pt>
                <c:pt idx="92">
                  <c:v>-2.6897221096049639E-2</c:v>
                </c:pt>
                <c:pt idx="93">
                  <c:v>2.3934374056792995E-2</c:v>
                </c:pt>
                <c:pt idx="94">
                  <c:v>6.5316177204554737E-2</c:v>
                </c:pt>
                <c:pt idx="95">
                  <c:v>-5.1358593364074334E-2</c:v>
                </c:pt>
                <c:pt idx="96">
                  <c:v>0.10792953854448739</c:v>
                </c:pt>
                <c:pt idx="97">
                  <c:v>3.969469783925561E-2</c:v>
                </c:pt>
                <c:pt idx="98">
                  <c:v>2.06465728325953E-2</c:v>
                </c:pt>
                <c:pt idx="99">
                  <c:v>-1.6475067501589225E-2</c:v>
                </c:pt>
                <c:pt idx="100">
                  <c:v>2.304124251935713E-3</c:v>
                </c:pt>
                <c:pt idx="101">
                  <c:v>4.9576805144712743E-2</c:v>
                </c:pt>
                <c:pt idx="102">
                  <c:v>4.0327957948615989E-4</c:v>
                </c:pt>
                <c:pt idx="103">
                  <c:v>4.3331824974122579E-2</c:v>
                </c:pt>
                <c:pt idx="104">
                  <c:v>4.1174016656781331E-2</c:v>
                </c:pt>
                <c:pt idx="105">
                  <c:v>-2.2269920039695523E-2</c:v>
                </c:pt>
                <c:pt idx="106">
                  <c:v>-2.9889293099349956E-3</c:v>
                </c:pt>
                <c:pt idx="107">
                  <c:v>-4.4861266580675685E-2</c:v>
                </c:pt>
                <c:pt idx="108">
                  <c:v>-2.6597900618628101E-2</c:v>
                </c:pt>
                <c:pt idx="109">
                  <c:v>1.5725909312645614E-2</c:v>
                </c:pt>
                <c:pt idx="110">
                  <c:v>9.2030006215313431E-2</c:v>
                </c:pt>
                <c:pt idx="111">
                  <c:v>0.11542225565351893</c:v>
                </c:pt>
                <c:pt idx="112">
                  <c:v>-8.2805169667015122E-3</c:v>
                </c:pt>
                <c:pt idx="113">
                  <c:v>-1.534780734780139E-2</c:v>
                </c:pt>
                <c:pt idx="114">
                  <c:v>-3.8727529141168948E-2</c:v>
                </c:pt>
                <c:pt idx="115">
                  <c:v>-6.4131610417090812E-3</c:v>
                </c:pt>
                <c:pt idx="116">
                  <c:v>1.3934105639201722E-2</c:v>
                </c:pt>
                <c:pt idx="117">
                  <c:v>2.670478730849668E-2</c:v>
                </c:pt>
                <c:pt idx="118">
                  <c:v>-3.3195081629972201E-2</c:v>
                </c:pt>
                <c:pt idx="119">
                  <c:v>4.1667243249032815E-3</c:v>
                </c:pt>
                <c:pt idx="120">
                  <c:v>-2.4830614088065417E-2</c:v>
                </c:pt>
                <c:pt idx="121">
                  <c:v>-1.6429929523131492E-2</c:v>
                </c:pt>
                <c:pt idx="122">
                  <c:v>1.716365868487979E-2</c:v>
                </c:pt>
                <c:pt idx="123">
                  <c:v>8.6559170122919582E-3</c:v>
                </c:pt>
                <c:pt idx="124">
                  <c:v>-1.8190555110184636E-3</c:v>
                </c:pt>
                <c:pt idx="125">
                  <c:v>-4.7639686905833423E-2</c:v>
                </c:pt>
                <c:pt idx="126">
                  <c:v>-2.0364758695532226E-2</c:v>
                </c:pt>
                <c:pt idx="127">
                  <c:v>-2.4420581598135316E-2</c:v>
                </c:pt>
                <c:pt idx="128">
                  <c:v>5.9184538662535147E-2</c:v>
                </c:pt>
                <c:pt idx="129">
                  <c:v>1.6035568228055963E-2</c:v>
                </c:pt>
                <c:pt idx="130">
                  <c:v>2.5582528020030582E-2</c:v>
                </c:pt>
                <c:pt idx="131">
                  <c:v>4.5867231329325353E-2</c:v>
                </c:pt>
                <c:pt idx="132">
                  <c:v>-2.1505428231144874E-2</c:v>
                </c:pt>
                <c:pt idx="133">
                  <c:v>1.9056776831657185E-2</c:v>
                </c:pt>
                <c:pt idx="134">
                  <c:v>1.7450244086400613E-2</c:v>
                </c:pt>
                <c:pt idx="135">
                  <c:v>2.7902420919819315E-2</c:v>
                </c:pt>
                <c:pt idx="136">
                  <c:v>-5.5529526339554103E-2</c:v>
                </c:pt>
                <c:pt idx="137">
                  <c:v>1.286947559149576E-2</c:v>
                </c:pt>
                <c:pt idx="138">
                  <c:v>2.3914145877034887E-2</c:v>
                </c:pt>
                <c:pt idx="139">
                  <c:v>6.4968759957578337E-2</c:v>
                </c:pt>
                <c:pt idx="140">
                  <c:v>-4.7524704413043239E-2</c:v>
                </c:pt>
                <c:pt idx="141">
                  <c:v>9.7825914195893482E-2</c:v>
                </c:pt>
                <c:pt idx="142">
                  <c:v>0</c:v>
                </c:pt>
                <c:pt idx="143">
                  <c:v>-6.3327088628324368E-2</c:v>
                </c:pt>
                <c:pt idx="144">
                  <c:v>3.7388995634774602E-2</c:v>
                </c:pt>
                <c:pt idx="145">
                  <c:v>-3.8391146606376547E-2</c:v>
                </c:pt>
                <c:pt idx="146">
                  <c:v>-3.4232414594029925E-2</c:v>
                </c:pt>
                <c:pt idx="147">
                  <c:v>4.2220364183216841E-2</c:v>
                </c:pt>
                <c:pt idx="148">
                  <c:v>-1.8265881308405674E-2</c:v>
                </c:pt>
                <c:pt idx="149">
                  <c:v>-2.6477607082937782E-2</c:v>
                </c:pt>
                <c:pt idx="150">
                  <c:v>-7.2076304894782894E-2</c:v>
                </c:pt>
                <c:pt idx="151">
                  <c:v>-1.8099041191592669E-3</c:v>
                </c:pt>
                <c:pt idx="152">
                  <c:v>-8.6776874191392905E-2</c:v>
                </c:pt>
                <c:pt idx="153">
                  <c:v>-8.6792420371895607E-2</c:v>
                </c:pt>
                <c:pt idx="154">
                  <c:v>-7.342658735991725E-2</c:v>
                </c:pt>
                <c:pt idx="155">
                  <c:v>3.2490958194248742E-2</c:v>
                </c:pt>
                <c:pt idx="156">
                  <c:v>7.2256198837639118E-4</c:v>
                </c:pt>
                <c:pt idx="157">
                  <c:v>3.0912431742030844E-2</c:v>
                </c:pt>
                <c:pt idx="158">
                  <c:v>3.7262791208192425E-4</c:v>
                </c:pt>
                <c:pt idx="159">
                  <c:v>2.1308956674381818E-2</c:v>
                </c:pt>
                <c:pt idx="160">
                  <c:v>-4.5751641641967544E-2</c:v>
                </c:pt>
                <c:pt idx="161">
                  <c:v>-1.7130602250972959E-2</c:v>
                </c:pt>
                <c:pt idx="162">
                  <c:v>2.1459782001285177E-3</c:v>
                </c:pt>
                <c:pt idx="163">
                  <c:v>2.7941024750109289E-2</c:v>
                </c:pt>
                <c:pt idx="164">
                  <c:v>5.9172327006411507E-3</c:v>
                </c:pt>
                <c:pt idx="165">
                  <c:v>2.7355759682001324E-2</c:v>
                </c:pt>
                <c:pt idx="166">
                  <c:v>1.1409431655058366E-3</c:v>
                </c:pt>
                <c:pt idx="167">
                  <c:v>2.8158137135574801E-2</c:v>
                </c:pt>
                <c:pt idx="168">
                  <c:v>4.32048772169491E-3</c:v>
                </c:pt>
                <c:pt idx="169">
                  <c:v>-5.2122177379874568E-2</c:v>
                </c:pt>
                <c:pt idx="170">
                  <c:v>-2.1137022640630221E-2</c:v>
                </c:pt>
                <c:pt idx="171">
                  <c:v>-7.9536958509754951E-3</c:v>
                </c:pt>
                <c:pt idx="172">
                  <c:v>-3.6023209345397156E-3</c:v>
                </c:pt>
                <c:pt idx="173">
                  <c:v>-1.7978449367054283E-3</c:v>
                </c:pt>
                <c:pt idx="174">
                  <c:v>-6.4309570977075792E-3</c:v>
                </c:pt>
                <c:pt idx="175">
                  <c:v>0</c:v>
                </c:pt>
                <c:pt idx="176">
                  <c:v>7.1507028500472636E-4</c:v>
                </c:pt>
                <c:pt idx="177">
                  <c:v>3.5770148761060661E-4</c:v>
                </c:pt>
                <c:pt idx="178">
                  <c:v>7.2045644064757663E-3</c:v>
                </c:pt>
                <c:pt idx="179">
                  <c:v>-7.5080457900228437E-3</c:v>
                </c:pt>
                <c:pt idx="180">
                  <c:v>1.1939254608613226E-2</c:v>
                </c:pt>
                <c:pt idx="181">
                  <c:v>-2.9835008587862033E-2</c:v>
                </c:pt>
                <c:pt idx="182">
                  <c:v>-3.8462154420493277E-3</c:v>
                </c:pt>
                <c:pt idx="183">
                  <c:v>-9.0090177354186229E-3</c:v>
                </c:pt>
                <c:pt idx="184">
                  <c:v>2.2316766379581132E-2</c:v>
                </c:pt>
                <c:pt idx="185">
                  <c:v>-1.8769587857757397E-2</c:v>
                </c:pt>
                <c:pt idx="186">
                  <c:v>-2.2093764118146564E-2</c:v>
                </c:pt>
                <c:pt idx="187">
                  <c:v>-6.7951137704957976E-4</c:v>
                </c:pt>
                <c:pt idx="188">
                  <c:v>-2.371956365213479E-3</c:v>
                </c:pt>
                <c:pt idx="189">
                  <c:v>2.607777161513547E-2</c:v>
                </c:pt>
                <c:pt idx="190">
                  <c:v>-1.976815815347388E-2</c:v>
                </c:pt>
                <c:pt idx="191">
                  <c:v>-2.5572950719864096E-2</c:v>
                </c:pt>
                <c:pt idx="192">
                  <c:v>-9.5394016688647998E-3</c:v>
                </c:pt>
                <c:pt idx="193">
                  <c:v>-3.2888302950850878E-4</c:v>
                </c:pt>
                <c:pt idx="194">
                  <c:v>2.2872530483350362E-2</c:v>
                </c:pt>
                <c:pt idx="195">
                  <c:v>-1.2948219615340761E-2</c:v>
                </c:pt>
                <c:pt idx="196">
                  <c:v>1.5509140959413692E-2</c:v>
                </c:pt>
                <c:pt idx="197">
                  <c:v>4.0622475153822002E-3</c:v>
                </c:pt>
                <c:pt idx="198">
                  <c:v>7.1599057594580184E-3</c:v>
                </c:pt>
                <c:pt idx="199">
                  <c:v>6.8658779397507974E-3</c:v>
                </c:pt>
                <c:pt idx="200">
                  <c:v>-1.8200308776592622E-2</c:v>
                </c:pt>
                <c:pt idx="201">
                  <c:v>-1.0009910177002812E-2</c:v>
                </c:pt>
                <c:pt idx="202">
                  <c:v>-2.3303222063799645E-3</c:v>
                </c:pt>
                <c:pt idx="203">
                  <c:v>-1.2816242066167827E-2</c:v>
                </c:pt>
                <c:pt idx="204">
                  <c:v>-4.9656502860175977E-2</c:v>
                </c:pt>
                <c:pt idx="205">
                  <c:v>2.5047610590309688E-3</c:v>
                </c:pt>
                <c:pt idx="206">
                  <c:v>6.6183439501668051E-3</c:v>
                </c:pt>
                <c:pt idx="209">
                  <c:v>1.6693918663523544E-2</c:v>
                </c:pt>
                <c:pt idx="210">
                  <c:v>-1.5151593926274409E-2</c:v>
                </c:pt>
                <c:pt idx="211">
                  <c:v>9.1086784801794884E-3</c:v>
                </c:pt>
                <c:pt idx="212">
                  <c:v>-1.2995088888965167E-3</c:v>
                </c:pt>
                <c:pt idx="213">
                  <c:v>1.2166974995980073E-2</c:v>
                </c:pt>
                <c:pt idx="214">
                  <c:v>2.2528620276018652E-2</c:v>
                </c:pt>
                <c:pt idx="215">
                  <c:v>3.7683179360367136E-2</c:v>
                </c:pt>
                <c:pt idx="216">
                  <c:v>-5.4437499813767665E-2</c:v>
                </c:pt>
                <c:pt idx="217">
                  <c:v>-4.8052754104361495E-2</c:v>
                </c:pt>
                <c:pt idx="218">
                  <c:v>-1.6069236867409131E-2</c:v>
                </c:pt>
                <c:pt idx="219">
                  <c:v>-3.0806618265636354E-3</c:v>
                </c:pt>
                <c:pt idx="220">
                  <c:v>2.2040261463964539E-2</c:v>
                </c:pt>
                <c:pt idx="221">
                  <c:v>6.0183567475522448E-3</c:v>
                </c:pt>
                <c:pt idx="222">
                  <c:v>-9.4935754876712686E-4</c:v>
                </c:pt>
                <c:pt idx="223">
                  <c:v>-2.5253174888960617E-3</c:v>
                </c:pt>
                <c:pt idx="224">
                  <c:v>1.9305102384002737E-2</c:v>
                </c:pt>
                <c:pt idx="225">
                  <c:v>-2.5399826379687407E-2</c:v>
                </c:pt>
                <c:pt idx="226">
                  <c:v>1.4312969985558199E-2</c:v>
                </c:pt>
                <c:pt idx="227">
                  <c:v>4.5212788962924355E-2</c:v>
                </c:pt>
                <c:pt idx="228">
                  <c:v>-6.6439757036240721E-4</c:v>
                </c:pt>
                <c:pt idx="229">
                  <c:v>-1.1818801717493943E-2</c:v>
                </c:pt>
                <c:pt idx="230">
                  <c:v>3.2892517629832918E-2</c:v>
                </c:pt>
                <c:pt idx="231">
                  <c:v>1.2358417888649997E-2</c:v>
                </c:pt>
                <c:pt idx="232">
                  <c:v>-9.1836552586300746E-3</c:v>
                </c:pt>
                <c:pt idx="233">
                  <c:v>1.3622864615971952E-3</c:v>
                </c:pt>
                <c:pt idx="234">
                  <c:v>2.1928378499044276E-2</c:v>
                </c:pt>
                <c:pt idx="235">
                  <c:v>3.3453212145739375E-2</c:v>
                </c:pt>
                <c:pt idx="236">
                  <c:v>1.80180962066534E-3</c:v>
                </c:pt>
                <c:pt idx="237">
                  <c:v>-2.0127144705083033E-2</c:v>
                </c:pt>
                <c:pt idx="238">
                  <c:v>-8.055986841441154E-3</c:v>
                </c:pt>
                <c:pt idx="239">
                  <c:v>-4.1856676547180616E-3</c:v>
                </c:pt>
                <c:pt idx="240">
                  <c:v>-5.2046667778409272E-3</c:v>
                </c:pt>
                <c:pt idx="241">
                  <c:v>1.6937172935760803E-2</c:v>
                </c:pt>
                <c:pt idx="242">
                  <c:v>2.3104667581618443E-2</c:v>
                </c:pt>
                <c:pt idx="243">
                  <c:v>8.3728694918108193E-3</c:v>
                </c:pt>
                <c:pt idx="244">
                  <c:v>-1.50592409662057E-2</c:v>
                </c:pt>
                <c:pt idx="245">
                  <c:v>9.4101493820648585E-3</c:v>
                </c:pt>
                <c:pt idx="246">
                  <c:v>-8.6114780563166793E-3</c:v>
                </c:pt>
                <c:pt idx="247">
                  <c:v>-1.4846313364790809E-2</c:v>
                </c:pt>
                <c:pt idx="248">
                  <c:v>7.1200789226477657E-3</c:v>
                </c:pt>
                <c:pt idx="249">
                  <c:v>3.2142534588570637E-3</c:v>
                </c:pt>
                <c:pt idx="250">
                  <c:v>-3.5587341118101801E-3</c:v>
                </c:pt>
                <c:pt idx="251">
                  <c:v>-7.1125588242881843E-4</c:v>
                </c:pt>
                <c:pt idx="252">
                  <c:v>-9.1613148819444934E-3</c:v>
                </c:pt>
                <c:pt idx="253">
                  <c:v>8.5288527550615445E-3</c:v>
                </c:pt>
                <c:pt idx="254">
                  <c:v>-9.503827280757271E-3</c:v>
                </c:pt>
                <c:pt idx="255">
                  <c:v>-1.6954971421020204E-2</c:v>
                </c:pt>
                <c:pt idx="256">
                  <c:v>-1.3822056441425978E-3</c:v>
                </c:pt>
                <c:pt idx="257">
                  <c:v>2.7719997255046813E-3</c:v>
                </c:pt>
                <c:pt idx="258">
                  <c:v>0</c:v>
                </c:pt>
                <c:pt idx="259">
                  <c:v>5.5749067308648037E-3</c:v>
                </c:pt>
                <c:pt idx="260">
                  <c:v>-2.4330407410997346E-3</c:v>
                </c:pt>
                <c:pt idx="261">
                  <c:v>2.0574591313026414E-2</c:v>
                </c:pt>
                <c:pt idx="262">
                  <c:v>-2.123872411154637E-3</c:v>
                </c:pt>
                <c:pt idx="263">
                  <c:v>-3.1756914714780038E-3</c:v>
                </c:pt>
                <c:pt idx="264">
                  <c:v>-2.3432127221395316E-2</c:v>
                </c:pt>
                <c:pt idx="265">
                  <c:v>3.4578295219556132E-3</c:v>
                </c:pt>
                <c:pt idx="266">
                  <c:v>1.2605066376237373E-2</c:v>
                </c:pt>
                <c:pt idx="267">
                  <c:v>-2.3923474161704261E-2</c:v>
                </c:pt>
                <c:pt idx="268">
                  <c:v>-1.3486162247054345E-2</c:v>
                </c:pt>
                <c:pt idx="269">
                  <c:v>3.0436676202096891E-3</c:v>
                </c:pt>
                <c:pt idx="270">
                  <c:v>1.6151138960226907E-2</c:v>
                </c:pt>
                <c:pt idx="271">
                  <c:v>9.0153407156963183E-3</c:v>
                </c:pt>
                <c:pt idx="272">
                  <c:v>0</c:v>
                </c:pt>
                <c:pt idx="273">
                  <c:v>-6.8871557643914727E-3</c:v>
                </c:pt>
                <c:pt idx="274">
                  <c:v>2.4163179287406411E-3</c:v>
                </c:pt>
                <c:pt idx="275">
                  <c:v>-3.7826552015206572E-3</c:v>
                </c:pt>
                <c:pt idx="276">
                  <c:v>6.2089149703834501E-2</c:v>
                </c:pt>
                <c:pt idx="277">
                  <c:v>-5.448625018121489E-3</c:v>
                </c:pt>
                <c:pt idx="278">
                  <c:v>2.6472783449493109E-2</c:v>
                </c:pt>
                <c:pt idx="279">
                  <c:v>9.0293356934998403E-3</c:v>
                </c:pt>
                <c:pt idx="280">
                  <c:v>-1.189581919243754E-2</c:v>
                </c:pt>
                <c:pt idx="281">
                  <c:v>-1.6812984538772557E-2</c:v>
                </c:pt>
                <c:pt idx="282">
                  <c:v>9.9668364809664123E-3</c:v>
                </c:pt>
                <c:pt idx="283">
                  <c:v>2.8473763094940763E-2</c:v>
                </c:pt>
                <c:pt idx="284">
                  <c:v>-1.8994461997501211E-2</c:v>
                </c:pt>
                <c:pt idx="285">
                  <c:v>-8.1269703377140345E-3</c:v>
                </c:pt>
                <c:pt idx="286">
                  <c:v>-6.6055174737627009E-3</c:v>
                </c:pt>
                <c:pt idx="287">
                  <c:v>-2.3997176186651981E-2</c:v>
                </c:pt>
                <c:pt idx="288">
                  <c:v>-1.0981166850573598E-2</c:v>
                </c:pt>
                <c:pt idx="289">
                  <c:v>-1.397134467930361E-2</c:v>
                </c:pt>
                <c:pt idx="290">
                  <c:v>-1.2758617186687138E-2</c:v>
                </c:pt>
                <c:pt idx="291">
                  <c:v>3.1130785448170162E-3</c:v>
                </c:pt>
                <c:pt idx="292">
                  <c:v>-1.06091882714755E-2</c:v>
                </c:pt>
                <c:pt idx="293">
                  <c:v>-1.8474982377072457E-2</c:v>
                </c:pt>
                <c:pt idx="294">
                  <c:v>1.0522759129020232E-2</c:v>
                </c:pt>
                <c:pt idx="295">
                  <c:v>2.7229379360740325E-3</c:v>
                </c:pt>
                <c:pt idx="296">
                  <c:v>1.6428527217410727E-2</c:v>
                </c:pt>
                <c:pt idx="297">
                  <c:v>9.372790680298726E-3</c:v>
                </c:pt>
                <c:pt idx="298">
                  <c:v>9.461394549430846E-3</c:v>
                </c:pt>
                <c:pt idx="299">
                  <c:v>-1.1510741557994031E-2</c:v>
                </c:pt>
                <c:pt idx="300">
                  <c:v>-3.9413295749806121E-3</c:v>
                </c:pt>
                <c:pt idx="301">
                  <c:v>1.7128333220983505E-2</c:v>
                </c:pt>
                <c:pt idx="302">
                  <c:v>1.1053853053183627E-2</c:v>
                </c:pt>
                <c:pt idx="303">
                  <c:v>1.0424279611226384E-2</c:v>
                </c:pt>
                <c:pt idx="304">
                  <c:v>0</c:v>
                </c:pt>
                <c:pt idx="305">
                  <c:v>3.7246207360919215E-4</c:v>
                </c:pt>
                <c:pt idx="306">
                  <c:v>-7.7604646456388426E-3</c:v>
                </c:pt>
                <c:pt idx="307">
                  <c:v>2.2675696260826994E-2</c:v>
                </c:pt>
                <c:pt idx="308">
                  <c:v>3.0327058776709048E-3</c:v>
                </c:pt>
                <c:pt idx="309">
                  <c:v>-3.4002031560004253E-3</c:v>
                </c:pt>
                <c:pt idx="310">
                  <c:v>-2.4686697998529739E-2</c:v>
                </c:pt>
                <c:pt idx="311">
                  <c:v>-2.2060161459001026E-3</c:v>
                </c:pt>
                <c:pt idx="312">
                  <c:v>-7.6613706690198402E-3</c:v>
                </c:pt>
                <c:pt idx="313">
                  <c:v>-3.6351108334752302E-3</c:v>
                </c:pt>
                <c:pt idx="314">
                  <c:v>1.0282788148707978E-2</c:v>
                </c:pt>
                <c:pt idx="315">
                  <c:v>-1.1615194127424622E-2</c:v>
                </c:pt>
                <c:pt idx="316">
                  <c:v>-1.3605521323232228E-2</c:v>
                </c:pt>
                <c:pt idx="317">
                  <c:v>2.7972037622342238E-2</c:v>
                </c:pt>
                <c:pt idx="318">
                  <c:v>1.4563213653200568E-2</c:v>
                </c:pt>
                <c:pt idx="319">
                  <c:v>1.8638208207977458E-2</c:v>
                </c:pt>
                <c:pt idx="320">
                  <c:v>6.5083386419118039E-3</c:v>
                </c:pt>
                <c:pt idx="321">
                  <c:v>-2.3186088689542972E-2</c:v>
                </c:pt>
                <c:pt idx="322">
                  <c:v>2.6487534428901061E-2</c:v>
                </c:pt>
                <c:pt idx="323">
                  <c:v>1.9170520522572287E-2</c:v>
                </c:pt>
                <c:pt idx="324">
                  <c:v>1.9545212418356384E-2</c:v>
                </c:pt>
                <c:pt idx="325">
                  <c:v>-1.2214263097168998E-2</c:v>
                </c:pt>
                <c:pt idx="326">
                  <c:v>-1.1807091649279622E-3</c:v>
                </c:pt>
                <c:pt idx="327">
                  <c:v>2.2123895288323148E-2</c:v>
                </c:pt>
                <c:pt idx="328">
                  <c:v>3.4970899209820328E-2</c:v>
                </c:pt>
                <c:pt idx="329">
                  <c:v>-1.5977089276555945E-2</c:v>
                </c:pt>
                <c:pt idx="330">
                  <c:v>-7.3199851384276871E-3</c:v>
                </c:pt>
                <c:pt idx="333">
                  <c:v>-7.361983783410353E-3</c:v>
                </c:pt>
                <c:pt idx="334">
                  <c:v>-1.4510235372683589E-2</c:v>
                </c:pt>
                <c:pt idx="335">
                  <c:v>-1.5085357337332406E-2</c:v>
                </c:pt>
                <c:pt idx="336">
                  <c:v>-1.4861171258447325E-2</c:v>
                </c:pt>
                <c:pt idx="337">
                  <c:v>-3.0704972446887635E-2</c:v>
                </c:pt>
                <c:pt idx="338">
                  <c:v>8.7953077035392013E-3</c:v>
                </c:pt>
                <c:pt idx="339">
                  <c:v>1.0432837181981514E-2</c:v>
                </c:pt>
                <c:pt idx="340">
                  <c:v>2.4950442546063156E-2</c:v>
                </c:pt>
                <c:pt idx="341">
                  <c:v>-1.2514691971234781E-2</c:v>
                </c:pt>
                <c:pt idx="342">
                  <c:v>1.6295702898261988E-2</c:v>
                </c:pt>
                <c:pt idx="343">
                  <c:v>1.4925354322345763E-2</c:v>
                </c:pt>
                <c:pt idx="344">
                  <c:v>1.5983637661414196E-2</c:v>
                </c:pt>
                <c:pt idx="345">
                  <c:v>-2.0080286008657966E-2</c:v>
                </c:pt>
                <c:pt idx="346">
                  <c:v>7.2814895858823725E-3</c:v>
                </c:pt>
                <c:pt idx="347">
                  <c:v>8.0968136369197197E-4</c:v>
                </c:pt>
                <c:pt idx="348">
                  <c:v>6.9303705510246338E-3</c:v>
                </c:pt>
                <c:pt idx="349">
                  <c:v>-2.2709213173121245E-2</c:v>
                </c:pt>
                <c:pt idx="350">
                  <c:v>2.7966472522784613E-3</c:v>
                </c:pt>
                <c:pt idx="351">
                  <c:v>9.6813222667722076E-3</c:v>
                </c:pt>
                <c:pt idx="352">
                  <c:v>1.1011407539227802E-2</c:v>
                </c:pt>
                <c:pt idx="353">
                  <c:v>7.3952549973577142E-3</c:v>
                </c:pt>
                <c:pt idx="354">
                  <c:v>1.2900543623787009E-2</c:v>
                </c:pt>
                <c:pt idx="355">
                  <c:v>3.7593654585090786E-3</c:v>
                </c:pt>
                <c:pt idx="356">
                  <c:v>1.872347742997138E-2</c:v>
                </c:pt>
                <c:pt idx="357">
                  <c:v>-1.5912818556656605E-2</c:v>
                </c:pt>
                <c:pt idx="358">
                  <c:v>-3.7547476392808532E-3</c:v>
                </c:pt>
                <c:pt idx="359">
                  <c:v>1.3959357205009404E-2</c:v>
                </c:pt>
                <c:pt idx="360">
                  <c:v>-1.5000042094479027E-2</c:v>
                </c:pt>
                <c:pt idx="361">
                  <c:v>-1.0717193695386484E-2</c:v>
                </c:pt>
                <c:pt idx="362">
                  <c:v>-1.4221877712758069E-2</c:v>
                </c:pt>
                <c:pt idx="363">
                  <c:v>-1.1646540788324056E-2</c:v>
                </c:pt>
                <c:pt idx="364">
                  <c:v>-6.3847317036191953E-3</c:v>
                </c:pt>
                <c:pt idx="365">
                  <c:v>-8.3102588977637115E-3</c:v>
                </c:pt>
                <c:pt idx="366">
                  <c:v>2.4736395037634695E-2</c:v>
                </c:pt>
                <c:pt idx="367">
                  <c:v>1.5232586239750212E-2</c:v>
                </c:pt>
                <c:pt idx="368">
                  <c:v>1.0399358663758074E-2</c:v>
                </c:pt>
                <c:pt idx="369">
                  <c:v>-2.3558073649597389E-2</c:v>
                </c:pt>
                <c:pt idx="370">
                  <c:v>1.0673197812959723E-2</c:v>
                </c:pt>
                <c:pt idx="371">
                  <c:v>2.3959699799122491E-2</c:v>
                </c:pt>
                <c:pt idx="372">
                  <c:v>1.9280215520880439E-2</c:v>
                </c:pt>
                <c:pt idx="373">
                  <c:v>-1.2272486938995741E-2</c:v>
                </c:pt>
                <c:pt idx="374">
                  <c:v>-1.1297060153169558E-2</c:v>
                </c:pt>
                <c:pt idx="375">
                  <c:v>-9.1210969497401706E-3</c:v>
                </c:pt>
                <c:pt idx="376">
                  <c:v>-1.3900237708508012E-2</c:v>
                </c:pt>
                <c:pt idx="377">
                  <c:v>1.6625073968627335E-2</c:v>
                </c:pt>
                <c:pt idx="378">
                  <c:v>1.6476585055525739E-2</c:v>
                </c:pt>
                <c:pt idx="379">
                  <c:v>1.1538449897620096E-2</c:v>
                </c:pt>
                <c:pt idx="380">
                  <c:v>-1.2803985753988556E-3</c:v>
                </c:pt>
                <c:pt idx="381">
                  <c:v>-6.3613558607538145E-3</c:v>
                </c:pt>
                <c:pt idx="382">
                  <c:v>-8.4750901460250994E-4</c:v>
                </c:pt>
                <c:pt idx="383">
                  <c:v>-5.0588902705475114E-3</c:v>
                </c:pt>
                <c:pt idx="384">
                  <c:v>-4.6160484080191022E-3</c:v>
                </c:pt>
                <c:pt idx="385">
                  <c:v>-9.5594954506318386E-3</c:v>
                </c:pt>
                <c:pt idx="386">
                  <c:v>-4.1390654249441328E-3</c:v>
                </c:pt>
                <c:pt idx="387">
                  <c:v>1.6407268454627921E-2</c:v>
                </c:pt>
                <c:pt idx="388">
                  <c:v>-1.4102110076548491E-2</c:v>
                </c:pt>
                <c:pt idx="389">
                  <c:v>-7.8188902495704982E-3</c:v>
                </c:pt>
                <c:pt idx="390">
                  <c:v>-2.2132798804602949E-2</c:v>
                </c:pt>
                <c:pt idx="391">
                  <c:v>-3.6086293397452618E-3</c:v>
                </c:pt>
                <c:pt idx="392">
                  <c:v>5.6451681316862512E-3</c:v>
                </c:pt>
                <c:pt idx="393">
                  <c:v>-3.2153783580631812E-3</c:v>
                </c:pt>
                <c:pt idx="394">
                  <c:v>1.9672044658024745E-2</c:v>
                </c:pt>
                <c:pt idx="395">
                  <c:v>3.2895021405403568E-3</c:v>
                </c:pt>
                <c:pt idx="396">
                  <c:v>3.7144574555481036E-3</c:v>
                </c:pt>
                <c:pt idx="397">
                  <c:v>-2.4703020910352702E-3</c:v>
                </c:pt>
                <c:pt idx="398">
                  <c:v>-1.0590511125352475E-2</c:v>
                </c:pt>
                <c:pt idx="399">
                  <c:v>-7.6799158841498461E-3</c:v>
                </c:pt>
                <c:pt idx="400">
                  <c:v>1.2140727572003129E-3</c:v>
                </c:pt>
                <c:pt idx="401">
                  <c:v>-5.6338094283698847E-3</c:v>
                </c:pt>
                <c:pt idx="402">
                  <c:v>-2.967591909140721E-2</c:v>
                </c:pt>
                <c:pt idx="403">
                  <c:v>5.4966691624265263E-3</c:v>
                </c:pt>
                <c:pt idx="404">
                  <c:v>2.6188552103213913E-2</c:v>
                </c:pt>
                <c:pt idx="405">
                  <c:v>7.3052155280783904E-3</c:v>
                </c:pt>
                <c:pt idx="406">
                  <c:v>4.0749722921067377E-3</c:v>
                </c:pt>
                <c:pt idx="407">
                  <c:v>2.5062610410586661E-2</c:v>
                </c:pt>
                <c:pt idx="408">
                  <c:v>8.0000470106034172E-3</c:v>
                </c:pt>
                <c:pt idx="409">
                  <c:v>2.8138522478238004E-2</c:v>
                </c:pt>
                <c:pt idx="410">
                  <c:v>2.2123853022442574E-2</c:v>
                </c:pt>
                <c:pt idx="411">
                  <c:v>4.8910815562472898E-3</c:v>
                </c:pt>
                <c:pt idx="412">
                  <c:v>-3.9857933579335869E-3</c:v>
                </c:pt>
                <c:pt idx="413">
                  <c:v>-1.4097316962255468E-2</c:v>
                </c:pt>
                <c:pt idx="414">
                  <c:v>3.2394366197183055E-2</c:v>
                </c:pt>
                <c:pt idx="415">
                  <c:v>2.7992277992278103E-2</c:v>
                </c:pt>
                <c:pt idx="416">
                  <c:v>4.8496605237633439E-3</c:v>
                </c:pt>
                <c:pt idx="417">
                  <c:v>-1.4811275680840841E-2</c:v>
                </c:pt>
                <c:pt idx="418">
                  <c:v>-1.413094677343385E-2</c:v>
                </c:pt>
                <c:pt idx="419">
                  <c:v>-2.1658986175115191E-2</c:v>
                </c:pt>
                <c:pt idx="420">
                  <c:v>-4.4052863436123357E-2</c:v>
                </c:pt>
                <c:pt idx="421">
                  <c:v>-2.19780219780219E-3</c:v>
                </c:pt>
                <c:pt idx="422">
                  <c:v>-3.9404553415061105E-3</c:v>
                </c:pt>
                <c:pt idx="423">
                  <c:v>-9.5403295750216E-3</c:v>
                </c:pt>
                <c:pt idx="424">
                  <c:v>-1.7316017316018062E-3</c:v>
                </c:pt>
                <c:pt idx="425">
                  <c:v>2.3482498892335002E-2</c:v>
                </c:pt>
                <c:pt idx="426">
                  <c:v>1.2561686855091958E-2</c:v>
                </c:pt>
                <c:pt idx="427">
                  <c:v>1.2261580381471404E-2</c:v>
                </c:pt>
                <c:pt idx="428">
                  <c:v>1.7560073937153309E-2</c:v>
                </c:pt>
                <c:pt idx="429">
                  <c:v>1.8352941176470683E-2</c:v>
                </c:pt>
                <c:pt idx="430">
                  <c:v>-2.2089277496548543E-2</c:v>
                </c:pt>
                <c:pt idx="431">
                  <c:v>-8.667883211678884E-3</c:v>
                </c:pt>
                <c:pt idx="432">
                  <c:v>-8.1447963800904688E-3</c:v>
                </c:pt>
                <c:pt idx="433">
                  <c:v>-1.5590200445434244E-2</c:v>
                </c:pt>
                <c:pt idx="434">
                  <c:v>1.5377657168701875E-2</c:v>
                </c:pt>
                <c:pt idx="435">
                  <c:v>-1.2946428571428581E-2</c:v>
                </c:pt>
                <c:pt idx="436">
                  <c:v>0</c:v>
                </c:pt>
                <c:pt idx="437">
                  <c:v>-7.169498549523412E-2</c:v>
                </c:pt>
                <c:pt idx="438">
                  <c:v>-1.6549441456351621E-3</c:v>
                </c:pt>
                <c:pt idx="439">
                  <c:v>-4.9403046521201421E-3</c:v>
                </c:pt>
                <c:pt idx="440">
                  <c:v>1.1240632805995077E-2</c:v>
                </c:pt>
                <c:pt idx="441">
                  <c:v>1.2220817530552042E-2</c:v>
                </c:pt>
                <c:pt idx="442">
                  <c:v>-2.9844644317252644E-2</c:v>
                </c:pt>
                <c:pt idx="443">
                  <c:v>3.6930652441526934E-3</c:v>
                </c:pt>
                <c:pt idx="444">
                  <c:v>4.1203131437990148E-3</c:v>
                </c:pt>
                <c:pt idx="445">
                  <c:v>-2.4909602249899576E-2</c:v>
                </c:pt>
                <c:pt idx="446">
                  <c:v>-8.3665338645418919E-3</c:v>
                </c:pt>
                <c:pt idx="447">
                  <c:v>-3.5728463676062416E-3</c:v>
                </c:pt>
                <c:pt idx="448">
                  <c:v>-6.3116370808679045E-3</c:v>
                </c:pt>
                <c:pt idx="449">
                  <c:v>-1.5754233950373564E-3</c:v>
                </c:pt>
                <c:pt idx="450">
                  <c:v>2.1319388576025888E-2</c:v>
                </c:pt>
                <c:pt idx="451">
                  <c:v>4.8504446240906773E-3</c:v>
                </c:pt>
                <c:pt idx="452">
                  <c:v>-1.5127388535031927E-2</c:v>
                </c:pt>
                <c:pt idx="453">
                  <c:v>-9.8541584548679229E-3</c:v>
                </c:pt>
                <c:pt idx="454">
                  <c:v>-6.2671367019193625E-3</c:v>
                </c:pt>
                <c:pt idx="455">
                  <c:v>-3.9016777214201381E-3</c:v>
                </c:pt>
                <c:pt idx="456">
                  <c:v>-1.1188271604938405E-2</c:v>
                </c:pt>
                <c:pt idx="457">
                  <c:v>5.8207217694994373E-3</c:v>
                </c:pt>
                <c:pt idx="458">
                  <c:v>-1.2643678160919603E-2</c:v>
                </c:pt>
                <c:pt idx="459">
                  <c:v>-1.6949152542372836E-2</c:v>
                </c:pt>
                <c:pt idx="460">
                  <c:v>-4.1260315078769372E-3</c:v>
                </c:pt>
                <c:pt idx="463">
                  <c:v>7.3855243722320552E-4</c:v>
                </c:pt>
                <c:pt idx="464">
                  <c:v>2.8484618306114706E-2</c:v>
                </c:pt>
                <c:pt idx="465">
                  <c:v>2.3319082782743861E-2</c:v>
                </c:pt>
                <c:pt idx="466">
                  <c:v>-3.4856700232377413E-3</c:v>
                </c:pt>
                <c:pt idx="467">
                  <c:v>-1.8250950570342206E-2</c:v>
                </c:pt>
                <c:pt idx="468">
                  <c:v>-3.7878787878786735E-3</c:v>
                </c:pt>
                <c:pt idx="469">
                  <c:v>8.0183276059564434E-3</c:v>
                </c:pt>
                <c:pt idx="470">
                  <c:v>6.5334358186011077E-3</c:v>
                </c:pt>
                <c:pt idx="471">
                  <c:v>4.6332046332047128E-3</c:v>
                </c:pt>
                <c:pt idx="472">
                  <c:v>-4.9942374183635785E-3</c:v>
                </c:pt>
                <c:pt idx="473">
                  <c:v>-7.6248570339305655E-3</c:v>
                </c:pt>
                <c:pt idx="474">
                  <c:v>-1.6497937757780301E-2</c:v>
                </c:pt>
                <c:pt idx="475">
                  <c:v>9.8447557743279734E-3</c:v>
                </c:pt>
                <c:pt idx="476">
                  <c:v>9.1708062667175128E-3</c:v>
                </c:pt>
                <c:pt idx="477">
                  <c:v>-9.0874668686102833E-3</c:v>
                </c:pt>
                <c:pt idx="478">
                  <c:v>-4.1478129713423684E-3</c:v>
                </c:pt>
                <c:pt idx="479">
                  <c:v>-2.9992684711046103E-2</c:v>
                </c:pt>
                <c:pt idx="480">
                  <c:v>-2.4616482340349632E-2</c:v>
                </c:pt>
                <c:pt idx="481">
                  <c:v>-1.7806267806266263E-3</c:v>
                </c:pt>
                <c:pt idx="482">
                  <c:v>1.298701298701288E-2</c:v>
                </c:pt>
                <c:pt idx="483">
                  <c:v>4.7118521203333152E-3</c:v>
                </c:pt>
                <c:pt idx="484">
                  <c:v>2.2609340252038423E-2</c:v>
                </c:pt>
                <c:pt idx="485">
                  <c:v>1.1623547056617944E-2</c:v>
                </c:pt>
                <c:pt idx="486">
                  <c:v>3.3860045146727469E-3</c:v>
                </c:pt>
                <c:pt idx="487">
                  <c:v>2.7047913446677008E-2</c:v>
                </c:pt>
                <c:pt idx="488">
                  <c:v>4.904742602351031E-2</c:v>
                </c:pt>
                <c:pt idx="489">
                  <c:v>1.3557929334429009E-2</c:v>
                </c:pt>
                <c:pt idx="490">
                  <c:v>-9.3610093610093648E-3</c:v>
                </c:pt>
                <c:pt idx="491">
                  <c:v>-2.8409090909090606E-3</c:v>
                </c:pt>
                <c:pt idx="492">
                  <c:v>8.1234768480897834E-4</c:v>
                </c:pt>
                <c:pt idx="493">
                  <c:v>-2.3403411344704472E-2</c:v>
                </c:pt>
                <c:pt idx="494">
                  <c:v>-7.9270709472845091E-4</c:v>
                </c:pt>
                <c:pt idx="495">
                  <c:v>1.4475271411338975E-2</c:v>
                </c:pt>
                <c:pt idx="496">
                  <c:v>2.8225806451613877E-3</c:v>
                </c:pt>
                <c:pt idx="497">
                  <c:v>-1.0769844435580378E-2</c:v>
                </c:pt>
                <c:pt idx="498">
                  <c:v>-1.2214342001576006E-2</c:v>
                </c:pt>
                <c:pt idx="499">
                  <c:v>2.5869037995149613E-2</c:v>
                </c:pt>
                <c:pt idx="500">
                  <c:v>4.8740861088545362E-3</c:v>
                </c:pt>
                <c:pt idx="501">
                  <c:v>-2.4311183144245518E-3</c:v>
                </c:pt>
                <c:pt idx="502">
                  <c:v>-5.2398226521563895E-3</c:v>
                </c:pt>
                <c:pt idx="503">
                  <c:v>5.3056027164685826E-2</c:v>
                </c:pt>
                <c:pt idx="504">
                  <c:v>1.8150388936905681E-2</c:v>
                </c:pt>
                <c:pt idx="505">
                  <c:v>3.3035714285714279E-2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7-4CC4-84B1-E5886D725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Sheet4!$R$4</c:f>
              <c:strCache>
                <c:ptCount val="1"/>
                <c:pt idx="0">
                  <c:v>KESKOA.HE.csv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5802115644635331E-2"/>
                  <c:y val="-0.171915645960921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Sheet4!$R$5:$R$511</c:f>
              <c:numCache>
                <c:formatCode>0.0\ %</c:formatCode>
                <c:ptCount val="507"/>
                <c:pt idx="0">
                  <c:v>1.6426993759391051E-2</c:v>
                </c:pt>
                <c:pt idx="1">
                  <c:v>-2.5999937552689922E-2</c:v>
                </c:pt>
                <c:pt idx="2">
                  <c:v>8.0645523910829464E-3</c:v>
                </c:pt>
                <c:pt idx="3">
                  <c:v>8.1302095530075835E-3</c:v>
                </c:pt>
                <c:pt idx="4">
                  <c:v>1.2345736799949103E-2</c:v>
                </c:pt>
                <c:pt idx="5">
                  <c:v>1.6736244129059052E-2</c:v>
                </c:pt>
                <c:pt idx="6">
                  <c:v>8.4387621825070536E-3</c:v>
                </c:pt>
                <c:pt idx="7">
                  <c:v>2.1142688771935703E-3</c:v>
                </c:pt>
                <c:pt idx="8">
                  <c:v>2.3809338759014365E-2</c:v>
                </c:pt>
                <c:pt idx="9">
                  <c:v>-4.1493640192602044E-2</c:v>
                </c:pt>
                <c:pt idx="10">
                  <c:v>0</c:v>
                </c:pt>
                <c:pt idx="11">
                  <c:v>4.782606018495561E-2</c:v>
                </c:pt>
                <c:pt idx="12">
                  <c:v>2.4498846920242956E-2</c:v>
                </c:pt>
                <c:pt idx="13">
                  <c:v>2.9816545673293504E-2</c:v>
                </c:pt>
                <c:pt idx="14">
                  <c:v>2.1077220254885898E-2</c:v>
                </c:pt>
                <c:pt idx="15">
                  <c:v>1.9093165143604152E-2</c:v>
                </c:pt>
                <c:pt idx="16">
                  <c:v>-1.4117606559130302E-2</c:v>
                </c:pt>
                <c:pt idx="17">
                  <c:v>-5.9734584121675427E-2</c:v>
                </c:pt>
                <c:pt idx="18">
                  <c:v>4.444514270896871E-3</c:v>
                </c:pt>
                <c:pt idx="19">
                  <c:v>-2.1739179972720013E-2</c:v>
                </c:pt>
                <c:pt idx="20">
                  <c:v>-4.1666624074871317E-2</c:v>
                </c:pt>
                <c:pt idx="21">
                  <c:v>2.5640901004480021E-2</c:v>
                </c:pt>
                <c:pt idx="22">
                  <c:v>-3.9014407851984068E-2</c:v>
                </c:pt>
                <c:pt idx="23">
                  <c:v>2.5263416184965415E-2</c:v>
                </c:pt>
                <c:pt idx="24">
                  <c:v>1.4957045315901585E-2</c:v>
                </c:pt>
                <c:pt idx="25">
                  <c:v>-8.4745198098928887E-3</c:v>
                </c:pt>
                <c:pt idx="26">
                  <c:v>8.5469511164433243E-3</c:v>
                </c:pt>
                <c:pt idx="27">
                  <c:v>-8.4745198098928887E-3</c:v>
                </c:pt>
                <c:pt idx="28">
                  <c:v>1.2875595021501596E-2</c:v>
                </c:pt>
                <c:pt idx="29">
                  <c:v>8.6578535959216385E-3</c:v>
                </c:pt>
                <c:pt idx="30">
                  <c:v>-6.4515457555806011E-3</c:v>
                </c:pt>
                <c:pt idx="31">
                  <c:v>-3.9256056680342488E-2</c:v>
                </c:pt>
                <c:pt idx="32">
                  <c:v>-6.1603745372896812E-3</c:v>
                </c:pt>
                <c:pt idx="33">
                  <c:v>4.0598327561579994E-2</c:v>
                </c:pt>
                <c:pt idx="34">
                  <c:v>2.1414328525886095E-3</c:v>
                </c:pt>
                <c:pt idx="35">
                  <c:v>-2.1368569169853968E-3</c:v>
                </c:pt>
                <c:pt idx="36">
                  <c:v>1.5184646550223002E-2</c:v>
                </c:pt>
                <c:pt idx="37">
                  <c:v>1.7659827872090084E-2</c:v>
                </c:pt>
                <c:pt idx="38">
                  <c:v>-2.789693110785163E-2</c:v>
                </c:pt>
                <c:pt idx="39">
                  <c:v>3.4856678097776594E-3</c:v>
                </c:pt>
                <c:pt idx="40">
                  <c:v>3.1460743175782069E-2</c:v>
                </c:pt>
                <c:pt idx="41">
                  <c:v>1.3667638150177464E-2</c:v>
                </c:pt>
                <c:pt idx="42">
                  <c:v>1.1520772671645307E-2</c:v>
                </c:pt>
                <c:pt idx="43">
                  <c:v>-9.1325276440448189E-3</c:v>
                </c:pt>
                <c:pt idx="44">
                  <c:v>-1.7937378648958502E-2</c:v>
                </c:pt>
                <c:pt idx="45">
                  <c:v>-1.5452379967542007E-2</c:v>
                </c:pt>
                <c:pt idx="46">
                  <c:v>-2.2027175022694134E-3</c:v>
                </c:pt>
                <c:pt idx="47">
                  <c:v>-4.3858716197727743E-3</c:v>
                </c:pt>
                <c:pt idx="48">
                  <c:v>3.6363509746303091E-2</c:v>
                </c:pt>
                <c:pt idx="49">
                  <c:v>-6.1833660337514473E-2</c:v>
                </c:pt>
                <c:pt idx="50">
                  <c:v>6.4377964609740879E-3</c:v>
                </c:pt>
                <c:pt idx="51">
                  <c:v>0</c:v>
                </c:pt>
                <c:pt idx="52">
                  <c:v>4.0178652266573911E-2</c:v>
                </c:pt>
                <c:pt idx="53">
                  <c:v>-1.9693787683107811E-2</c:v>
                </c:pt>
                <c:pt idx="54">
                  <c:v>4.395801917358666E-3</c:v>
                </c:pt>
                <c:pt idx="55">
                  <c:v>2.941166202475598E-2</c:v>
                </c:pt>
                <c:pt idx="56">
                  <c:v>2.2675503463107649E-3</c:v>
                </c:pt>
                <c:pt idx="57">
                  <c:v>2.0833374793725046E-2</c:v>
                </c:pt>
                <c:pt idx="58">
                  <c:v>0</c:v>
                </c:pt>
                <c:pt idx="59">
                  <c:v>-4.608197323999863E-3</c:v>
                </c:pt>
                <c:pt idx="60">
                  <c:v>-2.2522687124715501E-2</c:v>
                </c:pt>
                <c:pt idx="61">
                  <c:v>-2.2472667089219467E-3</c:v>
                </c:pt>
                <c:pt idx="62">
                  <c:v>-8.9086427773336085E-3</c:v>
                </c:pt>
                <c:pt idx="63">
                  <c:v>-3.0237461913098951E-2</c:v>
                </c:pt>
                <c:pt idx="64">
                  <c:v>0</c:v>
                </c:pt>
                <c:pt idx="65">
                  <c:v>1.9823680633396012E-2</c:v>
                </c:pt>
                <c:pt idx="66">
                  <c:v>3.4168718766570683E-2</c:v>
                </c:pt>
                <c:pt idx="67">
                  <c:v>9.1952565609403347E-3</c:v>
                </c:pt>
                <c:pt idx="68">
                  <c:v>-3.3333426408706845E-2</c:v>
                </c:pt>
                <c:pt idx="69">
                  <c:v>2.7397431944661266E-2</c:v>
                </c:pt>
                <c:pt idx="70">
                  <c:v>3.3018732551832963E-2</c:v>
                </c:pt>
                <c:pt idx="71">
                  <c:v>-1.8518379608488456E-2</c:v>
                </c:pt>
                <c:pt idx="72">
                  <c:v>-2.3096483604025941E-3</c:v>
                </c:pt>
                <c:pt idx="73">
                  <c:v>2.3149951852365902E-3</c:v>
                </c:pt>
                <c:pt idx="74">
                  <c:v>1.6470416519619224E-2</c:v>
                </c:pt>
                <c:pt idx="75">
                  <c:v>-1.6203537507774923E-2</c:v>
                </c:pt>
                <c:pt idx="76">
                  <c:v>-4.608197323999863E-3</c:v>
                </c:pt>
                <c:pt idx="79">
                  <c:v>-6.9767744684636757E-3</c:v>
                </c:pt>
                <c:pt idx="80">
                  <c:v>9.3898343763347825E-3</c:v>
                </c:pt>
                <c:pt idx="81">
                  <c:v>1.6706270761108755E-2</c:v>
                </c:pt>
                <c:pt idx="82">
                  <c:v>2.4449894223021129E-2</c:v>
                </c:pt>
                <c:pt idx="83">
                  <c:v>-2.4389992118941661E-3</c:v>
                </c:pt>
                <c:pt idx="84">
                  <c:v>-7.2637421004596581E-3</c:v>
                </c:pt>
                <c:pt idx="85">
                  <c:v>2.2277052548226983E-2</c:v>
                </c:pt>
                <c:pt idx="86">
                  <c:v>4.9750728156736646E-3</c:v>
                </c:pt>
                <c:pt idx="87">
                  <c:v>-7.4073312053359874E-3</c:v>
                </c:pt>
                <c:pt idx="88">
                  <c:v>3.5139530970040855E-3</c:v>
                </c:pt>
                <c:pt idx="89">
                  <c:v>-1.0029874084456214E-3</c:v>
                </c:pt>
                <c:pt idx="90">
                  <c:v>-3.0000440118886917E-3</c:v>
                </c:pt>
                <c:pt idx="91">
                  <c:v>-3.1476772910894124E-2</c:v>
                </c:pt>
                <c:pt idx="92">
                  <c:v>-9.5924849465924833E-3</c:v>
                </c:pt>
                <c:pt idx="93">
                  <c:v>9.685391922813924E-3</c:v>
                </c:pt>
                <c:pt idx="94">
                  <c:v>0</c:v>
                </c:pt>
                <c:pt idx="95">
                  <c:v>-9.5924849465924833E-3</c:v>
                </c:pt>
                <c:pt idx="96">
                  <c:v>-9.5011386603970349E-3</c:v>
                </c:pt>
                <c:pt idx="97">
                  <c:v>-1.8648023850608819E-2</c:v>
                </c:pt>
                <c:pt idx="98">
                  <c:v>9.4118190409524516E-3</c:v>
                </c:pt>
                <c:pt idx="99">
                  <c:v>-4.6839944733858552E-3</c:v>
                </c:pt>
                <c:pt idx="100">
                  <c:v>-6.976770548909883E-3</c:v>
                </c:pt>
                <c:pt idx="101">
                  <c:v>0</c:v>
                </c:pt>
                <c:pt idx="102">
                  <c:v>-6.9282827399530511E-3</c:v>
                </c:pt>
                <c:pt idx="103">
                  <c:v>-1.5909168242040805E-2</c:v>
                </c:pt>
                <c:pt idx="104">
                  <c:v>2.5641108882469066E-2</c:v>
                </c:pt>
                <c:pt idx="105">
                  <c:v>-1.3793107243321057E-2</c:v>
                </c:pt>
                <c:pt idx="106">
                  <c:v>-6.8492429261155507E-3</c:v>
                </c:pt>
                <c:pt idx="107">
                  <c:v>0</c:v>
                </c:pt>
                <c:pt idx="108">
                  <c:v>6.8964785832670294E-3</c:v>
                </c:pt>
                <c:pt idx="109">
                  <c:v>-1.3605348522112815E-2</c:v>
                </c:pt>
                <c:pt idx="110">
                  <c:v>-4.5147721503659977E-3</c:v>
                </c:pt>
                <c:pt idx="111">
                  <c:v>-1.1160693251454412E-2</c:v>
                </c:pt>
                <c:pt idx="112">
                  <c:v>4.6728826558952274E-2</c:v>
                </c:pt>
                <c:pt idx="113">
                  <c:v>0</c:v>
                </c:pt>
                <c:pt idx="114">
                  <c:v>-4.6511634968458004E-3</c:v>
                </c:pt>
                <c:pt idx="115">
                  <c:v>-2.9345257583300866E-2</c:v>
                </c:pt>
                <c:pt idx="116">
                  <c:v>-2.8508756231868659E-2</c:v>
                </c:pt>
                <c:pt idx="117">
                  <c:v>1.5590081925572319E-2</c:v>
                </c:pt>
                <c:pt idx="118">
                  <c:v>2.2322649425889907E-3</c:v>
                </c:pt>
                <c:pt idx="119">
                  <c:v>6.7415011651008605E-3</c:v>
                </c:pt>
                <c:pt idx="120">
                  <c:v>1.5981864925351807E-2</c:v>
                </c:pt>
                <c:pt idx="121">
                  <c:v>-1.3513614848228994E-2</c:v>
                </c:pt>
                <c:pt idx="122">
                  <c:v>2.0689685877779196E-2</c:v>
                </c:pt>
                <c:pt idx="123">
                  <c:v>-2.6845692147638767E-2</c:v>
                </c:pt>
                <c:pt idx="124">
                  <c:v>-8.8690380579108385E-3</c:v>
                </c:pt>
                <c:pt idx="125">
                  <c:v>3.9170443485405881E-2</c:v>
                </c:pt>
                <c:pt idx="126">
                  <c:v>0</c:v>
                </c:pt>
                <c:pt idx="127">
                  <c:v>-6.8651142464405401E-3</c:v>
                </c:pt>
                <c:pt idx="128">
                  <c:v>1.1574203504691294E-2</c:v>
                </c:pt>
                <c:pt idx="129">
                  <c:v>-2.3094945888654239E-3</c:v>
                </c:pt>
                <c:pt idx="130">
                  <c:v>9.3240119253044096E-3</c:v>
                </c:pt>
                <c:pt idx="131">
                  <c:v>7.0422812207793228E-3</c:v>
                </c:pt>
                <c:pt idx="132">
                  <c:v>1.1876462092362372E-2</c:v>
                </c:pt>
                <c:pt idx="133">
                  <c:v>7.1769568971831177E-3</c:v>
                </c:pt>
                <c:pt idx="134">
                  <c:v>-2.3866612466385551E-3</c:v>
                </c:pt>
                <c:pt idx="135">
                  <c:v>2.4449827797093926E-2</c:v>
                </c:pt>
                <c:pt idx="136">
                  <c:v>2.2500030873605636E-2</c:v>
                </c:pt>
                <c:pt idx="137">
                  <c:v>-9.9007783753771728E-3</c:v>
                </c:pt>
                <c:pt idx="138">
                  <c:v>-1.4634308676147678E-2</c:v>
                </c:pt>
                <c:pt idx="139">
                  <c:v>1.7369923074111115E-2</c:v>
                </c:pt>
                <c:pt idx="140">
                  <c:v>-7.3892985389595323E-3</c:v>
                </c:pt>
                <c:pt idx="141">
                  <c:v>1.2468803841507503E-2</c:v>
                </c:pt>
                <c:pt idx="142">
                  <c:v>3.5036191230501945E-3</c:v>
                </c:pt>
                <c:pt idx="143">
                  <c:v>-1.3333502407479547E-2</c:v>
                </c:pt>
                <c:pt idx="144">
                  <c:v>9.9751190472379125E-3</c:v>
                </c:pt>
                <c:pt idx="145">
                  <c:v>-1.2315247436956445E-2</c:v>
                </c:pt>
                <c:pt idx="146">
                  <c:v>-2.7669882192804862E-2</c:v>
                </c:pt>
                <c:pt idx="147">
                  <c:v>2.4875550940030466E-2</c:v>
                </c:pt>
                <c:pt idx="148">
                  <c:v>1.2084642609713203E-2</c:v>
                </c:pt>
                <c:pt idx="149">
                  <c:v>0</c:v>
                </c:pt>
                <c:pt idx="150">
                  <c:v>5.0607363337136224E-3</c:v>
                </c:pt>
                <c:pt idx="151">
                  <c:v>-5.0352542396335798E-3</c:v>
                </c:pt>
                <c:pt idx="152">
                  <c:v>4.1972724294074171E-2</c:v>
                </c:pt>
                <c:pt idx="153">
                  <c:v>-9.3554790195311543E-3</c:v>
                </c:pt>
                <c:pt idx="154">
                  <c:v>2.8876849938897386E-2</c:v>
                </c:pt>
                <c:pt idx="155">
                  <c:v>1.6304489254172383E-2</c:v>
                </c:pt>
                <c:pt idx="156">
                  <c:v>-6.4795374819701657E-3</c:v>
                </c:pt>
                <c:pt idx="157">
                  <c:v>3.2503573043476397E-3</c:v>
                </c:pt>
                <c:pt idx="158">
                  <c:v>1.0952741333770888E-2</c:v>
                </c:pt>
                <c:pt idx="159">
                  <c:v>2.4691430171219775E-2</c:v>
                </c:pt>
                <c:pt idx="160">
                  <c:v>-3.2573335845747287E-2</c:v>
                </c:pt>
                <c:pt idx="161">
                  <c:v>5.4585230249097894E-3</c:v>
                </c:pt>
                <c:pt idx="162">
                  <c:v>-1.0904439168618607E-3</c:v>
                </c:pt>
                <c:pt idx="163">
                  <c:v>1.3259724545357621E-2</c:v>
                </c:pt>
                <c:pt idx="164">
                  <c:v>6.6742008701772271E-3</c:v>
                </c:pt>
                <c:pt idx="165">
                  <c:v>2.6255526098011961E-2</c:v>
                </c:pt>
                <c:pt idx="166">
                  <c:v>0</c:v>
                </c:pt>
                <c:pt idx="167">
                  <c:v>-1.2401359083557995E-2</c:v>
                </c:pt>
                <c:pt idx="168">
                  <c:v>7.9545941845484691E-3</c:v>
                </c:pt>
                <c:pt idx="169">
                  <c:v>-2.2674314115083138E-3</c:v>
                </c:pt>
                <c:pt idx="170">
                  <c:v>-2.3256072472093936E-2</c:v>
                </c:pt>
                <c:pt idx="171">
                  <c:v>-1.9543966537255431E-2</c:v>
                </c:pt>
                <c:pt idx="172">
                  <c:v>-1.084588595151259E-3</c:v>
                </c:pt>
                <c:pt idx="173">
                  <c:v>1.7659937031762052E-2</c:v>
                </c:pt>
                <c:pt idx="174">
                  <c:v>4.4347271648059738E-3</c:v>
                </c:pt>
                <c:pt idx="175">
                  <c:v>-1.1074688220480411E-3</c:v>
                </c:pt>
                <c:pt idx="176">
                  <c:v>-9.8682133041799736E-3</c:v>
                </c:pt>
                <c:pt idx="177">
                  <c:v>-1.2987068063551099E-2</c:v>
                </c:pt>
                <c:pt idx="178">
                  <c:v>-1.0810711686519703E-3</c:v>
                </c:pt>
                <c:pt idx="179">
                  <c:v>-4.540750370713742E-2</c:v>
                </c:pt>
                <c:pt idx="180">
                  <c:v>2.7571324238030659E-2</c:v>
                </c:pt>
                <c:pt idx="181">
                  <c:v>-3.0832253081881977E-2</c:v>
                </c:pt>
                <c:pt idx="182">
                  <c:v>-5.1126468426665461E-3</c:v>
                </c:pt>
                <c:pt idx="183">
                  <c:v>3.076894617391579E-3</c:v>
                </c:pt>
                <c:pt idx="184">
                  <c:v>-1.3157881868920307E-2</c:v>
                </c:pt>
                <c:pt idx="185">
                  <c:v>-2.4197597311594765E-2</c:v>
                </c:pt>
                <c:pt idx="186">
                  <c:v>-7.3529516244209558E-3</c:v>
                </c:pt>
                <c:pt idx="187">
                  <c:v>-1.9230644164461297E-2</c:v>
                </c:pt>
                <c:pt idx="188">
                  <c:v>-2.3981366065609633E-3</c:v>
                </c:pt>
                <c:pt idx="189">
                  <c:v>-9.5012017011705252E-3</c:v>
                </c:pt>
                <c:pt idx="190">
                  <c:v>-1.1737006734906741E-2</c:v>
                </c:pt>
                <c:pt idx="191">
                  <c:v>9.478636573450272E-3</c:v>
                </c:pt>
                <c:pt idx="192">
                  <c:v>4.761963431748617E-3</c:v>
                </c:pt>
                <c:pt idx="193">
                  <c:v>1.204800264572703E-2</c:v>
                </c:pt>
                <c:pt idx="194">
                  <c:v>9.7324793273496635E-3</c:v>
                </c:pt>
                <c:pt idx="195">
                  <c:v>0</c:v>
                </c:pt>
                <c:pt idx="196">
                  <c:v>0</c:v>
                </c:pt>
                <c:pt idx="197">
                  <c:v>4.8898774853227689E-3</c:v>
                </c:pt>
                <c:pt idx="198">
                  <c:v>-4.866082935932714E-3</c:v>
                </c:pt>
                <c:pt idx="199">
                  <c:v>-1.2019197765621881E-2</c:v>
                </c:pt>
                <c:pt idx="200">
                  <c:v>1.2165416310154775E-2</c:v>
                </c:pt>
                <c:pt idx="201">
                  <c:v>1.2315289823804587E-2</c:v>
                </c:pt>
                <c:pt idx="202">
                  <c:v>4.9505560905174217E-3</c:v>
                </c:pt>
                <c:pt idx="203">
                  <c:v>9.9998534556524632E-3</c:v>
                </c:pt>
                <c:pt idx="204">
                  <c:v>-4.0767343984669746E-2</c:v>
                </c:pt>
                <c:pt idx="205">
                  <c:v>7.2463877105530816E-3</c:v>
                </c:pt>
                <c:pt idx="206">
                  <c:v>-4.8076481374488278E-3</c:v>
                </c:pt>
                <c:pt idx="209">
                  <c:v>1.7326813447365641E-2</c:v>
                </c:pt>
                <c:pt idx="210">
                  <c:v>-1.9417557190682389E-2</c:v>
                </c:pt>
                <c:pt idx="211">
                  <c:v>1.4463953495073012E-2</c:v>
                </c:pt>
                <c:pt idx="212">
                  <c:v>-7.4259115656991614E-3</c:v>
                </c:pt>
                <c:pt idx="213">
                  <c:v>-2.4691744490672463E-3</c:v>
                </c:pt>
                <c:pt idx="214">
                  <c:v>9.9752734269198395E-3</c:v>
                </c:pt>
                <c:pt idx="215">
                  <c:v>-7.4259115656991614E-3</c:v>
                </c:pt>
                <c:pt idx="216">
                  <c:v>0</c:v>
                </c:pt>
                <c:pt idx="217">
                  <c:v>4.9750968283810426E-3</c:v>
                </c:pt>
                <c:pt idx="218">
                  <c:v>-2.1897641161587877E-2</c:v>
                </c:pt>
                <c:pt idx="219">
                  <c:v>9.8279039838611304E-3</c:v>
                </c:pt>
                <c:pt idx="220">
                  <c:v>0</c:v>
                </c:pt>
                <c:pt idx="221">
                  <c:v>0</c:v>
                </c:pt>
                <c:pt idx="222">
                  <c:v>2.4631453765946443E-3</c:v>
                </c:pt>
                <c:pt idx="223">
                  <c:v>-7.3350270739144241E-3</c:v>
                </c:pt>
                <c:pt idx="224">
                  <c:v>4.9139780370144326E-3</c:v>
                </c:pt>
                <c:pt idx="225">
                  <c:v>-2.4509151843152832E-3</c:v>
                </c:pt>
                <c:pt idx="226">
                  <c:v>-1.2106574321282371E-2</c:v>
                </c:pt>
                <c:pt idx="227">
                  <c:v>-1.4319732266018792E-2</c:v>
                </c:pt>
                <c:pt idx="228">
                  <c:v>1.2077229128039768E-2</c:v>
                </c:pt>
                <c:pt idx="229">
                  <c:v>-2.5882361861608971E-2</c:v>
                </c:pt>
                <c:pt idx="230">
                  <c:v>1.4319884061009924E-2</c:v>
                </c:pt>
                <c:pt idx="231">
                  <c:v>0</c:v>
                </c:pt>
                <c:pt idx="232">
                  <c:v>-1.6432033995966377E-2</c:v>
                </c:pt>
                <c:pt idx="233">
                  <c:v>-2.3419075842195936E-3</c:v>
                </c:pt>
                <c:pt idx="234">
                  <c:v>-2.5114163097358144E-2</c:v>
                </c:pt>
                <c:pt idx="235">
                  <c:v>6.8965628160611026E-3</c:v>
                </c:pt>
                <c:pt idx="236">
                  <c:v>3.5714345206044884E-2</c:v>
                </c:pt>
                <c:pt idx="237">
                  <c:v>4.784663028836178E-3</c:v>
                </c:pt>
                <c:pt idx="238">
                  <c:v>-7.1259023390060072E-3</c:v>
                </c:pt>
                <c:pt idx="239">
                  <c:v>-1.8648016113717136E-2</c:v>
                </c:pt>
                <c:pt idx="240">
                  <c:v>-2.3256179719993719E-3</c:v>
                </c:pt>
                <c:pt idx="241">
                  <c:v>7.0257724030062807E-3</c:v>
                </c:pt>
                <c:pt idx="242">
                  <c:v>0</c:v>
                </c:pt>
                <c:pt idx="243">
                  <c:v>-1.8390801684670777E-2</c:v>
                </c:pt>
                <c:pt idx="244">
                  <c:v>-4.576730755516234E-3</c:v>
                </c:pt>
                <c:pt idx="245">
                  <c:v>2.8235390012295802E-2</c:v>
                </c:pt>
                <c:pt idx="246">
                  <c:v>-1.1627941948149756E-2</c:v>
                </c:pt>
                <c:pt idx="247">
                  <c:v>2.1377707017018244E-2</c:v>
                </c:pt>
                <c:pt idx="248">
                  <c:v>5.7789063037674726E-2</c:v>
                </c:pt>
                <c:pt idx="249">
                  <c:v>-1.728416879607142E-2</c:v>
                </c:pt>
                <c:pt idx="250">
                  <c:v>1.8611879846840873E-2</c:v>
                </c:pt>
                <c:pt idx="251">
                  <c:v>-2.008159501621809E-3</c:v>
                </c:pt>
                <c:pt idx="252">
                  <c:v>-6.4836607361273835E-3</c:v>
                </c:pt>
                <c:pt idx="253">
                  <c:v>2.4998272143175182E-3</c:v>
                </c:pt>
                <c:pt idx="254">
                  <c:v>-4.975149566432524E-3</c:v>
                </c:pt>
                <c:pt idx="255">
                  <c:v>-9.852059321647455E-3</c:v>
                </c:pt>
                <c:pt idx="256">
                  <c:v>0</c:v>
                </c:pt>
                <c:pt idx="257">
                  <c:v>9.9500881806589003E-3</c:v>
                </c:pt>
                <c:pt idx="258">
                  <c:v>-1.2284945092535859E-2</c:v>
                </c:pt>
                <c:pt idx="259">
                  <c:v>-7.3170334430685546E-3</c:v>
                </c:pt>
                <c:pt idx="260">
                  <c:v>1.2345558160943959E-2</c:v>
                </c:pt>
                <c:pt idx="261">
                  <c:v>-7.3527975154444869E-3</c:v>
                </c:pt>
                <c:pt idx="262">
                  <c:v>9.9008830667670633E-3</c:v>
                </c:pt>
                <c:pt idx="263">
                  <c:v>2.4815340847814671E-3</c:v>
                </c:pt>
                <c:pt idx="264">
                  <c:v>-9.8281123445310703E-3</c:v>
                </c:pt>
                <c:pt idx="265">
                  <c:v>-1.2135958425638305E-2</c:v>
                </c:pt>
                <c:pt idx="266">
                  <c:v>1.4778454511783279E-2</c:v>
                </c:pt>
                <c:pt idx="267">
                  <c:v>-9.7561480088020902E-3</c:v>
                </c:pt>
                <c:pt idx="268">
                  <c:v>-4.8544451198593297E-3</c:v>
                </c:pt>
                <c:pt idx="269">
                  <c:v>9.8040244747525929E-3</c:v>
                </c:pt>
                <c:pt idx="270">
                  <c:v>-7.2992309149333412E-3</c:v>
                </c:pt>
                <c:pt idx="271">
                  <c:v>-2.4273254759364926E-3</c:v>
                </c:pt>
                <c:pt idx="272">
                  <c:v>1.4778454511783279E-2</c:v>
                </c:pt>
                <c:pt idx="273">
                  <c:v>7.4441813967693893E-3</c:v>
                </c:pt>
                <c:pt idx="274">
                  <c:v>2.284245918395067E-2</c:v>
                </c:pt>
                <c:pt idx="275">
                  <c:v>-4.0444243584444317E-3</c:v>
                </c:pt>
                <c:pt idx="276">
                  <c:v>1.0122368594553954E-3</c:v>
                </c:pt>
                <c:pt idx="277">
                  <c:v>2.1716574725719973E-2</c:v>
                </c:pt>
                <c:pt idx="278">
                  <c:v>9.3945314261336677E-3</c:v>
                </c:pt>
                <c:pt idx="279">
                  <c:v>-1.7435835269482669E-2</c:v>
                </c:pt>
                <c:pt idx="280">
                  <c:v>-2.0471042845969789E-3</c:v>
                </c:pt>
                <c:pt idx="281">
                  <c:v>3.0801962762623258E-3</c:v>
                </c:pt>
                <c:pt idx="282">
                  <c:v>4.1237550529933387E-3</c:v>
                </c:pt>
                <c:pt idx="283">
                  <c:v>1.2525894367081847E-2</c:v>
                </c:pt>
                <c:pt idx="284">
                  <c:v>-1.4403224861876396E-2</c:v>
                </c:pt>
                <c:pt idx="285">
                  <c:v>-7.150093161810589E-3</c:v>
                </c:pt>
                <c:pt idx="286">
                  <c:v>-7.0993856473515748E-3</c:v>
                </c:pt>
                <c:pt idx="287">
                  <c:v>-1.4000145436783074E-2</c:v>
                </c:pt>
                <c:pt idx="288">
                  <c:v>-1.1522878839920425E-2</c:v>
                </c:pt>
                <c:pt idx="289">
                  <c:v>2.007874850727065E-3</c:v>
                </c:pt>
                <c:pt idx="290">
                  <c:v>1.0051041339274036E-3</c:v>
                </c:pt>
                <c:pt idx="291">
                  <c:v>5.050585605759883E-3</c:v>
                </c:pt>
                <c:pt idx="292">
                  <c:v>3.0395410508621268E-3</c:v>
                </c:pt>
                <c:pt idx="293">
                  <c:v>-1.5461389580692542E-2</c:v>
                </c:pt>
                <c:pt idx="294">
                  <c:v>1.0584640120022248E-2</c:v>
                </c:pt>
                <c:pt idx="295">
                  <c:v>3.0332881366792463E-3</c:v>
                </c:pt>
                <c:pt idx="296">
                  <c:v>-6.0300993138735492E-3</c:v>
                </c:pt>
                <c:pt idx="297">
                  <c:v>0</c:v>
                </c:pt>
                <c:pt idx="298">
                  <c:v>-4.0039004794683031E-3</c:v>
                </c:pt>
                <c:pt idx="299">
                  <c:v>-1.0000786384832816E-3</c:v>
                </c:pt>
                <c:pt idx="300">
                  <c:v>-9.9010946611990391E-3</c:v>
                </c:pt>
                <c:pt idx="301">
                  <c:v>2.4815589194959742E-3</c:v>
                </c:pt>
                <c:pt idx="302">
                  <c:v>0</c:v>
                </c:pt>
                <c:pt idx="303">
                  <c:v>2.4874194408495143E-3</c:v>
                </c:pt>
                <c:pt idx="304">
                  <c:v>-1.4705858983954601E-2</c:v>
                </c:pt>
                <c:pt idx="305">
                  <c:v>2.4570672272914429E-3</c:v>
                </c:pt>
                <c:pt idx="306">
                  <c:v>8.1296527310996902E-2</c:v>
                </c:pt>
                <c:pt idx="307">
                  <c:v>1.8398186641333858E-2</c:v>
                </c:pt>
                <c:pt idx="308">
                  <c:v>-1.0706639913735438E-2</c:v>
                </c:pt>
                <c:pt idx="309">
                  <c:v>-7.4388133059949402E-3</c:v>
                </c:pt>
                <c:pt idx="310">
                  <c:v>-9.4736592985278367E-3</c:v>
                </c:pt>
                <c:pt idx="311">
                  <c:v>-7.3146621438631154E-3</c:v>
                </c:pt>
                <c:pt idx="312">
                  <c:v>1.0559607752870237E-2</c:v>
                </c:pt>
                <c:pt idx="313">
                  <c:v>6.3763638245759591E-3</c:v>
                </c:pt>
                <c:pt idx="314">
                  <c:v>-8.4299283281987769E-3</c:v>
                </c:pt>
                <c:pt idx="315">
                  <c:v>-6.2827784669887698E-3</c:v>
                </c:pt>
                <c:pt idx="316">
                  <c:v>2.2483915828361178E-2</c:v>
                </c:pt>
                <c:pt idx="317">
                  <c:v>2.5246956264612486E-2</c:v>
                </c:pt>
                <c:pt idx="318">
                  <c:v>1.2222194594441405E-2</c:v>
                </c:pt>
                <c:pt idx="319">
                  <c:v>-6.6224599918049964E-3</c:v>
                </c:pt>
                <c:pt idx="320">
                  <c:v>-4.3956623581096199E-3</c:v>
                </c:pt>
                <c:pt idx="321">
                  <c:v>2.2026434254798222E-3</c:v>
                </c:pt>
                <c:pt idx="322">
                  <c:v>4.4247792729092961E-3</c:v>
                </c:pt>
                <c:pt idx="323">
                  <c:v>2.031608969861054E-2</c:v>
                </c:pt>
                <c:pt idx="324">
                  <c:v>-2.2521939018244064E-3</c:v>
                </c:pt>
                <c:pt idx="325">
                  <c:v>-2.2471329227590209E-3</c:v>
                </c:pt>
                <c:pt idx="326">
                  <c:v>5.6495706474009033E-3</c:v>
                </c:pt>
                <c:pt idx="327">
                  <c:v>-2.2548505784228956E-3</c:v>
                </c:pt>
                <c:pt idx="328">
                  <c:v>-1.1259791891395921E-3</c:v>
                </c:pt>
                <c:pt idx="329">
                  <c:v>-1.0033533713334042E-2</c:v>
                </c:pt>
                <c:pt idx="330">
                  <c:v>5.6054704054679938E-3</c:v>
                </c:pt>
                <c:pt idx="333">
                  <c:v>-4.4544602128619992E-3</c:v>
                </c:pt>
                <c:pt idx="334">
                  <c:v>-6.6372267481035196E-3</c:v>
                </c:pt>
                <c:pt idx="335">
                  <c:v>-3.3155110955551126E-2</c:v>
                </c:pt>
                <c:pt idx="336">
                  <c:v>-3.1981000366002599E-3</c:v>
                </c:pt>
                <c:pt idx="337">
                  <c:v>-2.0876939297659658E-2</c:v>
                </c:pt>
                <c:pt idx="338">
                  <c:v>6.3024667782032306E-3</c:v>
                </c:pt>
                <c:pt idx="339">
                  <c:v>1.7094132636302772E-2</c:v>
                </c:pt>
                <c:pt idx="340">
                  <c:v>1.4084424064713996E-2</c:v>
                </c:pt>
                <c:pt idx="341">
                  <c:v>3.8630866410287457E-3</c:v>
                </c:pt>
                <c:pt idx="342">
                  <c:v>5.5944155044810984E-2</c:v>
                </c:pt>
                <c:pt idx="343">
                  <c:v>4.6838086772416077E-3</c:v>
                </c:pt>
                <c:pt idx="344">
                  <c:v>-1.9517824092682323E-2</c:v>
                </c:pt>
                <c:pt idx="345">
                  <c:v>-1.1466483269109151E-3</c:v>
                </c:pt>
                <c:pt idx="346">
                  <c:v>-1.4689325792296759E-2</c:v>
                </c:pt>
                <c:pt idx="347">
                  <c:v>1.7241395646920843E-2</c:v>
                </c:pt>
                <c:pt idx="348">
                  <c:v>-1.1482012470089842E-3</c:v>
                </c:pt>
                <c:pt idx="349">
                  <c:v>-5.7077089123739322E-3</c:v>
                </c:pt>
                <c:pt idx="350">
                  <c:v>-2.277859549050909E-3</c:v>
                </c:pt>
                <c:pt idx="351">
                  <c:v>4.576627878187578E-3</c:v>
                </c:pt>
                <c:pt idx="352">
                  <c:v>1.1455709615730836E-3</c:v>
                </c:pt>
                <c:pt idx="353">
                  <c:v>-5.694824914119434E-3</c:v>
                </c:pt>
                <c:pt idx="354">
                  <c:v>-5.6625775265434219E-3</c:v>
                </c:pt>
                <c:pt idx="355">
                  <c:v>1.1338814237265016E-3</c:v>
                </c:pt>
                <c:pt idx="356">
                  <c:v>-6.7567979193678962E-3</c:v>
                </c:pt>
                <c:pt idx="357">
                  <c:v>3.3898220227006615E-3</c:v>
                </c:pt>
                <c:pt idx="358">
                  <c:v>-2.2548051181329187E-3</c:v>
                </c:pt>
                <c:pt idx="359">
                  <c:v>2.3068072408650941E-2</c:v>
                </c:pt>
                <c:pt idx="360">
                  <c:v>-1.140251913579271E-2</c:v>
                </c:pt>
                <c:pt idx="361">
                  <c:v>-5.668881389262248E-3</c:v>
                </c:pt>
                <c:pt idx="362">
                  <c:v>-1.7817422922179915E-2</c:v>
                </c:pt>
                <c:pt idx="363">
                  <c:v>0</c:v>
                </c:pt>
                <c:pt idx="364">
                  <c:v>-1.1123251865976513E-3</c:v>
                </c:pt>
                <c:pt idx="365">
                  <c:v>-4.4297057650192206E-3</c:v>
                </c:pt>
                <c:pt idx="366">
                  <c:v>3.3332675003414636E-3</c:v>
                </c:pt>
                <c:pt idx="367">
                  <c:v>-3.0172428151420627E-2</c:v>
                </c:pt>
                <c:pt idx="368">
                  <c:v>1.9780225255270567E-2</c:v>
                </c:pt>
                <c:pt idx="369">
                  <c:v>-1.097560189359359E-3</c:v>
                </c:pt>
                <c:pt idx="370">
                  <c:v>-4.3716114071140622E-3</c:v>
                </c:pt>
                <c:pt idx="371">
                  <c:v>1.3289003183262649E-2</c:v>
                </c:pt>
                <c:pt idx="372">
                  <c:v>1.006720498737157E-2</c:v>
                </c:pt>
                <c:pt idx="373">
                  <c:v>-2.2322139640912342E-3</c:v>
                </c:pt>
                <c:pt idx="374">
                  <c:v>-1.1148053025191729E-3</c:v>
                </c:pt>
                <c:pt idx="375">
                  <c:v>5.6053866051550827E-3</c:v>
                </c:pt>
                <c:pt idx="376">
                  <c:v>-1.11991412241641E-3</c:v>
                </c:pt>
                <c:pt idx="377">
                  <c:v>-2.2345928770152179E-3</c:v>
                </c:pt>
                <c:pt idx="378">
                  <c:v>7.8829018960888675E-3</c:v>
                </c:pt>
                <c:pt idx="379">
                  <c:v>6.8027628129885276E-3</c:v>
                </c:pt>
                <c:pt idx="380">
                  <c:v>6.8492389319552149E-3</c:v>
                </c:pt>
                <c:pt idx="381">
                  <c:v>6.8965937908211927E-3</c:v>
                </c:pt>
                <c:pt idx="382">
                  <c:v>-6.8493565608922502E-3</c:v>
                </c:pt>
                <c:pt idx="383">
                  <c:v>3.4365358349597308E-3</c:v>
                </c:pt>
                <c:pt idx="384">
                  <c:v>0</c:v>
                </c:pt>
                <c:pt idx="385">
                  <c:v>6.9203385275935503E-3</c:v>
                </c:pt>
                <c:pt idx="386">
                  <c:v>-1.7006760996535308E-2</c:v>
                </c:pt>
                <c:pt idx="387">
                  <c:v>-2.2625154345864429E-3</c:v>
                </c:pt>
                <c:pt idx="388">
                  <c:v>-5.624244419279445E-3</c:v>
                </c:pt>
                <c:pt idx="389">
                  <c:v>-7.8125188677281576E-3</c:v>
                </c:pt>
                <c:pt idx="390">
                  <c:v>-1.1037650366206075E-2</c:v>
                </c:pt>
                <c:pt idx="391">
                  <c:v>-1.5217315336957249E-2</c:v>
                </c:pt>
                <c:pt idx="392">
                  <c:v>1.9955660687795751E-2</c:v>
                </c:pt>
                <c:pt idx="393">
                  <c:v>-1.2048181212934161E-2</c:v>
                </c:pt>
                <c:pt idx="394">
                  <c:v>-2.1857493959317464E-3</c:v>
                </c:pt>
                <c:pt idx="395">
                  <c:v>4.3908063060480451E-3</c:v>
                </c:pt>
                <c:pt idx="396">
                  <c:v>4.4101134557452681E-3</c:v>
                </c:pt>
                <c:pt idx="397">
                  <c:v>-3.2968080070480132E-3</c:v>
                </c:pt>
                <c:pt idx="398">
                  <c:v>4.4149805327320379E-3</c:v>
                </c:pt>
                <c:pt idx="399">
                  <c:v>-5.016701497405851E-3</c:v>
                </c:pt>
                <c:pt idx="400">
                  <c:v>-1.1134744710219469E-3</c:v>
                </c:pt>
                <c:pt idx="401">
                  <c:v>1.9296226661618787E-2</c:v>
                </c:pt>
                <c:pt idx="402">
                  <c:v>-2.4363160965344743E-2</c:v>
                </c:pt>
                <c:pt idx="403">
                  <c:v>-8.7816833604410505E-3</c:v>
                </c:pt>
                <c:pt idx="404">
                  <c:v>9.9778422096816755E-3</c:v>
                </c:pt>
                <c:pt idx="405">
                  <c:v>4.4544065521876508E-3</c:v>
                </c:pt>
                <c:pt idx="406">
                  <c:v>-1.1123488106369317E-3</c:v>
                </c:pt>
                <c:pt idx="407">
                  <c:v>-1.1112255263926452E-3</c:v>
                </c:pt>
                <c:pt idx="408">
                  <c:v>-1.1098795389484772E-3</c:v>
                </c:pt>
                <c:pt idx="409">
                  <c:v>1.4639719386517092E-2</c:v>
                </c:pt>
                <c:pt idx="410">
                  <c:v>1.4857107259070856E-2</c:v>
                </c:pt>
                <c:pt idx="411">
                  <c:v>1.2731441435763102E-2</c:v>
                </c:pt>
                <c:pt idx="412">
                  <c:v>1.0526391396814327E-2</c:v>
                </c:pt>
                <c:pt idx="413">
                  <c:v>-1.1560653281439737E-2</c:v>
                </c:pt>
                <c:pt idx="414">
                  <c:v>2.125138778899105E-2</c:v>
                </c:pt>
                <c:pt idx="415">
                  <c:v>5.9382512288650435E-3</c:v>
                </c:pt>
                <c:pt idx="416">
                  <c:v>2.6829309807516522E-2</c:v>
                </c:pt>
                <c:pt idx="417">
                  <c:v>-3.6452061059439878E-3</c:v>
                </c:pt>
                <c:pt idx="418">
                  <c:v>-2.1403123849214167E-2</c:v>
                </c:pt>
                <c:pt idx="419">
                  <c:v>1.3252970348915705E-2</c:v>
                </c:pt>
                <c:pt idx="420">
                  <c:v>-8.3631539520084841E-3</c:v>
                </c:pt>
                <c:pt idx="421">
                  <c:v>3.5970667000642109E-3</c:v>
                </c:pt>
                <c:pt idx="422">
                  <c:v>7.2465109539270323E-3</c:v>
                </c:pt>
                <c:pt idx="423">
                  <c:v>7.2992195959442618E-3</c:v>
                </c:pt>
                <c:pt idx="424">
                  <c:v>1.6069182719402164E-2</c:v>
                </c:pt>
                <c:pt idx="425">
                  <c:v>1.2515727952662647E-2</c:v>
                </c:pt>
                <c:pt idx="426">
                  <c:v>1.3959282725600985E-2</c:v>
                </c:pt>
                <c:pt idx="427">
                  <c:v>1.2707144873380649E-3</c:v>
                </c:pt>
                <c:pt idx="428">
                  <c:v>3.8265365574754462E-3</c:v>
                </c:pt>
                <c:pt idx="429">
                  <c:v>6.4184297031639748E-3</c:v>
                </c:pt>
                <c:pt idx="430">
                  <c:v>-3.8362582087085872E-3</c:v>
                </c:pt>
                <c:pt idx="431">
                  <c:v>1.0335933578918599E-2</c:v>
                </c:pt>
                <c:pt idx="432">
                  <c:v>-2.2727370308264438E-2</c:v>
                </c:pt>
                <c:pt idx="433">
                  <c:v>-9.9999517839187702E-3</c:v>
                </c:pt>
                <c:pt idx="434">
                  <c:v>-9.9009428329738247E-3</c:v>
                </c:pt>
                <c:pt idx="435">
                  <c:v>-7.371080752238135E-3</c:v>
                </c:pt>
                <c:pt idx="436">
                  <c:v>7.4258170493604059E-3</c:v>
                </c:pt>
                <c:pt idx="437">
                  <c:v>-2.8846138595621018E-2</c:v>
                </c:pt>
                <c:pt idx="438">
                  <c:v>-1.4217972428793635E-2</c:v>
                </c:pt>
                <c:pt idx="439">
                  <c:v>4.7619125303397514E-3</c:v>
                </c:pt>
                <c:pt idx="440">
                  <c:v>-9.4339775092550093E-3</c:v>
                </c:pt>
                <c:pt idx="441">
                  <c:v>3.5501810618170371E-3</c:v>
                </c:pt>
                <c:pt idx="442">
                  <c:v>2.3724828117515084E-3</c:v>
                </c:pt>
                <c:pt idx="443">
                  <c:v>1.4440393304436139E-2</c:v>
                </c:pt>
                <c:pt idx="444">
                  <c:v>-1.4234836664378081E-2</c:v>
                </c:pt>
                <c:pt idx="445">
                  <c:v>-3.3256872857734043E-2</c:v>
                </c:pt>
                <c:pt idx="446">
                  <c:v>-9.09092272311951E-3</c:v>
                </c:pt>
                <c:pt idx="447">
                  <c:v>1.6166365943726113E-2</c:v>
                </c:pt>
                <c:pt idx="448">
                  <c:v>0</c:v>
                </c:pt>
                <c:pt idx="449">
                  <c:v>-5.7405950963934638E-3</c:v>
                </c:pt>
                <c:pt idx="450">
                  <c:v>2.3015580064806862E-3</c:v>
                </c:pt>
                <c:pt idx="451">
                  <c:v>3.4642087149854284E-3</c:v>
                </c:pt>
                <c:pt idx="452">
                  <c:v>-9.1533899685001252E-3</c:v>
                </c:pt>
                <c:pt idx="453">
                  <c:v>-3.4207577126774691E-3</c:v>
                </c:pt>
                <c:pt idx="454">
                  <c:v>1.2702157228740907E-2</c:v>
                </c:pt>
                <c:pt idx="455">
                  <c:v>8.1490234773131665E-3</c:v>
                </c:pt>
                <c:pt idx="456">
                  <c:v>-2.0524604148093428E-2</c:v>
                </c:pt>
                <c:pt idx="457">
                  <c:v>-6.7949700541255487E-3</c:v>
                </c:pt>
                <c:pt idx="458">
                  <c:v>-5.6306393197577131E-3</c:v>
                </c:pt>
                <c:pt idx="459">
                  <c:v>-1.1249751797532959E-3</c:v>
                </c:pt>
                <c:pt idx="460">
                  <c:v>-1.5503676416862233E-2</c:v>
                </c:pt>
                <c:pt idx="463">
                  <c:v>-3.3003350083751215E-3</c:v>
                </c:pt>
                <c:pt idx="464">
                  <c:v>2.7994959238804018E-3</c:v>
                </c:pt>
                <c:pt idx="465">
                  <c:v>2.4082567426458423E-2</c:v>
                </c:pt>
                <c:pt idx="466">
                  <c:v>4.6082946654206758E-3</c:v>
                </c:pt>
                <c:pt idx="467">
                  <c:v>-2.1420462232243365E-2</c:v>
                </c:pt>
                <c:pt idx="468">
                  <c:v>1.1402450889255844E-2</c:v>
                </c:pt>
                <c:pt idx="469">
                  <c:v>2.2857714285713371E-3</c:v>
                </c:pt>
                <c:pt idx="470">
                  <c:v>-7.9364516970776844E-3</c:v>
                </c:pt>
                <c:pt idx="471">
                  <c:v>-1.121081838565019E-2</c:v>
                </c:pt>
                <c:pt idx="472">
                  <c:v>-4.4642857142858094E-3</c:v>
                </c:pt>
                <c:pt idx="473">
                  <c:v>-1.1148828809985911E-3</c:v>
                </c:pt>
                <c:pt idx="474">
                  <c:v>-5.543236943279628E-3</c:v>
                </c:pt>
                <c:pt idx="475">
                  <c:v>-1.10730903141254E-3</c:v>
                </c:pt>
                <c:pt idx="476">
                  <c:v>3.333277777777921E-3</c:v>
                </c:pt>
                <c:pt idx="477">
                  <c:v>-1.8538713195201728E-2</c:v>
                </c:pt>
                <c:pt idx="478">
                  <c:v>8.8008800880088334E-3</c:v>
                </c:pt>
                <c:pt idx="479">
                  <c:v>-1.3029315960912169E-2</c:v>
                </c:pt>
                <c:pt idx="480">
                  <c:v>-1.0846528695956925E-3</c:v>
                </c:pt>
                <c:pt idx="481">
                  <c:v>-6.4654098311105468E-3</c:v>
                </c:pt>
                <c:pt idx="482">
                  <c:v>-7.4867375675541359E-3</c:v>
                </c:pt>
                <c:pt idx="483">
                  <c:v>2.1436763129689673E-3</c:v>
                </c:pt>
                <c:pt idx="484">
                  <c:v>1.0730150790243531E-3</c:v>
                </c:pt>
                <c:pt idx="485">
                  <c:v>-3.2086629300180913E-3</c:v>
                </c:pt>
                <c:pt idx="486">
                  <c:v>2.1858033981313474E-2</c:v>
                </c:pt>
                <c:pt idx="487">
                  <c:v>3.2731378822312474E-2</c:v>
                </c:pt>
                <c:pt idx="488">
                  <c:v>2.191459054209921E-2</c:v>
                </c:pt>
                <c:pt idx="489">
                  <c:v>2.31219666544491E-3</c:v>
                </c:pt>
                <c:pt idx="490">
                  <c:v>4.6457610131103166E-3</c:v>
                </c:pt>
                <c:pt idx="491">
                  <c:v>-5.7737297921477415E-3</c:v>
                </c:pt>
                <c:pt idx="492">
                  <c:v>-1.2542815704514543E-2</c:v>
                </c:pt>
                <c:pt idx="493">
                  <c:v>0</c:v>
                </c:pt>
                <c:pt idx="494">
                  <c:v>-1.1388383336469188E-3</c:v>
                </c:pt>
                <c:pt idx="495">
                  <c:v>-4.5351476493846743E-3</c:v>
                </c:pt>
                <c:pt idx="496">
                  <c:v>-1.2318140407718947E-2</c:v>
                </c:pt>
                <c:pt idx="497">
                  <c:v>-5.2016932059447907E-2</c:v>
                </c:pt>
                <c:pt idx="498">
                  <c:v>3.8588811388578392E-2</c:v>
                </c:pt>
                <c:pt idx="499">
                  <c:v>3.3185287610619785E-3</c:v>
                </c:pt>
                <c:pt idx="500">
                  <c:v>7.8037342361352291E-3</c:v>
                </c:pt>
                <c:pt idx="501">
                  <c:v>6.7340628507295275E-3</c:v>
                </c:pt>
                <c:pt idx="502">
                  <c:v>1.123651748519805E-3</c:v>
                </c:pt>
                <c:pt idx="503">
                  <c:v>-1.220871254162037E-2</c:v>
                </c:pt>
                <c:pt idx="504">
                  <c:v>-3.3185840707964376E-3</c:v>
                </c:pt>
                <c:pt idx="505">
                  <c:v>2.2624434389140191E-2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C-4EC7-A352-3515EA9EB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Sheet4!$S$4</c:f>
              <c:strCache>
                <c:ptCount val="1"/>
                <c:pt idx="0">
                  <c:v>METSO.HE.csv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21540774739841"/>
                  <c:y val="-0.275649606299212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Sheet4!$S$5:$S$511</c:f>
              <c:numCache>
                <c:formatCode>0.0\ %</c:formatCode>
                <c:ptCount val="507"/>
                <c:pt idx="0">
                  <c:v>2.0112736564778411E-2</c:v>
                </c:pt>
                <c:pt idx="1">
                  <c:v>-1.9064408268923305E-2</c:v>
                </c:pt>
                <c:pt idx="2">
                  <c:v>1.9204728485618494E-2</c:v>
                </c:pt>
                <c:pt idx="3">
                  <c:v>1.2582930463072683E-2</c:v>
                </c:pt>
                <c:pt idx="4">
                  <c:v>1.2508820085042283E-2</c:v>
                </c:pt>
                <c:pt idx="5">
                  <c:v>1.5764566200495933E-2</c:v>
                </c:pt>
                <c:pt idx="6">
                  <c:v>1.8696183137629552E-2</c:v>
                </c:pt>
                <c:pt idx="7">
                  <c:v>1.1393902778026543E-2</c:v>
                </c:pt>
                <c:pt idx="8">
                  <c:v>4.7752076194838233E-2</c:v>
                </c:pt>
                <c:pt idx="9">
                  <c:v>-2.525386536606733E-2</c:v>
                </c:pt>
                <c:pt idx="10">
                  <c:v>6.4295230769683354E-2</c:v>
                </c:pt>
                <c:pt idx="11">
                  <c:v>7.0219853530924192E-2</c:v>
                </c:pt>
                <c:pt idx="12">
                  <c:v>-2.0982890408821619E-2</c:v>
                </c:pt>
                <c:pt idx="13">
                  <c:v>1.2580508193083872E-2</c:v>
                </c:pt>
                <c:pt idx="14">
                  <c:v>9.3215017357627605E-2</c:v>
                </c:pt>
                <c:pt idx="15">
                  <c:v>-1.7417370339943727E-2</c:v>
                </c:pt>
                <c:pt idx="16">
                  <c:v>-5.290088353102762E-2</c:v>
                </c:pt>
                <c:pt idx="17">
                  <c:v>-5.2546653430228685E-2</c:v>
                </c:pt>
                <c:pt idx="18">
                  <c:v>1.6194981435389E-3</c:v>
                </c:pt>
                <c:pt idx="19">
                  <c:v>0</c:v>
                </c:pt>
                <c:pt idx="20">
                  <c:v>-3.99067050863251E-2</c:v>
                </c:pt>
                <c:pt idx="21">
                  <c:v>1.2595065951404472E-2</c:v>
                </c:pt>
                <c:pt idx="22">
                  <c:v>-5.9476800737636504E-2</c:v>
                </c:pt>
                <c:pt idx="23">
                  <c:v>3.1568322649326852E-2</c:v>
                </c:pt>
                <c:pt idx="24">
                  <c:v>-1.5785551256854102E-2</c:v>
                </c:pt>
                <c:pt idx="25">
                  <c:v>-1.4324487056980528E-2</c:v>
                </c:pt>
                <c:pt idx="26">
                  <c:v>5.2135168967808454E-3</c:v>
                </c:pt>
                <c:pt idx="27">
                  <c:v>1.3333356514491745E-2</c:v>
                </c:pt>
                <c:pt idx="28">
                  <c:v>6.9698357800191735E-2</c:v>
                </c:pt>
                <c:pt idx="29">
                  <c:v>4.0313677492366029E-2</c:v>
                </c:pt>
                <c:pt idx="30">
                  <c:v>-3.4855337279180776E-2</c:v>
                </c:pt>
                <c:pt idx="31">
                  <c:v>-6.4695563015031432E-2</c:v>
                </c:pt>
                <c:pt idx="32">
                  <c:v>1.4875568811248518E-2</c:v>
                </c:pt>
                <c:pt idx="33">
                  <c:v>1.4836134621217134E-2</c:v>
                </c:pt>
                <c:pt idx="34">
                  <c:v>-1.5376801528279582E-2</c:v>
                </c:pt>
                <c:pt idx="35">
                  <c:v>-2.2055264400833829E-2</c:v>
                </c:pt>
                <c:pt idx="36">
                  <c:v>2.5443462963666397E-2</c:v>
                </c:pt>
                <c:pt idx="37">
                  <c:v>4.9919068458158078E-2</c:v>
                </c:pt>
                <c:pt idx="38">
                  <c:v>8.4353993412420447E-3</c:v>
                </c:pt>
                <c:pt idx="39">
                  <c:v>-1.6327684636791018E-2</c:v>
                </c:pt>
                <c:pt idx="40">
                  <c:v>1.5217521630818132E-2</c:v>
                </c:pt>
                <c:pt idx="41">
                  <c:v>-6.4795978851712732E-3</c:v>
                </c:pt>
                <c:pt idx="42">
                  <c:v>-8.0938380423589695E-4</c:v>
                </c:pt>
                <c:pt idx="43">
                  <c:v>-6.9648541735437552E-3</c:v>
                </c:pt>
                <c:pt idx="44">
                  <c:v>-3.1144434124133924E-2</c:v>
                </c:pt>
                <c:pt idx="45">
                  <c:v>-1.6590240913440302E-2</c:v>
                </c:pt>
                <c:pt idx="46">
                  <c:v>-0.10240540604067994</c:v>
                </c:pt>
                <c:pt idx="47">
                  <c:v>5.2824566273688145E-2</c:v>
                </c:pt>
                <c:pt idx="48">
                  <c:v>4.4711291289215582E-2</c:v>
                </c:pt>
                <c:pt idx="49">
                  <c:v>-4.3245665630339269E-3</c:v>
                </c:pt>
                <c:pt idx="50">
                  <c:v>-4.1219493949141706E-2</c:v>
                </c:pt>
                <c:pt idx="51">
                  <c:v>7.3212456636873036E-4</c:v>
                </c:pt>
                <c:pt idx="52">
                  <c:v>-1.7056324452145999E-3</c:v>
                </c:pt>
                <c:pt idx="53">
                  <c:v>2.9087287235252335E-2</c:v>
                </c:pt>
                <c:pt idx="54">
                  <c:v>-1.0667293068054362E-2</c:v>
                </c:pt>
                <c:pt idx="55">
                  <c:v>1.1289528278210392E-2</c:v>
                </c:pt>
                <c:pt idx="56">
                  <c:v>1.3475670354178293E-2</c:v>
                </c:pt>
                <c:pt idx="57">
                  <c:v>2.8235387648885668E-2</c:v>
                </c:pt>
                <c:pt idx="58">
                  <c:v>3.8555406144504811E-2</c:v>
                </c:pt>
                <c:pt idx="59">
                  <c:v>-7.5450457769132839E-3</c:v>
                </c:pt>
                <c:pt idx="60">
                  <c:v>-5.6270823745069309E-3</c:v>
                </c:pt>
                <c:pt idx="61">
                  <c:v>1.2754480657990452E-2</c:v>
                </c:pt>
                <c:pt idx="62">
                  <c:v>-4.1113745870105078E-2</c:v>
                </c:pt>
                <c:pt idx="63">
                  <c:v>-1.0810815917204897E-2</c:v>
                </c:pt>
                <c:pt idx="64">
                  <c:v>-2.460453795737938E-2</c:v>
                </c:pt>
                <c:pt idx="65">
                  <c:v>5.0230501899362068E-4</c:v>
                </c:pt>
                <c:pt idx="66">
                  <c:v>1.509453473378608E-3</c:v>
                </c:pt>
                <c:pt idx="67">
                  <c:v>-1.2667564720847846E-2</c:v>
                </c:pt>
                <c:pt idx="68">
                  <c:v>-3.0346959129178841E-2</c:v>
                </c:pt>
                <c:pt idx="69">
                  <c:v>-7.173568411174891E-3</c:v>
                </c:pt>
                <c:pt idx="70">
                  <c:v>1.5788316141750025E-2</c:v>
                </c:pt>
                <c:pt idx="71">
                  <c:v>-2.0461632614466985E-2</c:v>
                </c:pt>
                <c:pt idx="72">
                  <c:v>-3.0449740946679626E-2</c:v>
                </c:pt>
                <c:pt idx="73">
                  <c:v>0</c:v>
                </c:pt>
                <c:pt idx="74">
                  <c:v>-2.0560549715467724E-2</c:v>
                </c:pt>
                <c:pt idx="75">
                  <c:v>-1.227393189144288E-2</c:v>
                </c:pt>
                <c:pt idx="76">
                  <c:v>5.1591343681238744E-3</c:v>
                </c:pt>
                <c:pt idx="79">
                  <c:v>5.5431539920776096E-3</c:v>
                </c:pt>
                <c:pt idx="80">
                  <c:v>1.109814620457783E-3</c:v>
                </c:pt>
                <c:pt idx="81">
                  <c:v>3.8736595286482656E-2</c:v>
                </c:pt>
                <c:pt idx="82">
                  <c:v>4.0297324930799849E-2</c:v>
                </c:pt>
                <c:pt idx="83">
                  <c:v>8.2224275180486917E-3</c:v>
                </c:pt>
                <c:pt idx="84">
                  <c:v>-1.7814707021496234E-2</c:v>
                </c:pt>
                <c:pt idx="85">
                  <c:v>5.5667063309102094E-2</c:v>
                </c:pt>
                <c:pt idx="86">
                  <c:v>9.6202893891572661E-3</c:v>
                </c:pt>
                <c:pt idx="87">
                  <c:v>-2.7093602738648692E-2</c:v>
                </c:pt>
                <c:pt idx="88">
                  <c:v>-6.6062702930147488E-3</c:v>
                </c:pt>
                <c:pt idx="89">
                  <c:v>7.3830837930707549E-2</c:v>
                </c:pt>
                <c:pt idx="90">
                  <c:v>2.3393408972999907E-2</c:v>
                </c:pt>
                <c:pt idx="91">
                  <c:v>-3.9018143726755383E-2</c:v>
                </c:pt>
                <c:pt idx="92">
                  <c:v>-1.0326280695647228E-3</c:v>
                </c:pt>
                <c:pt idx="93">
                  <c:v>3.3066770389324818E-2</c:v>
                </c:pt>
                <c:pt idx="94">
                  <c:v>4.8951049976622807E-2</c:v>
                </c:pt>
                <c:pt idx="95">
                  <c:v>1.8808722159783242E-2</c:v>
                </c:pt>
                <c:pt idx="96">
                  <c:v>-2.3106958886466189E-2</c:v>
                </c:pt>
                <c:pt idx="97">
                  <c:v>4.8147237003671517E-2</c:v>
                </c:pt>
                <c:pt idx="98">
                  <c:v>-2.4758134617433369E-2</c:v>
                </c:pt>
                <c:pt idx="99">
                  <c:v>-4.7954537835609545E-2</c:v>
                </c:pt>
                <c:pt idx="100">
                  <c:v>-1.4155933870543924E-2</c:v>
                </c:pt>
                <c:pt idx="101">
                  <c:v>4.9915885731626641E-2</c:v>
                </c:pt>
                <c:pt idx="102">
                  <c:v>1.5665057880464017E-2</c:v>
                </c:pt>
                <c:pt idx="103">
                  <c:v>2.6608176152212337E-2</c:v>
                </c:pt>
                <c:pt idx="104">
                  <c:v>1.1834266290846607E-2</c:v>
                </c:pt>
                <c:pt idx="105">
                  <c:v>-1.4577194856427722E-2</c:v>
                </c:pt>
                <c:pt idx="106">
                  <c:v>-1.4651002260615886E-2</c:v>
                </c:pt>
                <c:pt idx="107">
                  <c:v>-2.7925181462216009E-2</c:v>
                </c:pt>
                <c:pt idx="108">
                  <c:v>-1.213799144170491E-2</c:v>
                </c:pt>
                <c:pt idx="109">
                  <c:v>-3.4877470232141938E-2</c:v>
                </c:pt>
                <c:pt idx="110">
                  <c:v>-8.7093969218983158E-3</c:v>
                </c:pt>
                <c:pt idx="111">
                  <c:v>-1.0963200668299922E-2</c:v>
                </c:pt>
                <c:pt idx="112">
                  <c:v>1.8070691057601396E-2</c:v>
                </c:pt>
                <c:pt idx="113">
                  <c:v>1.8403250512060598E-2</c:v>
                </c:pt>
                <c:pt idx="114">
                  <c:v>-4.6943493492241362E-2</c:v>
                </c:pt>
                <c:pt idx="115">
                  <c:v>-3.4130636132455039E-2</c:v>
                </c:pt>
                <c:pt idx="116">
                  <c:v>7.4795283531248202E-4</c:v>
                </c:pt>
                <c:pt idx="117">
                  <c:v>1.3134623266876755E-2</c:v>
                </c:pt>
                <c:pt idx="118">
                  <c:v>-2.2680425992971376E-3</c:v>
                </c:pt>
                <c:pt idx="119">
                  <c:v>-1.3426200220435058E-2</c:v>
                </c:pt>
                <c:pt idx="120">
                  <c:v>1.3864385109062072E-2</c:v>
                </c:pt>
                <c:pt idx="121">
                  <c:v>-1.4654717962021224E-2</c:v>
                </c:pt>
                <c:pt idx="122">
                  <c:v>1.1049647375351412E-2</c:v>
                </c:pt>
                <c:pt idx="123">
                  <c:v>-5.5278776551110242E-2</c:v>
                </c:pt>
                <c:pt idx="124">
                  <c:v>-1.4214824705773843E-3</c:v>
                </c:pt>
                <c:pt idx="125">
                  <c:v>-3.7761410155288111E-3</c:v>
                </c:pt>
                <c:pt idx="126">
                  <c:v>2.9897917166613386E-2</c:v>
                </c:pt>
                <c:pt idx="127">
                  <c:v>-2.971699723061294E-2</c:v>
                </c:pt>
                <c:pt idx="128">
                  <c:v>3.8452060798138898E-2</c:v>
                </c:pt>
                <c:pt idx="129">
                  <c:v>-2.109816181115054E-2</c:v>
                </c:pt>
                <c:pt idx="130">
                  <c:v>2.1803236808105364E-2</c:v>
                </c:pt>
                <c:pt idx="131">
                  <c:v>2.9508048881854654E-2</c:v>
                </c:pt>
                <c:pt idx="132">
                  <c:v>7.5720312297988812E-4</c:v>
                </c:pt>
                <c:pt idx="133">
                  <c:v>-1.0489515067965027E-2</c:v>
                </c:pt>
                <c:pt idx="134">
                  <c:v>-4.7227314324767011E-3</c:v>
                </c:pt>
                <c:pt idx="135">
                  <c:v>2.3143428720999726E-2</c:v>
                </c:pt>
                <c:pt idx="136">
                  <c:v>6.1411942050202395E-3</c:v>
                </c:pt>
                <c:pt idx="137">
                  <c:v>-2.8067858395647294E-3</c:v>
                </c:pt>
                <c:pt idx="138">
                  <c:v>2.3016859229210151E-3</c:v>
                </c:pt>
                <c:pt idx="139">
                  <c:v>5.5045875453385573E-2</c:v>
                </c:pt>
                <c:pt idx="140">
                  <c:v>-3.8651103169934697E-2</c:v>
                </c:pt>
                <c:pt idx="141">
                  <c:v>2.1192096209908362E-2</c:v>
                </c:pt>
                <c:pt idx="142">
                  <c:v>-8.9262965594066879E-3</c:v>
                </c:pt>
                <c:pt idx="143">
                  <c:v>-8.8471875103600661E-3</c:v>
                </c:pt>
                <c:pt idx="144">
                  <c:v>-1.1828207340914276E-2</c:v>
                </c:pt>
                <c:pt idx="145">
                  <c:v>-2.5557443785315548E-2</c:v>
                </c:pt>
                <c:pt idx="146">
                  <c:v>-3.692106973175735E-2</c:v>
                </c:pt>
                <c:pt idx="147">
                  <c:v>1.8181968081913302E-2</c:v>
                </c:pt>
                <c:pt idx="148">
                  <c:v>1.5469044186449121E-2</c:v>
                </c:pt>
                <c:pt idx="149">
                  <c:v>-1.3536798679122719E-2</c:v>
                </c:pt>
                <c:pt idx="150">
                  <c:v>5.3955873202609972E-2</c:v>
                </c:pt>
                <c:pt idx="151">
                  <c:v>0</c:v>
                </c:pt>
                <c:pt idx="152">
                  <c:v>1.474082114419728E-2</c:v>
                </c:pt>
                <c:pt idx="153">
                  <c:v>-9.903607961528893E-3</c:v>
                </c:pt>
                <c:pt idx="154">
                  <c:v>5.2674859827333664E-2</c:v>
                </c:pt>
                <c:pt idx="155">
                  <c:v>2.015110023545752E-2</c:v>
                </c:pt>
                <c:pt idx="156">
                  <c:v>2.2025206843901524E-2</c:v>
                </c:pt>
                <c:pt idx="157">
                  <c:v>1.7758396606633031E-2</c:v>
                </c:pt>
                <c:pt idx="158">
                  <c:v>2.4455822760959256E-2</c:v>
                </c:pt>
                <c:pt idx="159">
                  <c:v>3.2645404164778125E-2</c:v>
                </c:pt>
                <c:pt idx="160">
                  <c:v>-5.2800487714304123E-2</c:v>
                </c:pt>
                <c:pt idx="161">
                  <c:v>-4.2458112831192607E-2</c:v>
                </c:pt>
                <c:pt idx="162">
                  <c:v>-5.9379828345099583E-2</c:v>
                </c:pt>
                <c:pt idx="163">
                  <c:v>9.2812460157936094E-3</c:v>
                </c:pt>
                <c:pt idx="164">
                  <c:v>2.2505478270734347E-2</c:v>
                </c:pt>
                <c:pt idx="165">
                  <c:v>3.2474835261194102E-2</c:v>
                </c:pt>
                <c:pt idx="166">
                  <c:v>5.0646337910253969E-3</c:v>
                </c:pt>
                <c:pt idx="167">
                  <c:v>2.8155433932353091E-4</c:v>
                </c:pt>
                <c:pt idx="168">
                  <c:v>4.8076559518985817E-3</c:v>
                </c:pt>
                <c:pt idx="169">
                  <c:v>-2.990402955061322E-2</c:v>
                </c:pt>
                <c:pt idx="170">
                  <c:v>-5.7282457735363668E-3</c:v>
                </c:pt>
                <c:pt idx="171">
                  <c:v>-3.1184012317146514E-2</c:v>
                </c:pt>
                <c:pt idx="172">
                  <c:v>-3.6861064075744965E-3</c:v>
                </c:pt>
                <c:pt idx="173">
                  <c:v>1.659527022238505E-2</c:v>
                </c:pt>
                <c:pt idx="174">
                  <c:v>-1.0331120860989307E-2</c:v>
                </c:pt>
                <c:pt idx="175">
                  <c:v>3.7223694020176445E-3</c:v>
                </c:pt>
                <c:pt idx="176">
                  <c:v>-1.1303853321979918E-2</c:v>
                </c:pt>
                <c:pt idx="177">
                  <c:v>6.6155464717756463E-3</c:v>
                </c:pt>
                <c:pt idx="178">
                  <c:v>-2.6392069953029562E-3</c:v>
                </c:pt>
                <c:pt idx="179">
                  <c:v>9.0545248608477902E-3</c:v>
                </c:pt>
                <c:pt idx="180">
                  <c:v>-3.6505844037300839E-2</c:v>
                </c:pt>
                <c:pt idx="181">
                  <c:v>-1.5620021781258542E-3</c:v>
                </c:pt>
                <c:pt idx="182">
                  <c:v>-2.9805633564210066E-2</c:v>
                </c:pt>
                <c:pt idx="183">
                  <c:v>1.3569024636371774E-2</c:v>
                </c:pt>
                <c:pt idx="184">
                  <c:v>1.2704079551147052E-2</c:v>
                </c:pt>
                <c:pt idx="185">
                  <c:v>-6.8132411929388792E-2</c:v>
                </c:pt>
                <c:pt idx="186">
                  <c:v>-1.7797818805812216E-2</c:v>
                </c:pt>
                <c:pt idx="187">
                  <c:v>-1.9999992801096766E-2</c:v>
                </c:pt>
                <c:pt idx="188">
                  <c:v>-1.0356545090469904E-2</c:v>
                </c:pt>
                <c:pt idx="189">
                  <c:v>-2.0514041995727372E-2</c:v>
                </c:pt>
                <c:pt idx="190">
                  <c:v>2.6614069191732259E-2</c:v>
                </c:pt>
                <c:pt idx="191">
                  <c:v>8.16614739486754E-3</c:v>
                </c:pt>
                <c:pt idx="192">
                  <c:v>-1.4032658643754359E-2</c:v>
                </c:pt>
                <c:pt idx="193">
                  <c:v>2.3006342532849722E-4</c:v>
                </c:pt>
                <c:pt idx="194">
                  <c:v>6.2516208403609053E-3</c:v>
                </c:pt>
                <c:pt idx="195">
                  <c:v>-1.7292580827681148E-2</c:v>
                </c:pt>
                <c:pt idx="196">
                  <c:v>-5.206040974056747E-3</c:v>
                </c:pt>
                <c:pt idx="197">
                  <c:v>-9.8608977818848143E-3</c:v>
                </c:pt>
                <c:pt idx="198">
                  <c:v>-4.4807957393944164E-4</c:v>
                </c:pt>
                <c:pt idx="199">
                  <c:v>-1.1952291778979718E-2</c:v>
                </c:pt>
                <c:pt idx="200">
                  <c:v>7.1334241045237778E-3</c:v>
                </c:pt>
                <c:pt idx="201">
                  <c:v>1.3098437636721139E-2</c:v>
                </c:pt>
                <c:pt idx="202">
                  <c:v>4.7651609418357666E-3</c:v>
                </c:pt>
                <c:pt idx="203">
                  <c:v>-1.4975442419299823E-2</c:v>
                </c:pt>
                <c:pt idx="204">
                  <c:v>-1.0833437228629395E-2</c:v>
                </c:pt>
                <c:pt idx="205">
                  <c:v>-7.461216460301956E-3</c:v>
                </c:pt>
                <c:pt idx="206">
                  <c:v>-1.9789227997936698E-2</c:v>
                </c:pt>
                <c:pt idx="209">
                  <c:v>-3.1292003656882006E-3</c:v>
                </c:pt>
                <c:pt idx="210">
                  <c:v>-7.3218033417790096E-3</c:v>
                </c:pt>
                <c:pt idx="211">
                  <c:v>6.2511835435949958E-3</c:v>
                </c:pt>
                <c:pt idx="212">
                  <c:v>-2.4820168855597902E-2</c:v>
                </c:pt>
                <c:pt idx="213">
                  <c:v>-2.0891132992465145E-2</c:v>
                </c:pt>
                <c:pt idx="214">
                  <c:v>2.1114482331713091E-2</c:v>
                </c:pt>
                <c:pt idx="215">
                  <c:v>1.1448753280735691E-2</c:v>
                </c:pt>
                <c:pt idx="216">
                  <c:v>-1.9006631873732749E-2</c:v>
                </c:pt>
                <c:pt idx="217">
                  <c:v>2.8157216451645262E-3</c:v>
                </c:pt>
                <c:pt idx="218">
                  <c:v>-4.686204438436492E-2</c:v>
                </c:pt>
                <c:pt idx="219">
                  <c:v>2.45347486399774E-2</c:v>
                </c:pt>
                <c:pt idx="220">
                  <c:v>-1.7864662053810654E-2</c:v>
                </c:pt>
                <c:pt idx="221">
                  <c:v>-1.2107478086574308E-2</c:v>
                </c:pt>
                <c:pt idx="222">
                  <c:v>1.1415483552623229E-2</c:v>
                </c:pt>
                <c:pt idx="223">
                  <c:v>-9.8644248579520255E-3</c:v>
                </c:pt>
                <c:pt idx="224">
                  <c:v>1.2484416888083993E-2</c:v>
                </c:pt>
                <c:pt idx="225">
                  <c:v>-1.8382333570570064E-2</c:v>
                </c:pt>
                <c:pt idx="226">
                  <c:v>1.0317788832931774E-2</c:v>
                </c:pt>
                <c:pt idx="227">
                  <c:v>-9.8078830555662355E-3</c:v>
                </c:pt>
                <c:pt idx="228">
                  <c:v>-1.4300114957470522E-2</c:v>
                </c:pt>
                <c:pt idx="229">
                  <c:v>-3.5922353731529189E-2</c:v>
                </c:pt>
                <c:pt idx="230">
                  <c:v>8.8149290373098488E-3</c:v>
                </c:pt>
                <c:pt idx="231">
                  <c:v>2.0999960893159031E-2</c:v>
                </c:pt>
                <c:pt idx="232">
                  <c:v>-1.3320189003865002E-2</c:v>
                </c:pt>
                <c:pt idx="233">
                  <c:v>-1.2664374866621864E-2</c:v>
                </c:pt>
                <c:pt idx="234">
                  <c:v>-8.2126700509111972E-3</c:v>
                </c:pt>
                <c:pt idx="235">
                  <c:v>1.2224989948994125E-2</c:v>
                </c:pt>
                <c:pt idx="236">
                  <c:v>-2.5726556868247763E-2</c:v>
                </c:pt>
                <c:pt idx="237">
                  <c:v>2.9931441688981986E-2</c:v>
                </c:pt>
                <c:pt idx="238">
                  <c:v>-2.4880348192167001E-2</c:v>
                </c:pt>
                <c:pt idx="239">
                  <c:v>-7.1258434641844337E-3</c:v>
                </c:pt>
                <c:pt idx="240">
                  <c:v>5.7332596204178188E-3</c:v>
                </c:pt>
                <c:pt idx="241">
                  <c:v>-2.85858278790041E-3</c:v>
                </c:pt>
                <c:pt idx="242">
                  <c:v>1.49904609423539E-2</c:v>
                </c:pt>
                <c:pt idx="243">
                  <c:v>-3.2740977746752775E-2</c:v>
                </c:pt>
                <c:pt idx="244">
                  <c:v>1.0397035158726142E-2</c:v>
                </c:pt>
                <c:pt idx="245">
                  <c:v>6.1816361228776984E-3</c:v>
                </c:pt>
                <c:pt idx="246">
                  <c:v>4.7778313829875962E-3</c:v>
                </c:pt>
                <c:pt idx="247">
                  <c:v>-2.3331780352981779E-2</c:v>
                </c:pt>
                <c:pt idx="248">
                  <c:v>-7.4107252780192256E-3</c:v>
                </c:pt>
                <c:pt idx="249">
                  <c:v>2.2253603095059082E-2</c:v>
                </c:pt>
                <c:pt idx="250">
                  <c:v>9.0779486472605253E-3</c:v>
                </c:pt>
                <c:pt idx="251">
                  <c:v>4.8007686460875831E-3</c:v>
                </c:pt>
                <c:pt idx="252">
                  <c:v>-3.825960353947333E-3</c:v>
                </c:pt>
                <c:pt idx="253">
                  <c:v>1.1611051490201474E-2</c:v>
                </c:pt>
                <c:pt idx="254">
                  <c:v>-6.7274566388003665E-3</c:v>
                </c:pt>
                <c:pt idx="255">
                  <c:v>-9.6021317287242614E-4</c:v>
                </c:pt>
                <c:pt idx="256">
                  <c:v>-1.5129890728079132E-2</c:v>
                </c:pt>
                <c:pt idx="257">
                  <c:v>-4.727166333449162E-4</c:v>
                </c:pt>
                <c:pt idx="258">
                  <c:v>3.3203170659549253E-2</c:v>
                </c:pt>
                <c:pt idx="259">
                  <c:v>-1.0149862075184091E-2</c:v>
                </c:pt>
                <c:pt idx="260">
                  <c:v>1.9370662824849116E-3</c:v>
                </c:pt>
                <c:pt idx="261">
                  <c:v>1.9753089439320526E-2</c:v>
                </c:pt>
                <c:pt idx="262">
                  <c:v>0</c:v>
                </c:pt>
                <c:pt idx="263">
                  <c:v>3.9662255406711644E-3</c:v>
                </c:pt>
                <c:pt idx="264">
                  <c:v>1.2753484308281937E-2</c:v>
                </c:pt>
                <c:pt idx="265">
                  <c:v>-1.2103065535324697E-2</c:v>
                </c:pt>
                <c:pt idx="266">
                  <c:v>3.4843312949857097E-3</c:v>
                </c:pt>
                <c:pt idx="267">
                  <c:v>6.9166361799308795E-3</c:v>
                </c:pt>
                <c:pt idx="268">
                  <c:v>-3.0515072075073979E-2</c:v>
                </c:pt>
                <c:pt idx="269">
                  <c:v>-4.8355907140532617E-3</c:v>
                </c:pt>
                <c:pt idx="270">
                  <c:v>1.2236857363468578E-2</c:v>
                </c:pt>
                <c:pt idx="271">
                  <c:v>3.4381245030836727E-3</c:v>
                </c:pt>
                <c:pt idx="272">
                  <c:v>2.496972104716022E-2</c:v>
                </c:pt>
                <c:pt idx="273">
                  <c:v>2.2441889799744486E-2</c:v>
                </c:pt>
                <c:pt idx="274">
                  <c:v>3.0335057740724203E-2</c:v>
                </c:pt>
                <c:pt idx="275">
                  <c:v>-2.2397215607959597E-2</c:v>
                </c:pt>
                <c:pt idx="276">
                  <c:v>7.2270412108424109E-2</c:v>
                </c:pt>
                <c:pt idx="277">
                  <c:v>-2.1327484352535508E-2</c:v>
                </c:pt>
                <c:pt idx="278">
                  <c:v>1.5256114252968356E-3</c:v>
                </c:pt>
                <c:pt idx="279">
                  <c:v>-9.4989914916401297E-3</c:v>
                </c:pt>
                <c:pt idx="280">
                  <c:v>-3.116506410169928E-2</c:v>
                </c:pt>
                <c:pt idx="281">
                  <c:v>-1.4621004680359651E-3</c:v>
                </c:pt>
                <c:pt idx="282">
                  <c:v>6.0938135720831621E-3</c:v>
                </c:pt>
                <c:pt idx="283">
                  <c:v>4.2725615847241993E-2</c:v>
                </c:pt>
                <c:pt idx="284">
                  <c:v>-1.1479334426784171E-2</c:v>
                </c:pt>
                <c:pt idx="285">
                  <c:v>-2.0161227630175471E-2</c:v>
                </c:pt>
                <c:pt idx="286">
                  <c:v>-2.9054251158138866E-2</c:v>
                </c:pt>
                <c:pt idx="287">
                  <c:v>-2.2360993017704445E-2</c:v>
                </c:pt>
                <c:pt idx="288">
                  <c:v>-1.115531043464435E-2</c:v>
                </c:pt>
                <c:pt idx="289">
                  <c:v>7.8296583214667592E-3</c:v>
                </c:pt>
                <c:pt idx="290">
                  <c:v>-9.2490267274489835E-3</c:v>
                </c:pt>
                <c:pt idx="291">
                  <c:v>4.9973984774518421E-3</c:v>
                </c:pt>
                <c:pt idx="292">
                  <c:v>-4.4775815987423417E-3</c:v>
                </c:pt>
                <c:pt idx="293">
                  <c:v>-1.6634072416783718E-2</c:v>
                </c:pt>
                <c:pt idx="294">
                  <c:v>-1.7779827249377766E-2</c:v>
                </c:pt>
                <c:pt idx="295">
                  <c:v>-3.8295251299929056E-3</c:v>
                </c:pt>
                <c:pt idx="296">
                  <c:v>-1.555145627933241E-2</c:v>
                </c:pt>
                <c:pt idx="297">
                  <c:v>-1.5769965296389632E-2</c:v>
                </c:pt>
                <c:pt idx="298">
                  <c:v>3.2573389998740154E-3</c:v>
                </c:pt>
                <c:pt idx="299">
                  <c:v>2.7997943825766036E-3</c:v>
                </c:pt>
                <c:pt idx="300">
                  <c:v>-7.4107252780192256E-3</c:v>
                </c:pt>
                <c:pt idx="301">
                  <c:v>2.4679604712608105E-2</c:v>
                </c:pt>
                <c:pt idx="302">
                  <c:v>6.2082051906722224E-3</c:v>
                </c:pt>
                <c:pt idx="303">
                  <c:v>1.3552700646225269E-2</c:v>
                </c:pt>
                <c:pt idx="304">
                  <c:v>1.5233447973521441E-2</c:v>
                </c:pt>
                <c:pt idx="305">
                  <c:v>-3.915850923314812E-3</c:v>
                </c:pt>
                <c:pt idx="306">
                  <c:v>2.1499991900034043E-2</c:v>
                </c:pt>
                <c:pt idx="307">
                  <c:v>1.0509238777224761E-2</c:v>
                </c:pt>
                <c:pt idx="308">
                  <c:v>-6.4650216999073473E-2</c:v>
                </c:pt>
                <c:pt idx="309">
                  <c:v>-1.4177727021788877E-2</c:v>
                </c:pt>
                <c:pt idx="310">
                  <c:v>7.1395717922424495E-3</c:v>
                </c:pt>
                <c:pt idx="311">
                  <c:v>-2.596200968602469E-2</c:v>
                </c:pt>
                <c:pt idx="312">
                  <c:v>7.9439638822580427E-3</c:v>
                </c:pt>
                <c:pt idx="313">
                  <c:v>2.8114944946053821E-3</c:v>
                </c:pt>
                <c:pt idx="314">
                  <c:v>8.030269817719482E-3</c:v>
                </c:pt>
                <c:pt idx="315">
                  <c:v>-8.4309143754821569E-3</c:v>
                </c:pt>
                <c:pt idx="316">
                  <c:v>-1.248839167224769E-2</c:v>
                </c:pt>
                <c:pt idx="317">
                  <c:v>2.8055070193058862E-2</c:v>
                </c:pt>
                <c:pt idx="318">
                  <c:v>0</c:v>
                </c:pt>
                <c:pt idx="319">
                  <c:v>-3.3991664174641167E-2</c:v>
                </c:pt>
                <c:pt idx="320">
                  <c:v>5.0785546360243572E-3</c:v>
                </c:pt>
                <c:pt idx="321">
                  <c:v>3.537277866208588E-2</c:v>
                </c:pt>
                <c:pt idx="322">
                  <c:v>2.2982758603537379E-2</c:v>
                </c:pt>
                <c:pt idx="323">
                  <c:v>2.7431858332546355E-2</c:v>
                </c:pt>
                <c:pt idx="324">
                  <c:v>-2.2396887206189708E-2</c:v>
                </c:pt>
                <c:pt idx="325">
                  <c:v>4.4400095870003042E-3</c:v>
                </c:pt>
                <c:pt idx="326">
                  <c:v>-3.4415227197710507E-3</c:v>
                </c:pt>
                <c:pt idx="327">
                  <c:v>-6.350653595843192E-3</c:v>
                </c:pt>
                <c:pt idx="328">
                  <c:v>3.4314010493856628E-3</c:v>
                </c:pt>
                <c:pt idx="329">
                  <c:v>-4.0000095737755204E-2</c:v>
                </c:pt>
                <c:pt idx="330">
                  <c:v>-6.0804445670894491E-3</c:v>
                </c:pt>
                <c:pt idx="333">
                  <c:v>-7.3394300206446328E-3</c:v>
                </c:pt>
                <c:pt idx="334">
                  <c:v>5.0714361621753135E-3</c:v>
                </c:pt>
                <c:pt idx="335">
                  <c:v>1.3851201260857149E-3</c:v>
                </c:pt>
                <c:pt idx="336">
                  <c:v>-2.0352921128267032E-2</c:v>
                </c:pt>
                <c:pt idx="337">
                  <c:v>-4.9503790151099736E-3</c:v>
                </c:pt>
                <c:pt idx="338">
                  <c:v>-2.2451783750689902E-3</c:v>
                </c:pt>
                <c:pt idx="339">
                  <c:v>-4.0250907849540551E-3</c:v>
                </c:pt>
                <c:pt idx="340">
                  <c:v>2.14709680537295E-2</c:v>
                </c:pt>
                <c:pt idx="341">
                  <c:v>3.1574084078610953E-2</c:v>
                </c:pt>
                <c:pt idx="342">
                  <c:v>-5.6233703251432621E-3</c:v>
                </c:pt>
                <c:pt idx="343">
                  <c:v>5.1814171592783342E-3</c:v>
                </c:pt>
                <c:pt idx="344">
                  <c:v>-6.08613799684532E-3</c:v>
                </c:pt>
                <c:pt idx="345">
                  <c:v>-5.5865302716273657E-3</c:v>
                </c:pt>
                <c:pt idx="346">
                  <c:v>-1.0594296406775894E-2</c:v>
                </c:pt>
                <c:pt idx="347">
                  <c:v>1.8458178345563958E-3</c:v>
                </c:pt>
                <c:pt idx="348">
                  <c:v>-1.9013008915378382E-2</c:v>
                </c:pt>
                <c:pt idx="349">
                  <c:v>-2.0833312667422055E-2</c:v>
                </c:pt>
                <c:pt idx="350">
                  <c:v>1.165918505215835E-2</c:v>
                </c:pt>
                <c:pt idx="351">
                  <c:v>4.9570712022932728E-3</c:v>
                </c:pt>
                <c:pt idx="352">
                  <c:v>2.1168999033623459E-2</c:v>
                </c:pt>
                <c:pt idx="353">
                  <c:v>-9.1200411301246564E-3</c:v>
                </c:pt>
                <c:pt idx="354">
                  <c:v>-2.7284824162668864E-3</c:v>
                </c:pt>
                <c:pt idx="355">
                  <c:v>-9.9053986703584451E-3</c:v>
                </c:pt>
                <c:pt idx="356">
                  <c:v>-3.2665495925784493E-2</c:v>
                </c:pt>
                <c:pt idx="357">
                  <c:v>7.901579449606233E-3</c:v>
                </c:pt>
                <c:pt idx="358">
                  <c:v>4.4091814381659322E-3</c:v>
                </c:pt>
                <c:pt idx="359">
                  <c:v>5.7650529582651266E-3</c:v>
                </c:pt>
                <c:pt idx="360">
                  <c:v>-2.4232043363317524E-2</c:v>
                </c:pt>
                <c:pt idx="361">
                  <c:v>2.3472136590975579E-2</c:v>
                </c:pt>
                <c:pt idx="362">
                  <c:v>6.9635234236200771E-2</c:v>
                </c:pt>
                <c:pt idx="363">
                  <c:v>7.6372104594999435E-3</c:v>
                </c:pt>
                <c:pt idx="364">
                  <c:v>1.6496925408773233E-2</c:v>
                </c:pt>
                <c:pt idx="365">
                  <c:v>-2.0437291631957732E-2</c:v>
                </c:pt>
                <c:pt idx="366">
                  <c:v>1.7408125884220915E-2</c:v>
                </c:pt>
                <c:pt idx="367">
                  <c:v>4.8590981160392399E-3</c:v>
                </c:pt>
                <c:pt idx="368">
                  <c:v>0</c:v>
                </c:pt>
                <c:pt idx="369">
                  <c:v>-3.3897600419929841E-3</c:v>
                </c:pt>
                <c:pt idx="370">
                  <c:v>1.9407508823501285E-3</c:v>
                </c:pt>
                <c:pt idx="371">
                  <c:v>1.377276297050023E-2</c:v>
                </c:pt>
                <c:pt idx="372">
                  <c:v>1.043725824746855E-2</c:v>
                </c:pt>
                <c:pt idx="373">
                  <c:v>-1.9840711209927475E-3</c:v>
                </c:pt>
                <c:pt idx="374">
                  <c:v>-2.1359214671578197E-2</c:v>
                </c:pt>
                <c:pt idx="375">
                  <c:v>1.7283992291881267E-2</c:v>
                </c:pt>
                <c:pt idx="376">
                  <c:v>-1.8419801259234592E-2</c:v>
                </c:pt>
                <c:pt idx="377">
                  <c:v>-7.2184964094511583E-3</c:v>
                </c:pt>
                <c:pt idx="378">
                  <c:v>8.2484627043866166E-3</c:v>
                </c:pt>
                <c:pt idx="379">
                  <c:v>6.3476516420699625E-3</c:v>
                </c:pt>
                <c:pt idx="380">
                  <c:v>1.5369356985811766E-2</c:v>
                </c:pt>
                <c:pt idx="381">
                  <c:v>-5.9142775181351137E-3</c:v>
                </c:pt>
                <c:pt idx="382">
                  <c:v>2.4703615913002075E-3</c:v>
                </c:pt>
                <c:pt idx="383">
                  <c:v>3.4705292476411298E-3</c:v>
                </c:pt>
                <c:pt idx="384">
                  <c:v>-1.4852325264613775E-3</c:v>
                </c:pt>
                <c:pt idx="385">
                  <c:v>-1.9893165419868408E-2</c:v>
                </c:pt>
                <c:pt idx="386">
                  <c:v>-1.5289114171705198E-2</c:v>
                </c:pt>
                <c:pt idx="387">
                  <c:v>1.4050461092513178E-2</c:v>
                </c:pt>
                <c:pt idx="388">
                  <c:v>3.8910401880538625E-3</c:v>
                </c:pt>
                <c:pt idx="389">
                  <c:v>-2.7436092128575118E-2</c:v>
                </c:pt>
                <c:pt idx="390">
                  <c:v>-1.4911518053456807E-2</c:v>
                </c:pt>
                <c:pt idx="391">
                  <c:v>-6.021301839380544E-3</c:v>
                </c:pt>
                <c:pt idx="392">
                  <c:v>1.5999980852448914E-2</c:v>
                </c:pt>
                <c:pt idx="393">
                  <c:v>-3.7505759680244166E-3</c:v>
                </c:pt>
                <c:pt idx="394">
                  <c:v>-5.5945321429516914E-3</c:v>
                </c:pt>
                <c:pt idx="395">
                  <c:v>-1.6054898182509714E-2</c:v>
                </c:pt>
                <c:pt idx="396">
                  <c:v>-4.1115133806113313E-3</c:v>
                </c:pt>
                <c:pt idx="397">
                  <c:v>2.6254127154854867E-2</c:v>
                </c:pt>
                <c:pt idx="398">
                  <c:v>2.253113570975751E-2</c:v>
                </c:pt>
                <c:pt idx="399">
                  <c:v>-5.7197658954170061E-3</c:v>
                </c:pt>
                <c:pt idx="400">
                  <c:v>1.2059845332495822E-2</c:v>
                </c:pt>
                <c:pt idx="401">
                  <c:v>9.2502056217542705E-3</c:v>
                </c:pt>
                <c:pt idx="402">
                  <c:v>-2.2835428106084854E-2</c:v>
                </c:pt>
                <c:pt idx="403">
                  <c:v>-8.0225943354018669E-3</c:v>
                </c:pt>
                <c:pt idx="404">
                  <c:v>1.0009517589601336E-2</c:v>
                </c:pt>
                <c:pt idx="405">
                  <c:v>9.6246618792685812E-3</c:v>
                </c:pt>
                <c:pt idx="406">
                  <c:v>1.9286841992971482E-3</c:v>
                </c:pt>
                <c:pt idx="407">
                  <c:v>2.369204191442642E-2</c:v>
                </c:pt>
                <c:pt idx="408">
                  <c:v>1.2999991048519455E-2</c:v>
                </c:pt>
                <c:pt idx="409">
                  <c:v>2.019992056974762E-2</c:v>
                </c:pt>
                <c:pt idx="410">
                  <c:v>2.1467278761594377E-2</c:v>
                </c:pt>
                <c:pt idx="411">
                  <c:v>-9.7006914323732873E-3</c:v>
                </c:pt>
                <c:pt idx="412">
                  <c:v>-4.9291721376633069E-3</c:v>
                </c:pt>
                <c:pt idx="413">
                  <c:v>-2.1699842267505653E-2</c:v>
                </c:pt>
                <c:pt idx="414">
                  <c:v>1.6751709807154569E-2</c:v>
                </c:pt>
                <c:pt idx="415">
                  <c:v>1.6614806024862094E-2</c:v>
                </c:pt>
                <c:pt idx="416">
                  <c:v>1.0069176711037242E-2</c:v>
                </c:pt>
                <c:pt idx="417">
                  <c:v>9.9578114904637083E-3</c:v>
                </c:pt>
                <c:pt idx="418">
                  <c:v>-1.7076351816950663E-2</c:v>
                </c:pt>
                <c:pt idx="419">
                  <c:v>2.170214469755738E-2</c:v>
                </c:pt>
                <c:pt idx="420">
                  <c:v>-3.4709360810010303E-2</c:v>
                </c:pt>
                <c:pt idx="421">
                  <c:v>8.2223903058364911E-4</c:v>
                </c:pt>
                <c:pt idx="422">
                  <c:v>4.1279560345337529E-3</c:v>
                </c:pt>
                <c:pt idx="423">
                  <c:v>7.0671082979452127E-3</c:v>
                </c:pt>
                <c:pt idx="424">
                  <c:v>-2.9015361402316975E-3</c:v>
                </c:pt>
                <c:pt idx="425">
                  <c:v>7.0967167308095824E-3</c:v>
                </c:pt>
                <c:pt idx="426">
                  <c:v>3.7012927751296054E-2</c:v>
                </c:pt>
                <c:pt idx="427">
                  <c:v>1.382479684188298E-2</c:v>
                </c:pt>
                <c:pt idx="428">
                  <c:v>1.6733756552058443E-2</c:v>
                </c:pt>
                <c:pt idx="429">
                  <c:v>1.6096122204017016E-2</c:v>
                </c:pt>
                <c:pt idx="430">
                  <c:v>-8.7641528421805726E-3</c:v>
                </c:pt>
                <c:pt idx="431">
                  <c:v>4.7415619088477801E-3</c:v>
                </c:pt>
                <c:pt idx="432">
                  <c:v>-6.7707130169025742E-4</c:v>
                </c:pt>
                <c:pt idx="433">
                  <c:v>7.3152832512315413E-2</c:v>
                </c:pt>
                <c:pt idx="434">
                  <c:v>4.4532409698168074E-3</c:v>
                </c:pt>
                <c:pt idx="435">
                  <c:v>-2.6727666746929835E-2</c:v>
                </c:pt>
                <c:pt idx="436">
                  <c:v>2.8989098116947387E-2</c:v>
                </c:pt>
                <c:pt idx="437">
                  <c:v>-3.4218712610672553E-2</c:v>
                </c:pt>
                <c:pt idx="438">
                  <c:v>-3.219082908754034E-2</c:v>
                </c:pt>
                <c:pt idx="439">
                  <c:v>-2.541002541002535E-3</c:v>
                </c:pt>
                <c:pt idx="440">
                  <c:v>1.3105546454481587E-2</c:v>
                </c:pt>
                <c:pt idx="441">
                  <c:v>-1.2023121387283342E-2</c:v>
                </c:pt>
                <c:pt idx="442">
                  <c:v>-1.7715194185782268E-2</c:v>
                </c:pt>
                <c:pt idx="443">
                  <c:v>1.6624336181020327E-2</c:v>
                </c:pt>
                <c:pt idx="444">
                  <c:v>0</c:v>
                </c:pt>
                <c:pt idx="445">
                  <c:v>-3.691349788748044E-2</c:v>
                </c:pt>
                <c:pt idx="446">
                  <c:v>-1.9834350479511764E-2</c:v>
                </c:pt>
                <c:pt idx="447">
                  <c:v>1.5493581230633158E-2</c:v>
                </c:pt>
                <c:pt idx="448">
                  <c:v>-1.9880715705765661E-3</c:v>
                </c:pt>
                <c:pt idx="449">
                  <c:v>-6.3652326602282594E-3</c:v>
                </c:pt>
                <c:pt idx="450">
                  <c:v>1.154529307282437E-2</c:v>
                </c:pt>
                <c:pt idx="451">
                  <c:v>-2.8780163825549154E-3</c:v>
                </c:pt>
                <c:pt idx="452">
                  <c:v>4.6708185053381257E-3</c:v>
                </c:pt>
                <c:pt idx="453">
                  <c:v>2.2246941045622748E-4</c:v>
                </c:pt>
                <c:pt idx="454">
                  <c:v>-4.4296788482833804E-3</c:v>
                </c:pt>
                <c:pt idx="455">
                  <c:v>7.812499999999778E-3</c:v>
                </c:pt>
                <c:pt idx="456">
                  <c:v>-1.5600966820478956E-2</c:v>
                </c:pt>
                <c:pt idx="457">
                  <c:v>7.9734219269103068E-3</c:v>
                </c:pt>
                <c:pt idx="458">
                  <c:v>-1.4407334643091185E-2</c:v>
                </c:pt>
                <c:pt idx="459">
                  <c:v>7.9207920792079278E-3</c:v>
                </c:pt>
                <c:pt idx="460">
                  <c:v>1.0000000000000009E-2</c:v>
                </c:pt>
                <c:pt idx="463">
                  <c:v>6.4330079858030409E-3</c:v>
                </c:pt>
                <c:pt idx="464">
                  <c:v>7.3743016759777458E-3</c:v>
                </c:pt>
                <c:pt idx="465">
                  <c:v>2.4261844815747224E-2</c:v>
                </c:pt>
                <c:pt idx="466">
                  <c:v>3.2372400756143671E-2</c:v>
                </c:pt>
                <c:pt idx="467">
                  <c:v>-4.3831902394938949E-2</c:v>
                </c:pt>
                <c:pt idx="468">
                  <c:v>-2.4895351398986465E-2</c:v>
                </c:pt>
                <c:pt idx="469">
                  <c:v>-1.5398152221735018E-3</c:v>
                </c:pt>
                <c:pt idx="470">
                  <c:v>-2.2785898538263072E-2</c:v>
                </c:pt>
                <c:pt idx="471">
                  <c:v>2.5862068965518681E-3</c:v>
                </c:pt>
                <c:pt idx="472">
                  <c:v>1.0452961672473782E-2</c:v>
                </c:pt>
                <c:pt idx="473">
                  <c:v>-7.5642965204236745E-3</c:v>
                </c:pt>
                <c:pt idx="474">
                  <c:v>-1.0055626872058299E-2</c:v>
                </c:pt>
                <c:pt idx="475">
                  <c:v>7.1105365223012029E-3</c:v>
                </c:pt>
                <c:pt idx="476">
                  <c:v>9.5714596475962033E-3</c:v>
                </c:pt>
                <c:pt idx="477">
                  <c:v>0</c:v>
                </c:pt>
                <c:pt idx="478">
                  <c:v>3.4894191805493024E-2</c:v>
                </c:pt>
                <c:pt idx="479">
                  <c:v>-1.7256637168141409E-2</c:v>
                </c:pt>
                <c:pt idx="480">
                  <c:v>-1.2669287898645853E-2</c:v>
                </c:pt>
                <c:pt idx="481">
                  <c:v>-5.8631921824104927E-3</c:v>
                </c:pt>
                <c:pt idx="482">
                  <c:v>2.6984834968778015E-2</c:v>
                </c:pt>
                <c:pt idx="483">
                  <c:v>4.4622936189187001E-4</c:v>
                </c:pt>
                <c:pt idx="484">
                  <c:v>-1.4728511760826568E-2</c:v>
                </c:pt>
                <c:pt idx="485">
                  <c:v>-1.3873834814654207E-2</c:v>
                </c:pt>
                <c:pt idx="486">
                  <c:v>6.5075921908896994E-4</c:v>
                </c:pt>
                <c:pt idx="487">
                  <c:v>7.6502732240437687E-3</c:v>
                </c:pt>
                <c:pt idx="488">
                  <c:v>9.710880600309002E-3</c:v>
                </c:pt>
                <c:pt idx="489">
                  <c:v>-1.2208415086112923E-2</c:v>
                </c:pt>
                <c:pt idx="490">
                  <c:v>1.012992732878204E-2</c:v>
                </c:pt>
                <c:pt idx="491">
                  <c:v>-1.9857543708180381E-2</c:v>
                </c:pt>
                <c:pt idx="492">
                  <c:v>-2.4015167474194188E-2</c:v>
                </c:pt>
                <c:pt idx="493">
                  <c:v>8.9266737513282735E-3</c:v>
                </c:pt>
                <c:pt idx="494">
                  <c:v>1.6857575102658284E-2</c:v>
                </c:pt>
                <c:pt idx="495">
                  <c:v>6.0882800608828003E-3</c:v>
                </c:pt>
                <c:pt idx="496">
                  <c:v>6.3457330415754853E-3</c:v>
                </c:pt>
                <c:pt idx="497">
                  <c:v>-1.6358157554885788E-2</c:v>
                </c:pt>
                <c:pt idx="498">
                  <c:v>2.1528525296021783E-4</c:v>
                </c:pt>
                <c:pt idx="499">
                  <c:v>-1.5472657905892362E-2</c:v>
                </c:pt>
                <c:pt idx="500">
                  <c:v>7.0437566702241661E-3</c:v>
                </c:pt>
                <c:pt idx="501">
                  <c:v>2.7412280701754499E-2</c:v>
                </c:pt>
                <c:pt idx="502">
                  <c:v>-1.2131715771230511E-2</c:v>
                </c:pt>
                <c:pt idx="503">
                  <c:v>-6.2432723358449849E-3</c:v>
                </c:pt>
                <c:pt idx="504">
                  <c:v>-1.1281396338867822E-2</c:v>
                </c:pt>
                <c:pt idx="505">
                  <c:v>4.2753313381787006E-3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B-49EE-8679-81CC27A36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Sheet4!$T$4</c:f>
              <c:strCache>
                <c:ptCount val="1"/>
                <c:pt idx="0">
                  <c:v>NESTE.HE.csv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681342957130359E-2"/>
                  <c:y val="-0.358873578302712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Sheet4!$T$5:$T$511</c:f>
              <c:numCache>
                <c:formatCode>0.0\ %</c:formatCode>
                <c:ptCount val="507"/>
                <c:pt idx="0">
                  <c:v>1.0109225440974923E-2</c:v>
                </c:pt>
                <c:pt idx="1">
                  <c:v>-9.4863402630330773E-3</c:v>
                </c:pt>
                <c:pt idx="2">
                  <c:v>-1.2490061448486744E-2</c:v>
                </c:pt>
                <c:pt idx="3">
                  <c:v>4.0899251329163722E-2</c:v>
                </c:pt>
                <c:pt idx="4">
                  <c:v>4.6781854421805269E-2</c:v>
                </c:pt>
                <c:pt idx="5">
                  <c:v>-1.6982560463101315E-3</c:v>
                </c:pt>
                <c:pt idx="6">
                  <c:v>2.4057989870036378E-2</c:v>
                </c:pt>
                <c:pt idx="7">
                  <c:v>2.0408059731013894E-2</c:v>
                </c:pt>
                <c:pt idx="8">
                  <c:v>2.1450270502034519E-2</c:v>
                </c:pt>
                <c:pt idx="9">
                  <c:v>-3.6670592483602382E-2</c:v>
                </c:pt>
                <c:pt idx="10">
                  <c:v>-2.3308713519180735E-2</c:v>
                </c:pt>
                <c:pt idx="11">
                  <c:v>0.11434918664900584</c:v>
                </c:pt>
                <c:pt idx="12">
                  <c:v>-0.12475748605589576</c:v>
                </c:pt>
                <c:pt idx="13">
                  <c:v>1.0364189608418339E-2</c:v>
                </c:pt>
                <c:pt idx="14">
                  <c:v>4.2640122030678462E-2</c:v>
                </c:pt>
                <c:pt idx="15">
                  <c:v>7.4364605836334752E-2</c:v>
                </c:pt>
                <c:pt idx="16">
                  <c:v>-6.5669809770405263E-2</c:v>
                </c:pt>
                <c:pt idx="17">
                  <c:v>-1.7002911999443482E-2</c:v>
                </c:pt>
                <c:pt idx="18">
                  <c:v>-1.6161097470128505E-2</c:v>
                </c:pt>
                <c:pt idx="19">
                  <c:v>-1.3150565042019835E-2</c:v>
                </c:pt>
                <c:pt idx="20">
                  <c:v>-4.1822962752716242E-2</c:v>
                </c:pt>
                <c:pt idx="21">
                  <c:v>5.1889315886021192E-2</c:v>
                </c:pt>
                <c:pt idx="22">
                  <c:v>-1.3080824533928892E-2</c:v>
                </c:pt>
                <c:pt idx="23">
                  <c:v>-2.8919009113796079E-2</c:v>
                </c:pt>
                <c:pt idx="24">
                  <c:v>2.7099056818411515E-3</c:v>
                </c:pt>
                <c:pt idx="25">
                  <c:v>-6.7293275723393498E-3</c:v>
                </c:pt>
                <c:pt idx="26">
                  <c:v>1.5027257379006231E-2</c:v>
                </c:pt>
                <c:pt idx="27">
                  <c:v>1.9498627926991752E-2</c:v>
                </c:pt>
                <c:pt idx="28">
                  <c:v>1.8151127249718346E-2</c:v>
                </c:pt>
                <c:pt idx="29">
                  <c:v>-2.5967060963292599E-2</c:v>
                </c:pt>
                <c:pt idx="30">
                  <c:v>-3.9787723454729029E-2</c:v>
                </c:pt>
                <c:pt idx="31">
                  <c:v>-6.2189153767756467E-2</c:v>
                </c:pt>
                <c:pt idx="32">
                  <c:v>1.4947787384844702E-3</c:v>
                </c:pt>
                <c:pt idx="33">
                  <c:v>-4.2188937050520958E-2</c:v>
                </c:pt>
                <c:pt idx="34">
                  <c:v>-2.331074462033067E-2</c:v>
                </c:pt>
                <c:pt idx="35">
                  <c:v>2.5350232500671366E-2</c:v>
                </c:pt>
                <c:pt idx="36">
                  <c:v>-1.4982147073904994E-2</c:v>
                </c:pt>
                <c:pt idx="37">
                  <c:v>4.778896521212106E-3</c:v>
                </c:pt>
                <c:pt idx="38">
                  <c:v>3.2568511433064717E-2</c:v>
                </c:pt>
                <c:pt idx="39">
                  <c:v>-4.252315094564918E-2</c:v>
                </c:pt>
                <c:pt idx="40">
                  <c:v>1.7059125038957346E-2</c:v>
                </c:pt>
                <c:pt idx="41">
                  <c:v>-6.1767360745111355E-2</c:v>
                </c:pt>
                <c:pt idx="42">
                  <c:v>7.0375511896199061E-3</c:v>
                </c:pt>
                <c:pt idx="43">
                  <c:v>0</c:v>
                </c:pt>
                <c:pt idx="44">
                  <c:v>9.6263134611804801E-3</c:v>
                </c:pt>
                <c:pt idx="45">
                  <c:v>-1.4901733599769762E-2</c:v>
                </c:pt>
                <c:pt idx="46">
                  <c:v>-4.9426015132738588E-3</c:v>
                </c:pt>
                <c:pt idx="47">
                  <c:v>1.4357251052965703E-2</c:v>
                </c:pt>
                <c:pt idx="48">
                  <c:v>2.9322057055448436E-2</c:v>
                </c:pt>
                <c:pt idx="49">
                  <c:v>4.6943075244754162E-4</c:v>
                </c:pt>
                <c:pt idx="50">
                  <c:v>-2.9384969408192463E-2</c:v>
                </c:pt>
                <c:pt idx="51">
                  <c:v>-4.1484759988807296E-2</c:v>
                </c:pt>
                <c:pt idx="52">
                  <c:v>0.11165052652806895</c:v>
                </c:pt>
                <c:pt idx="53">
                  <c:v>1.803803301517104E-2</c:v>
                </c:pt>
                <c:pt idx="54">
                  <c:v>-5.1113794733307905E-2</c:v>
                </c:pt>
                <c:pt idx="55">
                  <c:v>-1.7959845904185312E-2</c:v>
                </c:pt>
                <c:pt idx="56">
                  <c:v>2.0681554601669871E-2</c:v>
                </c:pt>
                <c:pt idx="57">
                  <c:v>-1.4818209249989778E-2</c:v>
                </c:pt>
                <c:pt idx="58">
                  <c:v>0.10942715216434418</c:v>
                </c:pt>
                <c:pt idx="59">
                  <c:v>-1.7949336962553852E-3</c:v>
                </c:pt>
                <c:pt idx="60">
                  <c:v>-1.0152201384514559E-2</c:v>
                </c:pt>
                <c:pt idx="61">
                  <c:v>-6.0545336051653909E-3</c:v>
                </c:pt>
                <c:pt idx="62">
                  <c:v>-2.7954884762936394E-2</c:v>
                </c:pt>
                <c:pt idx="63">
                  <c:v>8.1581798833838537E-3</c:v>
                </c:pt>
                <c:pt idx="64">
                  <c:v>-2.2001974926143086E-2</c:v>
                </c:pt>
                <c:pt idx="65">
                  <c:v>2.0478763214543338E-2</c:v>
                </c:pt>
                <c:pt idx="66">
                  <c:v>-2.2156762601420743E-3</c:v>
                </c:pt>
                <c:pt idx="67">
                  <c:v>1.2324370970295817E-3</c:v>
                </c:pt>
                <c:pt idx="68">
                  <c:v>-2.0521452175854771E-2</c:v>
                </c:pt>
                <c:pt idx="69">
                  <c:v>7.2485195513483092E-4</c:v>
                </c:pt>
                <c:pt idx="70">
                  <c:v>-3.0452175704193896E-2</c:v>
                </c:pt>
                <c:pt idx="71">
                  <c:v>-1.9297021581247131E-2</c:v>
                </c:pt>
                <c:pt idx="72">
                  <c:v>2.3025546115522655E-3</c:v>
                </c:pt>
                <c:pt idx="73">
                  <c:v>1.6857903683112907E-2</c:v>
                </c:pt>
                <c:pt idx="74">
                  <c:v>-4.1968420827732666E-3</c:v>
                </c:pt>
                <c:pt idx="75">
                  <c:v>-1.0611138661629993E-2</c:v>
                </c:pt>
                <c:pt idx="76">
                  <c:v>-1.9008881618032936E-2</c:v>
                </c:pt>
                <c:pt idx="79">
                  <c:v>-3.2201869080183743E-2</c:v>
                </c:pt>
                <c:pt idx="80">
                  <c:v>1.8842796912655224E-2</c:v>
                </c:pt>
                <c:pt idx="81">
                  <c:v>4.9069697787083921E-2</c:v>
                </c:pt>
                <c:pt idx="82">
                  <c:v>3.6144583360811389E-2</c:v>
                </c:pt>
                <c:pt idx="83">
                  <c:v>-1.0255172057344719E-2</c:v>
                </c:pt>
                <c:pt idx="84">
                  <c:v>-2.3792516640562811E-3</c:v>
                </c:pt>
                <c:pt idx="85">
                  <c:v>2.8886194504462281E-2</c:v>
                </c:pt>
                <c:pt idx="86">
                  <c:v>-2.1088046345072997E-2</c:v>
                </c:pt>
                <c:pt idx="87">
                  <c:v>-3.0887153012691404E-2</c:v>
                </c:pt>
                <c:pt idx="88">
                  <c:v>-4.7345121920618349E-2</c:v>
                </c:pt>
                <c:pt idx="89">
                  <c:v>9.8302640824703413E-3</c:v>
                </c:pt>
                <c:pt idx="90">
                  <c:v>7.7775151534613451E-2</c:v>
                </c:pt>
                <c:pt idx="91">
                  <c:v>-7.1124985943542995E-2</c:v>
                </c:pt>
                <c:pt idx="92">
                  <c:v>-7.9876657669550877E-3</c:v>
                </c:pt>
                <c:pt idx="93">
                  <c:v>2.5017114410789576E-2</c:v>
                </c:pt>
                <c:pt idx="94">
                  <c:v>4.0956408091154417E-2</c:v>
                </c:pt>
                <c:pt idx="95">
                  <c:v>-1.1235916052517281E-2</c:v>
                </c:pt>
                <c:pt idx="96">
                  <c:v>-2.1081529750244909E-2</c:v>
                </c:pt>
                <c:pt idx="97">
                  <c:v>5.5298045557279352E-3</c:v>
                </c:pt>
                <c:pt idx="98">
                  <c:v>5.3278326854142577E-3</c:v>
                </c:pt>
                <c:pt idx="99">
                  <c:v>-2.3965603716917694E-2</c:v>
                </c:pt>
                <c:pt idx="100">
                  <c:v>6.7860765942295842E-4</c:v>
                </c:pt>
                <c:pt idx="101">
                  <c:v>6.3753783463429414E-3</c:v>
                </c:pt>
                <c:pt idx="102">
                  <c:v>5.4944275335386816E-3</c:v>
                </c:pt>
                <c:pt idx="103">
                  <c:v>9.9421814306408507E-3</c:v>
                </c:pt>
                <c:pt idx="104">
                  <c:v>2.1251537467551707E-2</c:v>
                </c:pt>
                <c:pt idx="105">
                  <c:v>-4.3154117172790496E-2</c:v>
                </c:pt>
                <c:pt idx="106">
                  <c:v>-1.6007204271922593E-2</c:v>
                </c:pt>
                <c:pt idx="107">
                  <c:v>-1.7260111240775866E-2</c:v>
                </c:pt>
                <c:pt idx="108">
                  <c:v>1.7508978720952584E-3</c:v>
                </c:pt>
                <c:pt idx="109">
                  <c:v>-2.1880035994525926E-4</c:v>
                </c:pt>
                <c:pt idx="110">
                  <c:v>-1.0928955885124436E-3</c:v>
                </c:pt>
                <c:pt idx="111">
                  <c:v>-8.0225543992028525E-3</c:v>
                </c:pt>
                <c:pt idx="112">
                  <c:v>1.6754799606341297E-2</c:v>
                </c:pt>
                <c:pt idx="113">
                  <c:v>1.363139721575779E-2</c:v>
                </c:pt>
                <c:pt idx="114">
                  <c:v>-8.0731321087279651E-2</c:v>
                </c:pt>
                <c:pt idx="115">
                  <c:v>-2.7955357346892917E-2</c:v>
                </c:pt>
                <c:pt idx="116">
                  <c:v>3.9956939339291786E-4</c:v>
                </c:pt>
                <c:pt idx="117">
                  <c:v>2.1632624172775117E-2</c:v>
                </c:pt>
                <c:pt idx="118">
                  <c:v>1.0214498834344443E-3</c:v>
                </c:pt>
                <c:pt idx="119">
                  <c:v>2.2522341888835395E-3</c:v>
                </c:pt>
                <c:pt idx="120">
                  <c:v>9.7169402128816085E-3</c:v>
                </c:pt>
                <c:pt idx="121">
                  <c:v>1.2417918486054003E-3</c:v>
                </c:pt>
                <c:pt idx="122">
                  <c:v>1.8664613412844311E-3</c:v>
                </c:pt>
                <c:pt idx="123">
                  <c:v>-3.7189555862274792E-3</c:v>
                </c:pt>
                <c:pt idx="124">
                  <c:v>-2.0441179435377488E-2</c:v>
                </c:pt>
                <c:pt idx="125">
                  <c:v>-2.4227399079724821E-3</c:v>
                </c:pt>
                <c:pt idx="126">
                  <c:v>2.0183936316975348E-4</c:v>
                </c:pt>
                <c:pt idx="127">
                  <c:v>-2.7875905424294078E-2</c:v>
                </c:pt>
                <c:pt idx="128">
                  <c:v>2.2891570471359035E-2</c:v>
                </c:pt>
                <c:pt idx="129">
                  <c:v>-1.0727106628298122E-2</c:v>
                </c:pt>
                <c:pt idx="130">
                  <c:v>1.1249516065237053E-2</c:v>
                </c:pt>
                <c:pt idx="131">
                  <c:v>-1.4041790632250972E-3</c:v>
                </c:pt>
                <c:pt idx="132">
                  <c:v>-2.560593272916234E-2</c:v>
                </c:pt>
                <c:pt idx="133">
                  <c:v>3.9107109202496382E-4</c:v>
                </c:pt>
                <c:pt idx="134">
                  <c:v>-1.3883552475926764E-2</c:v>
                </c:pt>
                <c:pt idx="135">
                  <c:v>1.3286424429132193E-2</c:v>
                </c:pt>
                <c:pt idx="136">
                  <c:v>-8.9077437589647479E-3</c:v>
                </c:pt>
                <c:pt idx="137">
                  <c:v>6.2353707012368087E-3</c:v>
                </c:pt>
                <c:pt idx="138">
                  <c:v>4.2030464977876214E-2</c:v>
                </c:pt>
                <c:pt idx="139">
                  <c:v>2.9903671646555496E-2</c:v>
                </c:pt>
                <c:pt idx="140">
                  <c:v>-2.3483751151478494E-2</c:v>
                </c:pt>
                <c:pt idx="141">
                  <c:v>1.3032668467329867E-2</c:v>
                </c:pt>
                <c:pt idx="142">
                  <c:v>1.6186758030332093E-2</c:v>
                </c:pt>
                <c:pt idx="143">
                  <c:v>1.2127749777008034E-2</c:v>
                </c:pt>
                <c:pt idx="144">
                  <c:v>-3.6040357915825272E-3</c:v>
                </c:pt>
                <c:pt idx="145">
                  <c:v>-1.2973511846203767E-2</c:v>
                </c:pt>
                <c:pt idx="146">
                  <c:v>-4.7896384603316466E-3</c:v>
                </c:pt>
                <c:pt idx="147">
                  <c:v>6.2389328840104064E-2</c:v>
                </c:pt>
                <c:pt idx="148">
                  <c:v>5.1145770836826809E-3</c:v>
                </c:pt>
                <c:pt idx="149">
                  <c:v>9.8810385212042551E-3</c:v>
                </c:pt>
                <c:pt idx="150">
                  <c:v>1.7131148973252852E-2</c:v>
                </c:pt>
                <c:pt idx="151">
                  <c:v>8.9880945365921061E-3</c:v>
                </c:pt>
                <c:pt idx="152">
                  <c:v>1.4733571058580308E-2</c:v>
                </c:pt>
                <c:pt idx="153">
                  <c:v>-1.7011644128133829E-2</c:v>
                </c:pt>
                <c:pt idx="154">
                  <c:v>7.1776833238301752E-3</c:v>
                </c:pt>
                <c:pt idx="155">
                  <c:v>2.2006530479762976E-2</c:v>
                </c:pt>
                <c:pt idx="156">
                  <c:v>2.3719394318175713E-3</c:v>
                </c:pt>
                <c:pt idx="157">
                  <c:v>-2.6103048609221413E-2</c:v>
                </c:pt>
                <c:pt idx="158">
                  <c:v>-2.4120869782296106E-2</c:v>
                </c:pt>
                <c:pt idx="159">
                  <c:v>2.2806820925855842E-3</c:v>
                </c:pt>
                <c:pt idx="160">
                  <c:v>-2.1205360651626037E-2</c:v>
                </c:pt>
                <c:pt idx="161">
                  <c:v>5.8373921649790272E-3</c:v>
                </c:pt>
                <c:pt idx="162">
                  <c:v>-3.6556382964663237E-2</c:v>
                </c:pt>
                <c:pt idx="163">
                  <c:v>-5.3786030992339917E-3</c:v>
                </c:pt>
                <c:pt idx="164">
                  <c:v>-2.1518675335363557E-4</c:v>
                </c:pt>
                <c:pt idx="165">
                  <c:v>3.564279189108932E-2</c:v>
                </c:pt>
                <c:pt idx="166">
                  <c:v>6.7279524575296623E-3</c:v>
                </c:pt>
                <c:pt idx="167">
                  <c:v>5.8650448588204451E-3</c:v>
                </c:pt>
                <c:pt idx="168">
                  <c:v>-2.69963426927744E-3</c:v>
                </c:pt>
                <c:pt idx="169">
                  <c:v>-2.2217289846331312E-2</c:v>
                </c:pt>
                <c:pt idx="170">
                  <c:v>2.318246393449086E-2</c:v>
                </c:pt>
                <c:pt idx="171">
                  <c:v>-2.9488843983451862E-2</c:v>
                </c:pt>
                <c:pt idx="172">
                  <c:v>-5.4311857083890747E-3</c:v>
                </c:pt>
                <c:pt idx="173">
                  <c:v>2.5395405704781826E-2</c:v>
                </c:pt>
                <c:pt idx="174">
                  <c:v>-1.3189774093845252E-2</c:v>
                </c:pt>
                <c:pt idx="175">
                  <c:v>-1.6219733599799224E-2</c:v>
                </c:pt>
                <c:pt idx="176">
                  <c:v>-1.6379396934017354E-2</c:v>
                </c:pt>
                <c:pt idx="177">
                  <c:v>-1.4878596262738575E-2</c:v>
                </c:pt>
                <c:pt idx="178">
                  <c:v>-1.9921873390424283E-2</c:v>
                </c:pt>
                <c:pt idx="179">
                  <c:v>7.1051511189354599E-2</c:v>
                </c:pt>
                <c:pt idx="180">
                  <c:v>4.3378405905525774E-2</c:v>
                </c:pt>
                <c:pt idx="181">
                  <c:v>-1.7365797185439735E-2</c:v>
                </c:pt>
                <c:pt idx="182">
                  <c:v>-6.7204165309944219E-3</c:v>
                </c:pt>
                <c:pt idx="183">
                  <c:v>2.2404136891629456E-4</c:v>
                </c:pt>
                <c:pt idx="184">
                  <c:v>1.018562965854497E-2</c:v>
                </c:pt>
                <c:pt idx="185">
                  <c:v>-2.8370385053316016E-2</c:v>
                </c:pt>
                <c:pt idx="186">
                  <c:v>-2.4248878529839146E-2</c:v>
                </c:pt>
                <c:pt idx="187">
                  <c:v>4.5268285838244715E-3</c:v>
                </c:pt>
                <c:pt idx="188">
                  <c:v>7.6020253991408993E-3</c:v>
                </c:pt>
                <c:pt idx="189">
                  <c:v>-1.3014498953218823E-3</c:v>
                </c:pt>
                <c:pt idx="190">
                  <c:v>-1.3692805639982875E-2</c:v>
                </c:pt>
                <c:pt idx="191">
                  <c:v>-1.9218410623312865E-3</c:v>
                </c:pt>
                <c:pt idx="192">
                  <c:v>2.1356185750609491E-4</c:v>
                </c:pt>
                <c:pt idx="193">
                  <c:v>1.8490325954354514E-2</c:v>
                </c:pt>
                <c:pt idx="194">
                  <c:v>2.0648338294930735E-2</c:v>
                </c:pt>
                <c:pt idx="195">
                  <c:v>-4.4209244743188547E-3</c:v>
                </c:pt>
                <c:pt idx="196">
                  <c:v>-2.4254846344190506E-3</c:v>
                </c:pt>
                <c:pt idx="197">
                  <c:v>-1.5628447587520244E-2</c:v>
                </c:pt>
                <c:pt idx="198">
                  <c:v>-2.1452866461538656E-2</c:v>
                </c:pt>
                <c:pt idx="199">
                  <c:v>-5.2820299656141101E-3</c:v>
                </c:pt>
                <c:pt idx="200">
                  <c:v>-9.2108252300224791E-3</c:v>
                </c:pt>
                <c:pt idx="201">
                  <c:v>1.8332983623877253E-2</c:v>
                </c:pt>
                <c:pt idx="202">
                  <c:v>4.7119854479489298E-3</c:v>
                </c:pt>
                <c:pt idx="203">
                  <c:v>-5.3708992808008449E-2</c:v>
                </c:pt>
                <c:pt idx="204">
                  <c:v>2.4501717870349937E-2</c:v>
                </c:pt>
                <c:pt idx="205">
                  <c:v>-1.3923068602029631E-2</c:v>
                </c:pt>
                <c:pt idx="206">
                  <c:v>3.2867849265363347E-3</c:v>
                </c:pt>
                <c:pt idx="209">
                  <c:v>2.3053677187608423E-2</c:v>
                </c:pt>
                <c:pt idx="210">
                  <c:v>5.2469937681343115E-3</c:v>
                </c:pt>
                <c:pt idx="211">
                  <c:v>-1.5281580281027995E-3</c:v>
                </c:pt>
                <c:pt idx="212">
                  <c:v>-8.4414756115557266E-3</c:v>
                </c:pt>
                <c:pt idx="213">
                  <c:v>1.7346238796145386E-3</c:v>
                </c:pt>
                <c:pt idx="214">
                  <c:v>1.1403553135712174E-2</c:v>
                </c:pt>
                <c:pt idx="215">
                  <c:v>2.2192219544493241E-2</c:v>
                </c:pt>
                <c:pt idx="216">
                  <c:v>-1.7184301121101919E-2</c:v>
                </c:pt>
                <c:pt idx="217">
                  <c:v>-2.3661127222449396E-2</c:v>
                </c:pt>
                <c:pt idx="218">
                  <c:v>4.3546647942100503E-2</c:v>
                </c:pt>
                <c:pt idx="219">
                  <c:v>1.4113309803500229E-2</c:v>
                </c:pt>
                <c:pt idx="220">
                  <c:v>9.1143676177063426E-4</c:v>
                </c:pt>
                <c:pt idx="221">
                  <c:v>4.5776973324302972E-3</c:v>
                </c:pt>
                <c:pt idx="222">
                  <c:v>8.3083380861388445E-3</c:v>
                </c:pt>
                <c:pt idx="223">
                  <c:v>-1.0730595144294974E-2</c:v>
                </c:pt>
                <c:pt idx="224">
                  <c:v>1.813108864022861E-2</c:v>
                </c:pt>
                <c:pt idx="225">
                  <c:v>-3.2823720767061304E-2</c:v>
                </c:pt>
                <c:pt idx="226">
                  <c:v>7.4743879792877888E-3</c:v>
                </c:pt>
                <c:pt idx="227">
                  <c:v>1.4010264113714976E-2</c:v>
                </c:pt>
                <c:pt idx="228">
                  <c:v>-1.3369677025298565E-2</c:v>
                </c:pt>
                <c:pt idx="229">
                  <c:v>-1.7586718829567194E-2</c:v>
                </c:pt>
                <c:pt idx="230">
                  <c:v>1.2395807634717482E-2</c:v>
                </c:pt>
                <c:pt idx="231">
                  <c:v>-1.3561735036681122E-2</c:v>
                </c:pt>
                <c:pt idx="232">
                  <c:v>-1.0123174521850076E-2</c:v>
                </c:pt>
                <c:pt idx="233">
                  <c:v>2.8690059028277926E-3</c:v>
                </c:pt>
                <c:pt idx="234">
                  <c:v>3.543870654533654E-3</c:v>
                </c:pt>
                <c:pt idx="235">
                  <c:v>1.1086002490132696E-3</c:v>
                </c:pt>
                <c:pt idx="236">
                  <c:v>-1.8711842602099793E-2</c:v>
                </c:pt>
                <c:pt idx="237">
                  <c:v>3.211309360394754E-2</c:v>
                </c:pt>
                <c:pt idx="238">
                  <c:v>-7.7986029312091532E-3</c:v>
                </c:pt>
                <c:pt idx="239">
                  <c:v>-1.5789353925388605E-2</c:v>
                </c:pt>
                <c:pt idx="240">
                  <c:v>4.8478513658425371E-3</c:v>
                </c:pt>
                <c:pt idx="241">
                  <c:v>-1.3203752869951346E-3</c:v>
                </c:pt>
                <c:pt idx="242">
                  <c:v>-2.1959561689872675E-3</c:v>
                </c:pt>
                <c:pt idx="243">
                  <c:v>-1.5346814003189824E-3</c:v>
                </c:pt>
                <c:pt idx="244">
                  <c:v>2.7483610403093994E-2</c:v>
                </c:pt>
                <c:pt idx="245">
                  <c:v>1.2776633541256466E-2</c:v>
                </c:pt>
                <c:pt idx="246">
                  <c:v>1.5758970848394283E-2</c:v>
                </c:pt>
                <c:pt idx="247">
                  <c:v>3.4884120704048449E-3</c:v>
                </c:pt>
                <c:pt idx="248">
                  <c:v>6.7899887984947949E-3</c:v>
                </c:pt>
                <c:pt idx="249">
                  <c:v>0</c:v>
                </c:pt>
                <c:pt idx="250">
                  <c:v>-5.3562767908524878E-3</c:v>
                </c:pt>
                <c:pt idx="251">
                  <c:v>-9.600003805635593E-2</c:v>
                </c:pt>
                <c:pt idx="252">
                  <c:v>1.4957233868496678E-2</c:v>
                </c:pt>
                <c:pt idx="253">
                  <c:v>-2.5575179142546256E-3</c:v>
                </c:pt>
                <c:pt idx="254">
                  <c:v>-4.4557301576036989E-3</c:v>
                </c:pt>
                <c:pt idx="255">
                  <c:v>1.7926573550995917E-2</c:v>
                </c:pt>
                <c:pt idx="256">
                  <c:v>2.004851873556257E-2</c:v>
                </c:pt>
                <c:pt idx="257">
                  <c:v>5.5382691269763029E-3</c:v>
                </c:pt>
                <c:pt idx="258">
                  <c:v>2.8883089358648917E-3</c:v>
                </c:pt>
                <c:pt idx="259">
                  <c:v>-6.6212197931083683E-3</c:v>
                </c:pt>
                <c:pt idx="260">
                  <c:v>1.9118406556885237E-2</c:v>
                </c:pt>
                <c:pt idx="261">
                  <c:v>4.7458450699227051E-3</c:v>
                </c:pt>
                <c:pt idx="262">
                  <c:v>-1.2937851583908033E-2</c:v>
                </c:pt>
                <c:pt idx="263">
                  <c:v>6.2850829736578184E-3</c:v>
                </c:pt>
                <c:pt idx="264">
                  <c:v>-1.219514195252891E-2</c:v>
                </c:pt>
                <c:pt idx="265">
                  <c:v>-1.2913105920303924E-2</c:v>
                </c:pt>
                <c:pt idx="266">
                  <c:v>4.8383450398874484E-3</c:v>
                </c:pt>
                <c:pt idx="267">
                  <c:v>5.5285608662671848E-3</c:v>
                </c:pt>
                <c:pt idx="268">
                  <c:v>2.4384562598340764E-3</c:v>
                </c:pt>
                <c:pt idx="269">
                  <c:v>-2.6530785934011369E-3</c:v>
                </c:pt>
                <c:pt idx="270">
                  <c:v>7.3496282635223675E-3</c:v>
                </c:pt>
                <c:pt idx="271">
                  <c:v>1.6527090018845669E-2</c:v>
                </c:pt>
                <c:pt idx="272">
                  <c:v>8.2172386232373107E-3</c:v>
                </c:pt>
                <c:pt idx="273">
                  <c:v>-6.8428204873671739E-4</c:v>
                </c:pt>
                <c:pt idx="274">
                  <c:v>2.6217246142558048E-2</c:v>
                </c:pt>
                <c:pt idx="275">
                  <c:v>-2.1305867547060986E-2</c:v>
                </c:pt>
                <c:pt idx="276">
                  <c:v>3.9038415836120333E-2</c:v>
                </c:pt>
                <c:pt idx="277">
                  <c:v>-1.6636150122087967E-3</c:v>
                </c:pt>
                <c:pt idx="278">
                  <c:v>-5.9060121411640409E-3</c:v>
                </c:pt>
                <c:pt idx="279">
                  <c:v>6.8982744757142278E-3</c:v>
                </c:pt>
                <c:pt idx="280">
                  <c:v>-3.5115903341822574E-2</c:v>
                </c:pt>
                <c:pt idx="281">
                  <c:v>-5.9320439328565122E-3</c:v>
                </c:pt>
                <c:pt idx="282">
                  <c:v>4.1237260341489002E-3</c:v>
                </c:pt>
                <c:pt idx="283">
                  <c:v>-1.1442087195117079E-3</c:v>
                </c:pt>
                <c:pt idx="284">
                  <c:v>-3.3613355182838478E-2</c:v>
                </c:pt>
                <c:pt idx="285">
                  <c:v>-4.8415395791702176E-3</c:v>
                </c:pt>
                <c:pt idx="286">
                  <c:v>1.2320812651727353E-2</c:v>
                </c:pt>
                <c:pt idx="287">
                  <c:v>-1.1076675880152265E-2</c:v>
                </c:pt>
                <c:pt idx="288">
                  <c:v>-6.3834492976098112E-3</c:v>
                </c:pt>
                <c:pt idx="289">
                  <c:v>5.7560541357097872E-3</c:v>
                </c:pt>
                <c:pt idx="290">
                  <c:v>-8.1247731630583742E-3</c:v>
                </c:pt>
                <c:pt idx="291">
                  <c:v>4.8544452439465147E-3</c:v>
                </c:pt>
                <c:pt idx="292">
                  <c:v>8.2313270760761004E-3</c:v>
                </c:pt>
                <c:pt idx="293">
                  <c:v>-1.4470560267175636E-2</c:v>
                </c:pt>
                <c:pt idx="294">
                  <c:v>-2.1876792225367092E-3</c:v>
                </c:pt>
                <c:pt idx="295">
                  <c:v>3.9534792308160149E-3</c:v>
                </c:pt>
                <c:pt idx="296">
                  <c:v>-8.7780431456208063E-4</c:v>
                </c:pt>
                <c:pt idx="297">
                  <c:v>1.5374272431199598E-2</c:v>
                </c:pt>
                <c:pt idx="298">
                  <c:v>1.6764938441783839E-2</c:v>
                </c:pt>
                <c:pt idx="299">
                  <c:v>1.2849801263103533E-2</c:v>
                </c:pt>
                <c:pt idx="300">
                  <c:v>-2.9740090453900248E-3</c:v>
                </c:pt>
                <c:pt idx="301">
                  <c:v>-1.3708547810460381E-3</c:v>
                </c:pt>
                <c:pt idx="302">
                  <c:v>-7.482916734350975E-3</c:v>
                </c:pt>
                <c:pt idx="303">
                  <c:v>4.5556857272595064E-3</c:v>
                </c:pt>
                <c:pt idx="304">
                  <c:v>1.0356760005155952E-2</c:v>
                </c:pt>
                <c:pt idx="305">
                  <c:v>1.6136393396559701E-3</c:v>
                </c:pt>
                <c:pt idx="306">
                  <c:v>-1.2744615941510773E-2</c:v>
                </c:pt>
                <c:pt idx="307">
                  <c:v>1.267573299859559E-2</c:v>
                </c:pt>
                <c:pt idx="308">
                  <c:v>9.7742155962747823E-3</c:v>
                </c:pt>
                <c:pt idx="309">
                  <c:v>1.7282170571707223E-2</c:v>
                </c:pt>
                <c:pt idx="310">
                  <c:v>-4.9469261737861148E-3</c:v>
                </c:pt>
                <c:pt idx="311">
                  <c:v>9.5125168801246662E-3</c:v>
                </c:pt>
                <c:pt idx="312">
                  <c:v>5.9727736416121058E-2</c:v>
                </c:pt>
                <c:pt idx="313">
                  <c:v>-8.9910030826116927E-3</c:v>
                </c:pt>
                <c:pt idx="314">
                  <c:v>1.8570388281756944E-2</c:v>
                </c:pt>
                <c:pt idx="315">
                  <c:v>1.2361480916469159E-2</c:v>
                </c:pt>
                <c:pt idx="316">
                  <c:v>1.0145758241573821E-2</c:v>
                </c:pt>
                <c:pt idx="317">
                  <c:v>2.0854547027848724E-3</c:v>
                </c:pt>
                <c:pt idx="318">
                  <c:v>-2.6395882948773375E-2</c:v>
                </c:pt>
                <c:pt idx="319">
                  <c:v>3.8208099653399996E-2</c:v>
                </c:pt>
                <c:pt idx="320">
                  <c:v>1.6064364622423E-2</c:v>
                </c:pt>
                <c:pt idx="321">
                  <c:v>-1.0698190974850474E-3</c:v>
                </c:pt>
                <c:pt idx="322">
                  <c:v>1.9912654162390853E-2</c:v>
                </c:pt>
                <c:pt idx="323">
                  <c:v>2.5454539714580005E-2</c:v>
                </c:pt>
                <c:pt idx="324">
                  <c:v>-1.2157994874917644E-2</c:v>
                </c:pt>
                <c:pt idx="325">
                  <c:v>-1.1040999724475364E-3</c:v>
                </c:pt>
                <c:pt idx="326">
                  <c:v>-2.7525412799366267E-3</c:v>
                </c:pt>
                <c:pt idx="327">
                  <c:v>2.714166682383734E-2</c:v>
                </c:pt>
                <c:pt idx="328">
                  <c:v>-3.1489622086291025E-2</c:v>
                </c:pt>
                <c:pt idx="329">
                  <c:v>-2.2745478663800611E-2</c:v>
                </c:pt>
                <c:pt idx="330">
                  <c:v>-4.2632861889708717E-3</c:v>
                </c:pt>
                <c:pt idx="333">
                  <c:v>1.0132473808843301E-2</c:v>
                </c:pt>
                <c:pt idx="334">
                  <c:v>-1.0794090963583081E-2</c:v>
                </c:pt>
                <c:pt idx="335">
                  <c:v>-4.0952427722041884E-3</c:v>
                </c:pt>
                <c:pt idx="336">
                  <c:v>-4.6142610240913151E-2</c:v>
                </c:pt>
                <c:pt idx="337">
                  <c:v>-4.8806175328697243E-4</c:v>
                </c:pt>
                <c:pt idx="338">
                  <c:v>1.1102917097759679E-2</c:v>
                </c:pt>
                <c:pt idx="339">
                  <c:v>1.9109909802622393E-2</c:v>
                </c:pt>
                <c:pt idx="340">
                  <c:v>-4.256372271263964E-3</c:v>
                </c:pt>
                <c:pt idx="341">
                  <c:v>9.4546365261146015E-2</c:v>
                </c:pt>
                <c:pt idx="342">
                  <c:v>2.5288072114076687E-2</c:v>
                </c:pt>
                <c:pt idx="343">
                  <c:v>2.564838771954725E-2</c:v>
                </c:pt>
                <c:pt idx="344">
                  <c:v>-1.726072672703749E-3</c:v>
                </c:pt>
                <c:pt idx="345">
                  <c:v>4.0439451430860363E-3</c:v>
                </c:pt>
                <c:pt idx="346">
                  <c:v>-1.8985679994318772E-2</c:v>
                </c:pt>
                <c:pt idx="347">
                  <c:v>1.2625620575873464E-2</c:v>
                </c:pt>
                <c:pt idx="348">
                  <c:v>-1.1627898668882475E-2</c:v>
                </c:pt>
                <c:pt idx="349">
                  <c:v>-1.7279842480206531E-2</c:v>
                </c:pt>
                <c:pt idx="350">
                  <c:v>2.7885146234929437E-4</c:v>
                </c:pt>
                <c:pt idx="351">
                  <c:v>-3.6111665266759241E-3</c:v>
                </c:pt>
                <c:pt idx="352">
                  <c:v>1.3513495878201054E-2</c:v>
                </c:pt>
                <c:pt idx="353">
                  <c:v>-3.6466195071995777E-3</c:v>
                </c:pt>
                <c:pt idx="354">
                  <c:v>1.0774044181357967E-2</c:v>
                </c:pt>
                <c:pt idx="355">
                  <c:v>-1.5629427833990794E-2</c:v>
                </c:pt>
                <c:pt idx="356">
                  <c:v>-1.9497675082874588E-3</c:v>
                </c:pt>
                <c:pt idx="357">
                  <c:v>-2.2234033146962817E-3</c:v>
                </c:pt>
                <c:pt idx="358">
                  <c:v>1.6671306989624934E-2</c:v>
                </c:pt>
                <c:pt idx="359">
                  <c:v>-5.0604128141447102E-3</c:v>
                </c:pt>
                <c:pt idx="360">
                  <c:v>-1.1944429647781085E-2</c:v>
                </c:pt>
                <c:pt idx="361">
                  <c:v>-1.9073672205448866E-2</c:v>
                </c:pt>
                <c:pt idx="362">
                  <c:v>-6.2279388906094635E-3</c:v>
                </c:pt>
                <c:pt idx="363">
                  <c:v>-8.8565923366065169E-3</c:v>
                </c:pt>
                <c:pt idx="364">
                  <c:v>-1.662716107669171E-2</c:v>
                </c:pt>
                <c:pt idx="365">
                  <c:v>1.8508906741925291E-3</c:v>
                </c:pt>
                <c:pt idx="366">
                  <c:v>3.1830129965926268E-3</c:v>
                </c:pt>
                <c:pt idx="367">
                  <c:v>0.15750695672997495</c:v>
                </c:pt>
                <c:pt idx="368">
                  <c:v>-3.2095223621135927E-2</c:v>
                </c:pt>
                <c:pt idx="369">
                  <c:v>5.6785508869872103E-3</c:v>
                </c:pt>
                <c:pt idx="370">
                  <c:v>6.6183924038081265E-3</c:v>
                </c:pt>
                <c:pt idx="371">
                  <c:v>1.9944888647462022E-2</c:v>
                </c:pt>
                <c:pt idx="372">
                  <c:v>3.0688674011125627E-4</c:v>
                </c:pt>
                <c:pt idx="373">
                  <c:v>-3.0679258953358879E-4</c:v>
                </c:pt>
                <c:pt idx="374">
                  <c:v>-1.182531652933716E-2</c:v>
                </c:pt>
                <c:pt idx="375">
                  <c:v>-3.926396664732823E-3</c:v>
                </c:pt>
                <c:pt idx="376">
                  <c:v>-3.6111822651627712E-3</c:v>
                </c:pt>
                <c:pt idx="377">
                  <c:v>5.4463512736346864E-3</c:v>
                </c:pt>
                <c:pt idx="378">
                  <c:v>3.3394422295400794E-3</c:v>
                </c:pt>
                <c:pt idx="379">
                  <c:v>1.8552780656479362E-2</c:v>
                </c:pt>
                <c:pt idx="380">
                  <c:v>-2.3845463743665918E-2</c:v>
                </c:pt>
                <c:pt idx="381">
                  <c:v>1.3459830709354748E-2</c:v>
                </c:pt>
                <c:pt idx="382">
                  <c:v>7.3959998369050872E-3</c:v>
                </c:pt>
                <c:pt idx="383">
                  <c:v>8.0770728336185815E-3</c:v>
                </c:pt>
                <c:pt idx="384">
                  <c:v>-3.7141633666747387E-3</c:v>
                </c:pt>
                <c:pt idx="385">
                  <c:v>-2.8854814306462417E-2</c:v>
                </c:pt>
                <c:pt idx="386">
                  <c:v>3.0148887931655821E-3</c:v>
                </c:pt>
                <c:pt idx="387">
                  <c:v>-2.4061077167800704E-3</c:v>
                </c:pt>
                <c:pt idx="388">
                  <c:v>6.6607162807548193E-3</c:v>
                </c:pt>
                <c:pt idx="389">
                  <c:v>-1.9299402248379005E-2</c:v>
                </c:pt>
                <c:pt idx="390">
                  <c:v>-1.173712675257732E-2</c:v>
                </c:pt>
                <c:pt idx="391">
                  <c:v>1.4694077172303643E-3</c:v>
                </c:pt>
                <c:pt idx="392">
                  <c:v>7.4009061995627956E-3</c:v>
                </c:pt>
                <c:pt idx="393">
                  <c:v>-8.5120082910956629E-3</c:v>
                </c:pt>
                <c:pt idx="394">
                  <c:v>7.3921525721363235E-3</c:v>
                </c:pt>
                <c:pt idx="395">
                  <c:v>4.4549668197706449E-3</c:v>
                </c:pt>
                <c:pt idx="396">
                  <c:v>-1.0288106861620183E-2</c:v>
                </c:pt>
                <c:pt idx="397">
                  <c:v>6.5089781640976785E-3</c:v>
                </c:pt>
                <c:pt idx="398">
                  <c:v>5.9523407858830257E-3</c:v>
                </c:pt>
                <c:pt idx="399">
                  <c:v>-6.3545159237203719E-2</c:v>
                </c:pt>
                <c:pt idx="400">
                  <c:v>2.5142789228191242E-2</c:v>
                </c:pt>
                <c:pt idx="401">
                  <c:v>1.1268505188344324E-2</c:v>
                </c:pt>
                <c:pt idx="402">
                  <c:v>-3.9678183389512012E-2</c:v>
                </c:pt>
                <c:pt idx="403">
                  <c:v>-6.6152200473719169E-3</c:v>
                </c:pt>
                <c:pt idx="404">
                  <c:v>8.3380354997859563E-3</c:v>
                </c:pt>
                <c:pt idx="405">
                  <c:v>7.5608603458559021E-3</c:v>
                </c:pt>
                <c:pt idx="406">
                  <c:v>1.1614722071583206E-2</c:v>
                </c:pt>
                <c:pt idx="407">
                  <c:v>-7.3115846651291561E-3</c:v>
                </c:pt>
                <c:pt idx="408">
                  <c:v>3.9525794029451333E-3</c:v>
                </c:pt>
                <c:pt idx="409">
                  <c:v>3.2954191602442062E-2</c:v>
                </c:pt>
                <c:pt idx="410">
                  <c:v>4.5745602511995775E-2</c:v>
                </c:pt>
                <c:pt idx="411">
                  <c:v>1.8332204433499921E-3</c:v>
                </c:pt>
                <c:pt idx="412">
                  <c:v>1.8507712431072854E-3</c:v>
                </c:pt>
                <c:pt idx="413">
                  <c:v>9.0257389036496605E-3</c:v>
                </c:pt>
                <c:pt idx="414">
                  <c:v>3.578339780786588E-2</c:v>
                </c:pt>
                <c:pt idx="415">
                  <c:v>-9.6615139987610288E-4</c:v>
                </c:pt>
                <c:pt idx="416">
                  <c:v>2.5429259397977022E-2</c:v>
                </c:pt>
                <c:pt idx="417">
                  <c:v>1.1356045044888186E-2</c:v>
                </c:pt>
                <c:pt idx="418">
                  <c:v>-1.6671890630209907E-3</c:v>
                </c:pt>
                <c:pt idx="419">
                  <c:v>-1.0230990436666421E-2</c:v>
                </c:pt>
                <c:pt idx="420">
                  <c:v>-3.2258065546409087E-2</c:v>
                </c:pt>
                <c:pt idx="421">
                  <c:v>9.3487749838814249E-3</c:v>
                </c:pt>
                <c:pt idx="422">
                  <c:v>-1.3985982644182493E-2</c:v>
                </c:pt>
                <c:pt idx="423">
                  <c:v>2.0765704088254289E-2</c:v>
                </c:pt>
                <c:pt idx="424">
                  <c:v>9.7430980921364707E-4</c:v>
                </c:pt>
                <c:pt idx="425">
                  <c:v>3.2488627924354141E-4</c:v>
                </c:pt>
                <c:pt idx="426">
                  <c:v>9.1803606557376849E-3</c:v>
                </c:pt>
                <c:pt idx="427">
                  <c:v>1.7684384974453904E-2</c:v>
                </c:pt>
                <c:pt idx="428">
                  <c:v>2.5667352007780808E-2</c:v>
                </c:pt>
                <c:pt idx="429">
                  <c:v>-3.4214847759150846E-4</c:v>
                </c:pt>
                <c:pt idx="430">
                  <c:v>-1.7478991596638682E-2</c:v>
                </c:pt>
                <c:pt idx="431">
                  <c:v>1.8138296308634283E-2</c:v>
                </c:pt>
                <c:pt idx="432">
                  <c:v>-8.4012570532915332E-2</c:v>
                </c:pt>
                <c:pt idx="433">
                  <c:v>-1.9065190651906705E-2</c:v>
                </c:pt>
                <c:pt idx="434">
                  <c:v>1.1194029850746468E-2</c:v>
                </c:pt>
                <c:pt idx="435">
                  <c:v>1.4191138889660504E-2</c:v>
                </c:pt>
                <c:pt idx="436">
                  <c:v>9.5510665393185867E-3</c:v>
                </c:pt>
                <c:pt idx="437">
                  <c:v>-2.6046511627906943E-2</c:v>
                </c:pt>
                <c:pt idx="438">
                  <c:v>1.8639640218689468E-3</c:v>
                </c:pt>
                <c:pt idx="439">
                  <c:v>-9.5384923076923256E-3</c:v>
                </c:pt>
                <c:pt idx="440">
                  <c:v>3.2073674182280243E-2</c:v>
                </c:pt>
                <c:pt idx="441">
                  <c:v>-1.4088947586444966E-2</c:v>
                </c:pt>
                <c:pt idx="442">
                  <c:v>-2.3540141349438937E-2</c:v>
                </c:pt>
                <c:pt idx="443">
                  <c:v>-5.1703769717037495E-3</c:v>
                </c:pt>
                <c:pt idx="444">
                  <c:v>-1.4683788273412879E-2</c:v>
                </c:pt>
                <c:pt idx="445">
                  <c:v>-1.8529441176470596E-2</c:v>
                </c:pt>
                <c:pt idx="446">
                  <c:v>-1.1340477212575806E-2</c:v>
                </c:pt>
                <c:pt idx="447">
                  <c:v>1.65532653530438E-2</c:v>
                </c:pt>
                <c:pt idx="448">
                  <c:v>-1.8851450116009194E-2</c:v>
                </c:pt>
                <c:pt idx="449">
                  <c:v>-6.9124709990650013E-3</c:v>
                </c:pt>
                <c:pt idx="450">
                  <c:v>6.376840579710219E-3</c:v>
                </c:pt>
                <c:pt idx="451">
                  <c:v>-1.4471491012199023E-3</c:v>
                </c:pt>
                <c:pt idx="452">
                  <c:v>-2.0219526869426074E-3</c:v>
                </c:pt>
                <c:pt idx="453">
                  <c:v>6.1028480092997217E-3</c:v>
                </c:pt>
                <c:pt idx="454">
                  <c:v>1.4744913005013238E-2</c:v>
                </c:pt>
                <c:pt idx="455">
                  <c:v>-6.4459710973933104E-3</c:v>
                </c:pt>
                <c:pt idx="456">
                  <c:v>-2.0467835658835032E-3</c:v>
                </c:pt>
                <c:pt idx="457">
                  <c:v>-1.9495412285108538E-2</c:v>
                </c:pt>
                <c:pt idx="458">
                  <c:v>-7.3989188218247515E-3</c:v>
                </c:pt>
                <c:pt idx="459">
                  <c:v>1.3556418434174766E-2</c:v>
                </c:pt>
                <c:pt idx="460">
                  <c:v>-3.4493531632837637E-3</c:v>
                </c:pt>
                <c:pt idx="463">
                  <c:v>-8.2339861375927414E-3</c:v>
                </c:pt>
                <c:pt idx="464">
                  <c:v>0</c:v>
                </c:pt>
                <c:pt idx="465">
                  <c:v>1.527823624324709E-2</c:v>
                </c:pt>
                <c:pt idx="466">
                  <c:v>1.1543145076875483E-3</c:v>
                </c:pt>
                <c:pt idx="467">
                  <c:v>-1.1529836019885664E-3</c:v>
                </c:pt>
                <c:pt idx="468">
                  <c:v>5.0893701962659854E-2</c:v>
                </c:pt>
                <c:pt idx="469">
                  <c:v>-1.814393710311335E-3</c:v>
                </c:pt>
                <c:pt idx="470">
                  <c:v>-1.4013148061623348E-2</c:v>
                </c:pt>
                <c:pt idx="471">
                  <c:v>1.6363666666666665E-2</c:v>
                </c:pt>
                <c:pt idx="472">
                  <c:v>2.3255813953488413E-2</c:v>
                </c:pt>
                <c:pt idx="473">
                  <c:v>-3.7071054589775665E-3</c:v>
                </c:pt>
                <c:pt idx="474">
                  <c:v>-1.5511009260614106E-2</c:v>
                </c:pt>
                <c:pt idx="475">
                  <c:v>1.4188865773526516E-2</c:v>
                </c:pt>
                <c:pt idx="476">
                  <c:v>2.7836682472213159E-3</c:v>
                </c:pt>
                <c:pt idx="477">
                  <c:v>-4.6181650246304162E-3</c:v>
                </c:pt>
                <c:pt idx="478">
                  <c:v>2.1383679917725607E-2</c:v>
                </c:pt>
                <c:pt idx="479">
                  <c:v>-1.456464208242958E-2</c:v>
                </c:pt>
                <c:pt idx="480">
                  <c:v>-4.0124071597278377E-3</c:v>
                </c:pt>
                <c:pt idx="481">
                  <c:v>4.0285714285712704E-3</c:v>
                </c:pt>
                <c:pt idx="482">
                  <c:v>3.7324414474375622E-3</c:v>
                </c:pt>
                <c:pt idx="483">
                  <c:v>5.6303724000741351E-3</c:v>
                </c:pt>
                <c:pt idx="484">
                  <c:v>-3.7395138672484673E-3</c:v>
                </c:pt>
                <c:pt idx="485">
                  <c:v>-1.2007389162561388E-2</c:v>
                </c:pt>
                <c:pt idx="486">
                  <c:v>4.9504950495049549E-3</c:v>
                </c:pt>
                <c:pt idx="487">
                  <c:v>-1.1620825332696483E-2</c:v>
                </c:pt>
                <c:pt idx="488">
                  <c:v>1.4267958171962913E-2</c:v>
                </c:pt>
                <c:pt idx="489">
                  <c:v>1.5433133858267611E-2</c:v>
                </c:pt>
                <c:pt idx="490">
                  <c:v>1.8934531450577552E-2</c:v>
                </c:pt>
                <c:pt idx="491">
                  <c:v>0</c:v>
                </c:pt>
                <c:pt idx="492">
                  <c:v>-1.7344655230042694E-2</c:v>
                </c:pt>
                <c:pt idx="493">
                  <c:v>-1.3378967435562217E-2</c:v>
                </c:pt>
                <c:pt idx="494">
                  <c:v>7.2077405202131128E-3</c:v>
                </c:pt>
                <c:pt idx="495">
                  <c:v>-1.7549261083743772E-2</c:v>
                </c:pt>
                <c:pt idx="496">
                  <c:v>-1.1263257915571367E-2</c:v>
                </c:pt>
                <c:pt idx="497">
                  <c:v>6.4337930892706119E-3</c:v>
                </c:pt>
                <c:pt idx="498">
                  <c:v>1.8408736923829716E-2</c:v>
                </c:pt>
                <c:pt idx="499">
                  <c:v>-3.4204291044774848E-3</c:v>
                </c:pt>
                <c:pt idx="500">
                  <c:v>1.5151515151515138E-2</c:v>
                </c:pt>
                <c:pt idx="501">
                  <c:v>5.395112662646806E-3</c:v>
                </c:pt>
                <c:pt idx="502">
                  <c:v>-4.4233807266981229E-3</c:v>
                </c:pt>
                <c:pt idx="503">
                  <c:v>5.0809780882818956E-3</c:v>
                </c:pt>
                <c:pt idx="504">
                  <c:v>0.13518385003604894</c:v>
                </c:pt>
                <c:pt idx="505">
                  <c:v>2.8169014084507005E-2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65-404A-8159-5EA72F239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Sheet4!$U$4</c:f>
              <c:strCache>
                <c:ptCount val="1"/>
                <c:pt idx="0">
                  <c:v>NOKIA.HE.csv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7924540682414701E-2"/>
                  <c:y val="-0.174301910177894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i-FI"/>
                </a:p>
              </c:txPr>
            </c:trendlineLbl>
          </c:trendline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Sheet4!$U$5:$U$511</c:f>
              <c:numCache>
                <c:formatCode>0.0\ %</c:formatCode>
                <c:ptCount val="507"/>
                <c:pt idx="0">
                  <c:v>2.6561407170549334E-2</c:v>
                </c:pt>
                <c:pt idx="1">
                  <c:v>-1.1555886447846442E-2</c:v>
                </c:pt>
                <c:pt idx="2">
                  <c:v>-3.4546941381110585E-2</c:v>
                </c:pt>
                <c:pt idx="3">
                  <c:v>3.3386446567409411E-3</c:v>
                </c:pt>
                <c:pt idx="4">
                  <c:v>1.3333271839126137E-2</c:v>
                </c:pt>
                <c:pt idx="5">
                  <c:v>2.3213386705231986E-2</c:v>
                </c:pt>
                <c:pt idx="6">
                  <c:v>-1.5249521364216756E-3</c:v>
                </c:pt>
                <c:pt idx="7">
                  <c:v>1.3496722903554748E-2</c:v>
                </c:pt>
                <c:pt idx="8">
                  <c:v>2.2653300698325829E-2</c:v>
                </c:pt>
                <c:pt idx="9">
                  <c:v>-2.596490530087614E-2</c:v>
                </c:pt>
                <c:pt idx="10">
                  <c:v>7.1320202251383691E-3</c:v>
                </c:pt>
                <c:pt idx="11">
                  <c:v>2.0461645913837589E-2</c:v>
                </c:pt>
                <c:pt idx="12">
                  <c:v>-1.9139302464320496E-2</c:v>
                </c:pt>
                <c:pt idx="13">
                  <c:v>5.7665326018246477E-2</c:v>
                </c:pt>
                <c:pt idx="14">
                  <c:v>3.2771928387655525E-2</c:v>
                </c:pt>
                <c:pt idx="15">
                  <c:v>2.2060382006826806E-2</c:v>
                </c:pt>
                <c:pt idx="16">
                  <c:v>3.0119136561972404E-3</c:v>
                </c:pt>
                <c:pt idx="17">
                  <c:v>-3.3695147653450608E-2</c:v>
                </c:pt>
                <c:pt idx="18">
                  <c:v>1.1664643700693755E-2</c:v>
                </c:pt>
                <c:pt idx="19">
                  <c:v>-1.9433555867407915E-2</c:v>
                </c:pt>
                <c:pt idx="20">
                  <c:v>-3.4108882754599779E-2</c:v>
                </c:pt>
                <c:pt idx="21">
                  <c:v>4.2888103423410762E-4</c:v>
                </c:pt>
                <c:pt idx="22">
                  <c:v>-2.3472575956141273E-2</c:v>
                </c:pt>
                <c:pt idx="23">
                  <c:v>-1.1600361016502414E-2</c:v>
                </c:pt>
                <c:pt idx="24">
                  <c:v>-4.7417182816010817E-3</c:v>
                </c:pt>
                <c:pt idx="25">
                  <c:v>-2.5702324408608535E-3</c:v>
                </c:pt>
                <c:pt idx="26">
                  <c:v>-7.5512131947151895E-3</c:v>
                </c:pt>
                <c:pt idx="27">
                  <c:v>4.9221642140102606E-3</c:v>
                </c:pt>
                <c:pt idx="28">
                  <c:v>-9.2209525425268613E-4</c:v>
                </c:pt>
                <c:pt idx="29">
                  <c:v>-5.1215659997061458E-4</c:v>
                </c:pt>
                <c:pt idx="30">
                  <c:v>-6.7125584951525097E-3</c:v>
                </c:pt>
                <c:pt idx="31">
                  <c:v>-1.9349591958316426E-2</c:v>
                </c:pt>
                <c:pt idx="32">
                  <c:v>-4.3694133533238588E-3</c:v>
                </c:pt>
                <c:pt idx="33">
                  <c:v>9.9285783863882759E-3</c:v>
                </c:pt>
                <c:pt idx="34">
                  <c:v>-1.1793700755176051E-2</c:v>
                </c:pt>
                <c:pt idx="35">
                  <c:v>-1.2140215518477326E-2</c:v>
                </c:pt>
                <c:pt idx="36">
                  <c:v>-9.7822153678250867E-4</c:v>
                </c:pt>
                <c:pt idx="37">
                  <c:v>2.3936091086238287E-2</c:v>
                </c:pt>
                <c:pt idx="38">
                  <c:v>1.9064624171314382E-3</c:v>
                </c:pt>
                <c:pt idx="39">
                  <c:v>-8.3583205959961715E-3</c:v>
                </c:pt>
                <c:pt idx="40">
                  <c:v>1.7721434185698604E-2</c:v>
                </c:pt>
                <c:pt idx="41">
                  <c:v>1.4381292762433162E-2</c:v>
                </c:pt>
                <c:pt idx="42">
                  <c:v>-1.3337635842987083E-3</c:v>
                </c:pt>
                <c:pt idx="43">
                  <c:v>4.9485509692277496E-3</c:v>
                </c:pt>
                <c:pt idx="44">
                  <c:v>-2.262908242343209E-3</c:v>
                </c:pt>
                <c:pt idx="45">
                  <c:v>-1.6290709986904073E-2</c:v>
                </c:pt>
                <c:pt idx="46">
                  <c:v>-8.4277132653886033E-3</c:v>
                </c:pt>
                <c:pt idx="47">
                  <c:v>2.3831609237442875E-2</c:v>
                </c:pt>
                <c:pt idx="48">
                  <c:v>1.0903464618162273E-2</c:v>
                </c:pt>
                <c:pt idx="49">
                  <c:v>-8.2391622317775637E-3</c:v>
                </c:pt>
                <c:pt idx="50">
                  <c:v>9.2506741519393643E-3</c:v>
                </c:pt>
                <c:pt idx="51">
                  <c:v>3.2517738746994818E-2</c:v>
                </c:pt>
                <c:pt idx="52">
                  <c:v>-4.3424649297470141E-2</c:v>
                </c:pt>
                <c:pt idx="53">
                  <c:v>1.9623442287683979E-3</c:v>
                </c:pt>
                <c:pt idx="54">
                  <c:v>-2.5759719381038826E-2</c:v>
                </c:pt>
                <c:pt idx="55">
                  <c:v>1.088404361557016E-2</c:v>
                </c:pt>
                <c:pt idx="56">
                  <c:v>1.1523715499071496E-2</c:v>
                </c:pt>
                <c:pt idx="57">
                  <c:v>1.9297276600239277E-2</c:v>
                </c:pt>
                <c:pt idx="58">
                  <c:v>4.561905193604221E-2</c:v>
                </c:pt>
                <c:pt idx="59">
                  <c:v>6.1791461572957562E-3</c:v>
                </c:pt>
                <c:pt idx="60">
                  <c:v>-1.7880379854047557E-2</c:v>
                </c:pt>
                <c:pt idx="61">
                  <c:v>1.8880307878498259E-2</c:v>
                </c:pt>
                <c:pt idx="62">
                  <c:v>-3.6181584705224923E-2</c:v>
                </c:pt>
                <c:pt idx="63">
                  <c:v>-1.5937319008101358E-3</c:v>
                </c:pt>
                <c:pt idx="64">
                  <c:v>-1.0929021992986399E-2</c:v>
                </c:pt>
                <c:pt idx="65">
                  <c:v>8.1577107015879946E-3</c:v>
                </c:pt>
                <c:pt idx="66">
                  <c:v>2.955913956346512E-2</c:v>
                </c:pt>
                <c:pt idx="67">
                  <c:v>-5.2082218689767368E-3</c:v>
                </c:pt>
                <c:pt idx="68">
                  <c:v>-6.7896611546176544E-3</c:v>
                </c:pt>
                <c:pt idx="69">
                  <c:v>1.6876615488407687E-2</c:v>
                </c:pt>
                <c:pt idx="70">
                  <c:v>-1.6066321427335106E-2</c:v>
                </c:pt>
                <c:pt idx="71">
                  <c:v>-3.7167667745186983E-2</c:v>
                </c:pt>
                <c:pt idx="72">
                  <c:v>7.4257490927669423E-3</c:v>
                </c:pt>
                <c:pt idx="73">
                  <c:v>2.1256338991574975E-2</c:v>
                </c:pt>
                <c:pt idx="74">
                  <c:v>4.0753785252529706E-3</c:v>
                </c:pt>
                <c:pt idx="75">
                  <c:v>-5.5458817542459737E-3</c:v>
                </c:pt>
                <c:pt idx="76">
                  <c:v>-1.0673485763545987E-4</c:v>
                </c:pt>
                <c:pt idx="79">
                  <c:v>1.1690742728962533E-3</c:v>
                </c:pt>
                <c:pt idx="80">
                  <c:v>1.4773774039456899E-2</c:v>
                </c:pt>
                <c:pt idx="81">
                  <c:v>3.0562525927568585E-2</c:v>
                </c:pt>
                <c:pt idx="82">
                  <c:v>9.8764873898167238E-3</c:v>
                </c:pt>
                <c:pt idx="83">
                  <c:v>-1.4380263693872686E-2</c:v>
                </c:pt>
                <c:pt idx="84">
                  <c:v>-8.5546693421822972E-3</c:v>
                </c:pt>
                <c:pt idx="85">
                  <c:v>2.6570573272000964E-2</c:v>
                </c:pt>
                <c:pt idx="86">
                  <c:v>7.4865862156945351E-3</c:v>
                </c:pt>
                <c:pt idx="87">
                  <c:v>-1.7606701596534768E-2</c:v>
                </c:pt>
                <c:pt idx="88">
                  <c:v>-1.0802429517419943E-2</c:v>
                </c:pt>
                <c:pt idx="89">
                  <c:v>1.3744549870153389E-2</c:v>
                </c:pt>
                <c:pt idx="90">
                  <c:v>5.5055976601741108E-3</c:v>
                </c:pt>
                <c:pt idx="91">
                  <c:v>-3.1345242754985181E-2</c:v>
                </c:pt>
                <c:pt idx="92">
                  <c:v>-3.470716921172845E-3</c:v>
                </c:pt>
                <c:pt idx="93">
                  <c:v>1.6201856834223927E-2</c:v>
                </c:pt>
                <c:pt idx="94">
                  <c:v>2.1849509201323114E-2</c:v>
                </c:pt>
                <c:pt idx="95">
                  <c:v>-3.3674268224096471E-3</c:v>
                </c:pt>
                <c:pt idx="96">
                  <c:v>1.4611617544979527E-3</c:v>
                </c:pt>
                <c:pt idx="97">
                  <c:v>2.1120483381473765E-2</c:v>
                </c:pt>
                <c:pt idx="98">
                  <c:v>-1.6371216735379446E-2</c:v>
                </c:pt>
                <c:pt idx="99">
                  <c:v>-2.7665042495423675E-2</c:v>
                </c:pt>
                <c:pt idx="100">
                  <c:v>-1.0429118103214896E-2</c:v>
                </c:pt>
                <c:pt idx="101">
                  <c:v>3.2606608789564895E-4</c:v>
                </c:pt>
                <c:pt idx="102">
                  <c:v>-4.7587882132734682E-3</c:v>
                </c:pt>
                <c:pt idx="103">
                  <c:v>1.5932299829532148E-2</c:v>
                </c:pt>
                <c:pt idx="104">
                  <c:v>2.7200891200461097E-2</c:v>
                </c:pt>
                <c:pt idx="105">
                  <c:v>-2.4766198760096447E-2</c:v>
                </c:pt>
                <c:pt idx="106">
                  <c:v>0</c:v>
                </c:pt>
                <c:pt idx="107">
                  <c:v>6.5369003608546361E-3</c:v>
                </c:pt>
                <c:pt idx="108">
                  <c:v>-1.5918089655380774E-2</c:v>
                </c:pt>
                <c:pt idx="109">
                  <c:v>-8.4996066876907639E-2</c:v>
                </c:pt>
                <c:pt idx="110">
                  <c:v>-1.994421897035803E-4</c:v>
                </c:pt>
                <c:pt idx="111">
                  <c:v>-6.7636471271492749E-3</c:v>
                </c:pt>
                <c:pt idx="112">
                  <c:v>-3.9748344979062544E-4</c:v>
                </c:pt>
                <c:pt idx="113">
                  <c:v>-1.2566402983323011E-2</c:v>
                </c:pt>
                <c:pt idx="114">
                  <c:v>-5.0790890218436191E-3</c:v>
                </c:pt>
                <c:pt idx="115">
                  <c:v>3.9225217423202174E-3</c:v>
                </c:pt>
                <c:pt idx="116">
                  <c:v>-7.5904620047785309E-3</c:v>
                </c:pt>
                <c:pt idx="117">
                  <c:v>4.1037403338701761E-3</c:v>
                </c:pt>
                <c:pt idx="118">
                  <c:v>-1.9504476246727798E-3</c:v>
                </c:pt>
                <c:pt idx="119">
                  <c:v>-4.6592639385387713E-3</c:v>
                </c:pt>
                <c:pt idx="120">
                  <c:v>1.1984216480807275E-2</c:v>
                </c:pt>
                <c:pt idx="121">
                  <c:v>-6.4415026868660519E-3</c:v>
                </c:pt>
                <c:pt idx="122">
                  <c:v>2.0721355243963124E-2</c:v>
                </c:pt>
                <c:pt idx="123">
                  <c:v>-5.5480262343359232E-3</c:v>
                </c:pt>
                <c:pt idx="124">
                  <c:v>-4.5362587427576484E-3</c:v>
                </c:pt>
                <c:pt idx="125">
                  <c:v>1.9762739739379587E-3</c:v>
                </c:pt>
                <c:pt idx="126">
                  <c:v>1.7494374564395176E-2</c:v>
                </c:pt>
                <c:pt idx="127">
                  <c:v>-1.8938545171270915E-2</c:v>
                </c:pt>
                <c:pt idx="128">
                  <c:v>1.9406738131442447E-2</c:v>
                </c:pt>
                <c:pt idx="129">
                  <c:v>-1.3197300071541851E-2</c:v>
                </c:pt>
                <c:pt idx="130">
                  <c:v>1.0123332092590198E-2</c:v>
                </c:pt>
                <c:pt idx="131">
                  <c:v>7.1674394789758011E-3</c:v>
                </c:pt>
                <c:pt idx="132">
                  <c:v>-4.7220640431905325E-3</c:v>
                </c:pt>
                <c:pt idx="133">
                  <c:v>2.2152735821838743E-3</c:v>
                </c:pt>
                <c:pt idx="134">
                  <c:v>-9.2777873912489595E-3</c:v>
                </c:pt>
                <c:pt idx="135">
                  <c:v>1.3446600782738738E-2</c:v>
                </c:pt>
                <c:pt idx="136">
                  <c:v>2.9347323970863481E-2</c:v>
                </c:pt>
                <c:pt idx="137">
                  <c:v>8.3324191180711438E-4</c:v>
                </c:pt>
                <c:pt idx="138">
                  <c:v>-4.2198598564372802E-2</c:v>
                </c:pt>
                <c:pt idx="139">
                  <c:v>6.6278007500215619E-3</c:v>
                </c:pt>
                <c:pt idx="140">
                  <c:v>-1.6007819188897376E-2</c:v>
                </c:pt>
                <c:pt idx="141">
                  <c:v>7.7673349880948983E-3</c:v>
                </c:pt>
                <c:pt idx="142">
                  <c:v>3.7984599765192861E-3</c:v>
                </c:pt>
                <c:pt idx="143">
                  <c:v>0</c:v>
                </c:pt>
                <c:pt idx="144">
                  <c:v>-1.5970059631705835E-3</c:v>
                </c:pt>
                <c:pt idx="145">
                  <c:v>-1.1834050011376607E-2</c:v>
                </c:pt>
                <c:pt idx="146">
                  <c:v>-6.6616099112406513E-3</c:v>
                </c:pt>
                <c:pt idx="147">
                  <c:v>8.2972776589682606E-3</c:v>
                </c:pt>
                <c:pt idx="148">
                  <c:v>1.8510965209208141E-2</c:v>
                </c:pt>
                <c:pt idx="149">
                  <c:v>1.2426302773685061E-2</c:v>
                </c:pt>
                <c:pt idx="150">
                  <c:v>6.9848258535955443E-2</c:v>
                </c:pt>
                <c:pt idx="151">
                  <c:v>-1.0884175297143361E-4</c:v>
                </c:pt>
                <c:pt idx="152">
                  <c:v>-2.3912913109375156E-3</c:v>
                </c:pt>
                <c:pt idx="153">
                  <c:v>-3.1421389914176867E-3</c:v>
                </c:pt>
                <c:pt idx="154">
                  <c:v>2.6813263262355669E-2</c:v>
                </c:pt>
                <c:pt idx="155">
                  <c:v>2.7787516086132058E-2</c:v>
                </c:pt>
                <c:pt idx="156">
                  <c:v>-1.4847065914816993E-3</c:v>
                </c:pt>
                <c:pt idx="157">
                  <c:v>-6.9167269956860178E-3</c:v>
                </c:pt>
                <c:pt idx="158">
                  <c:v>-1.5406859812578166E-2</c:v>
                </c:pt>
                <c:pt idx="159">
                  <c:v>2.6237372110859081E-2</c:v>
                </c:pt>
                <c:pt idx="160">
                  <c:v>-1.2781173404853186E-2</c:v>
                </c:pt>
                <c:pt idx="161">
                  <c:v>-1.8321137496362661E-2</c:v>
                </c:pt>
                <c:pt idx="162">
                  <c:v>-3.1404876202429377E-2</c:v>
                </c:pt>
                <c:pt idx="163">
                  <c:v>7.3674669919865376E-3</c:v>
                </c:pt>
                <c:pt idx="164">
                  <c:v>3.1519280659921822E-3</c:v>
                </c:pt>
                <c:pt idx="165">
                  <c:v>1.6460244087023845E-2</c:v>
                </c:pt>
                <c:pt idx="166">
                  <c:v>6.3369353767346315E-3</c:v>
                </c:pt>
                <c:pt idx="167">
                  <c:v>-1.5539930825386739E-3</c:v>
                </c:pt>
                <c:pt idx="168">
                  <c:v>-6.8349315758079454E-3</c:v>
                </c:pt>
                <c:pt idx="169">
                  <c:v>-1.7652394684704809E-2</c:v>
                </c:pt>
                <c:pt idx="170">
                  <c:v>-4.3276558018301436E-4</c:v>
                </c:pt>
                <c:pt idx="171">
                  <c:v>-2.0983572863897626E-2</c:v>
                </c:pt>
                <c:pt idx="172">
                  <c:v>-1.1730141091324309E-2</c:v>
                </c:pt>
                <c:pt idx="173">
                  <c:v>5.6877715223566661E-3</c:v>
                </c:pt>
                <c:pt idx="174">
                  <c:v>8.2430891414852825E-2</c:v>
                </c:pt>
                <c:pt idx="175">
                  <c:v>1.8344263022999741E-2</c:v>
                </c:pt>
                <c:pt idx="176">
                  <c:v>-1.6067960863725417E-2</c:v>
                </c:pt>
                <c:pt idx="177">
                  <c:v>-2.7132725501194277E-2</c:v>
                </c:pt>
                <c:pt idx="178">
                  <c:v>-2.3392097433472259E-3</c:v>
                </c:pt>
                <c:pt idx="179">
                  <c:v>7.7456747283641825E-3</c:v>
                </c:pt>
                <c:pt idx="180">
                  <c:v>8.9913786071571522E-4</c:v>
                </c:pt>
                <c:pt idx="181">
                  <c:v>-1.2647037036267794E-2</c:v>
                </c:pt>
                <c:pt idx="182">
                  <c:v>3.5625586503269524E-3</c:v>
                </c:pt>
                <c:pt idx="183">
                  <c:v>3.0151099283992622E-3</c:v>
                </c:pt>
                <c:pt idx="184">
                  <c:v>2.6831774515014173E-2</c:v>
                </c:pt>
                <c:pt idx="185">
                  <c:v>-8.1883463978302817E-3</c:v>
                </c:pt>
                <c:pt idx="186">
                  <c:v>-7.6740782126840656E-3</c:v>
                </c:pt>
                <c:pt idx="187">
                  <c:v>-1.7409526972945177E-2</c:v>
                </c:pt>
                <c:pt idx="188">
                  <c:v>1.280304228487239E-2</c:v>
                </c:pt>
                <c:pt idx="189">
                  <c:v>-2.4326049247924142E-2</c:v>
                </c:pt>
                <c:pt idx="190">
                  <c:v>-8.3666990189876778E-3</c:v>
                </c:pt>
                <c:pt idx="191">
                  <c:v>-1.0855689324982265E-3</c:v>
                </c:pt>
                <c:pt idx="192">
                  <c:v>-1.4019402095597489E-2</c:v>
                </c:pt>
                <c:pt idx="193">
                  <c:v>1.8752392667867879E-2</c:v>
                </c:pt>
                <c:pt idx="194">
                  <c:v>2.5141840633742252E-3</c:v>
                </c:pt>
                <c:pt idx="195">
                  <c:v>-2.5976925049595145E-2</c:v>
                </c:pt>
                <c:pt idx="196">
                  <c:v>1.6338450423197814E-2</c:v>
                </c:pt>
                <c:pt idx="197">
                  <c:v>-7.3039751812308262E-3</c:v>
                </c:pt>
                <c:pt idx="198">
                  <c:v>-5.660365202195039E-3</c:v>
                </c:pt>
                <c:pt idx="199">
                  <c:v>1.1759770596615482E-3</c:v>
                </c:pt>
                <c:pt idx="200">
                  <c:v>-2.0275384741741398E-3</c:v>
                </c:pt>
                <c:pt idx="201">
                  <c:v>2.2700005017052494E-2</c:v>
                </c:pt>
                <c:pt idx="202">
                  <c:v>2.2969899988212195E-3</c:v>
                </c:pt>
                <c:pt idx="203">
                  <c:v>-1.7622909961772404E-2</c:v>
                </c:pt>
                <c:pt idx="204">
                  <c:v>-2.8601368293697638E-2</c:v>
                </c:pt>
                <c:pt idx="205">
                  <c:v>-9.9213301934777398E-3</c:v>
                </c:pt>
                <c:pt idx="206">
                  <c:v>2.5000110177297197E-2</c:v>
                </c:pt>
                <c:pt idx="209">
                  <c:v>-1.086950925130592E-2</c:v>
                </c:pt>
                <c:pt idx="210">
                  <c:v>-9.0648454896720132E-3</c:v>
                </c:pt>
                <c:pt idx="211">
                  <c:v>8.3879206962664821E-3</c:v>
                </c:pt>
                <c:pt idx="212">
                  <c:v>-1.670716468487754E-2</c:v>
                </c:pt>
                <c:pt idx="213">
                  <c:v>4.4607713930884252E-3</c:v>
                </c:pt>
                <c:pt idx="214">
                  <c:v>3.7465800775304814E-2</c:v>
                </c:pt>
                <c:pt idx="215">
                  <c:v>4.0711009584659896E-2</c:v>
                </c:pt>
                <c:pt idx="216">
                  <c:v>-1.8315580887506844E-3</c:v>
                </c:pt>
                <c:pt idx="217">
                  <c:v>7.0317366914942614E-3</c:v>
                </c:pt>
                <c:pt idx="218">
                  <c:v>-1.015531320404317E-2</c:v>
                </c:pt>
                <c:pt idx="219">
                  <c:v>7.3565487342661662E-3</c:v>
                </c:pt>
                <c:pt idx="220">
                  <c:v>-3.0938824076794935E-3</c:v>
                </c:pt>
                <c:pt idx="221">
                  <c:v>-3.6534972309034686E-3</c:v>
                </c:pt>
                <c:pt idx="222">
                  <c:v>1.0032296010300756E-2</c:v>
                </c:pt>
                <c:pt idx="223">
                  <c:v>-1.2525415603143131E-2</c:v>
                </c:pt>
                <c:pt idx="224">
                  <c:v>1.4790580352346261E-2</c:v>
                </c:pt>
                <c:pt idx="225">
                  <c:v>-2.5230976427189744E-2</c:v>
                </c:pt>
                <c:pt idx="226">
                  <c:v>2.8240469986833272E-3</c:v>
                </c:pt>
                <c:pt idx="227">
                  <c:v>-1.523898904370824E-2</c:v>
                </c:pt>
                <c:pt idx="228">
                  <c:v>1.6710707066867059E-3</c:v>
                </c:pt>
                <c:pt idx="229">
                  <c:v>-2.625562635073031E-2</c:v>
                </c:pt>
                <c:pt idx="230">
                  <c:v>1.1190117898574492E-2</c:v>
                </c:pt>
                <c:pt idx="231">
                  <c:v>-9.2392428718233166E-3</c:v>
                </c:pt>
                <c:pt idx="232">
                  <c:v>-7.7651049036238096E-3</c:v>
                </c:pt>
                <c:pt idx="233">
                  <c:v>-2.9035712360332422E-3</c:v>
                </c:pt>
                <c:pt idx="234">
                  <c:v>-3.6429876555207352E-3</c:v>
                </c:pt>
                <c:pt idx="235">
                  <c:v>3.7000039522795847E-2</c:v>
                </c:pt>
                <c:pt idx="236">
                  <c:v>5.1371772450437003E-3</c:v>
                </c:pt>
                <c:pt idx="237">
                  <c:v>2.1330107725372249E-2</c:v>
                </c:pt>
                <c:pt idx="238">
                  <c:v>3.825214419726608E-2</c:v>
                </c:pt>
                <c:pt idx="239">
                  <c:v>-1.5736278401679016E-2</c:v>
                </c:pt>
                <c:pt idx="240">
                  <c:v>1.2629920184914933E-2</c:v>
                </c:pt>
                <c:pt idx="241">
                  <c:v>5.5784968378065347E-3</c:v>
                </c:pt>
                <c:pt idx="242">
                  <c:v>-3.8351543229002916E-2</c:v>
                </c:pt>
                <c:pt idx="243">
                  <c:v>-2.732013357456875E-3</c:v>
                </c:pt>
                <c:pt idx="244">
                  <c:v>-7.2653471290620164E-3</c:v>
                </c:pt>
                <c:pt idx="245">
                  <c:v>1.2179703143677223E-2</c:v>
                </c:pt>
                <c:pt idx="246">
                  <c:v>-2.9782724880924594E-3</c:v>
                </c:pt>
                <c:pt idx="247">
                  <c:v>-2.4802070166542345E-2</c:v>
                </c:pt>
                <c:pt idx="248">
                  <c:v>7.4283303852133997E-3</c:v>
                </c:pt>
                <c:pt idx="249">
                  <c:v>1.5196708306529194E-2</c:v>
                </c:pt>
                <c:pt idx="250">
                  <c:v>5.6300583205803889E-3</c:v>
                </c:pt>
                <c:pt idx="251">
                  <c:v>-2.0637904032323462E-3</c:v>
                </c:pt>
                <c:pt idx="252">
                  <c:v>-6.8761528470528965E-4</c:v>
                </c:pt>
                <c:pt idx="253">
                  <c:v>3.9112503471767646E-3</c:v>
                </c:pt>
                <c:pt idx="254">
                  <c:v>-6.8982852833709973E-4</c:v>
                </c:pt>
                <c:pt idx="255">
                  <c:v>-3.2083967839156013E-3</c:v>
                </c:pt>
                <c:pt idx="256">
                  <c:v>-9.5336620500464653E-3</c:v>
                </c:pt>
                <c:pt idx="257">
                  <c:v>-9.7771847227939856E-3</c:v>
                </c:pt>
                <c:pt idx="258">
                  <c:v>-1.9069266497528936E-3</c:v>
                </c:pt>
                <c:pt idx="259">
                  <c:v>5.6399929832937623E-3</c:v>
                </c:pt>
                <c:pt idx="260">
                  <c:v>4.6463483573868647E-3</c:v>
                </c:pt>
                <c:pt idx="261">
                  <c:v>6.8051923288714455E-4</c:v>
                </c:pt>
                <c:pt idx="262">
                  <c:v>2.2689121224028774E-4</c:v>
                </c:pt>
                <c:pt idx="263">
                  <c:v>1.2983895220910258E-2</c:v>
                </c:pt>
                <c:pt idx="264">
                  <c:v>-2.2134597205797135E-2</c:v>
                </c:pt>
                <c:pt idx="265">
                  <c:v>1.6097559822412233E-2</c:v>
                </c:pt>
                <c:pt idx="266">
                  <c:v>5.3948806390382575E-3</c:v>
                </c:pt>
                <c:pt idx="267">
                  <c:v>-4.4567676969881065E-3</c:v>
                </c:pt>
                <c:pt idx="268">
                  <c:v>-4.4337389283725326E-2</c:v>
                </c:pt>
                <c:pt idx="269">
                  <c:v>6.2634522803712844E-3</c:v>
                </c:pt>
                <c:pt idx="270">
                  <c:v>5.6362941554712886E-3</c:v>
                </c:pt>
                <c:pt idx="271">
                  <c:v>4.4206468704399704E-4</c:v>
                </c:pt>
                <c:pt idx="272">
                  <c:v>-1.2123268076291049E-2</c:v>
                </c:pt>
                <c:pt idx="273">
                  <c:v>1.8238387452147675E-2</c:v>
                </c:pt>
                <c:pt idx="274">
                  <c:v>2.5547626256209544E-2</c:v>
                </c:pt>
                <c:pt idx="275">
                  <c:v>-2.8430880556626903E-3</c:v>
                </c:pt>
                <c:pt idx="276">
                  <c:v>3.5811062811323957E-2</c:v>
                </c:pt>
                <c:pt idx="277">
                  <c:v>-1.0836667036631331E-2</c:v>
                </c:pt>
                <c:pt idx="278">
                  <c:v>9.1719440002024921E-3</c:v>
                </c:pt>
                <c:pt idx="279">
                  <c:v>-8.857809982925402E-3</c:v>
                </c:pt>
                <c:pt idx="280">
                  <c:v>-1.4133080940742837E-2</c:v>
                </c:pt>
                <c:pt idx="281">
                  <c:v>1.7265163742583578E-3</c:v>
                </c:pt>
                <c:pt idx="282">
                  <c:v>3.3490947639573942E-3</c:v>
                </c:pt>
                <c:pt idx="283">
                  <c:v>4.407962290209344E-3</c:v>
                </c:pt>
                <c:pt idx="284">
                  <c:v>-1.4630344521703198E-2</c:v>
                </c:pt>
                <c:pt idx="285">
                  <c:v>1.0627251832859841E-2</c:v>
                </c:pt>
                <c:pt idx="286">
                  <c:v>-1.5690753368055588E-2</c:v>
                </c:pt>
                <c:pt idx="287">
                  <c:v>-1.6439201861246255E-2</c:v>
                </c:pt>
                <c:pt idx="288">
                  <c:v>-9.8549128280098763E-3</c:v>
                </c:pt>
                <c:pt idx="289">
                  <c:v>5.2315450782265405E-3</c:v>
                </c:pt>
                <c:pt idx="290">
                  <c:v>5.5670016553399648E-4</c:v>
                </c:pt>
                <c:pt idx="291">
                  <c:v>-4.9864651122981662E-3</c:v>
                </c:pt>
                <c:pt idx="292">
                  <c:v>2.8894650738555683E-3</c:v>
                </c:pt>
                <c:pt idx="293">
                  <c:v>-7.2816326903593076E-3</c:v>
                </c:pt>
                <c:pt idx="294">
                  <c:v>6.8873777336335706E-3</c:v>
                </c:pt>
                <c:pt idx="295">
                  <c:v>2.449992482846719E-3</c:v>
                </c:pt>
                <c:pt idx="296">
                  <c:v>-6.9667494280625242E-3</c:v>
                </c:pt>
                <c:pt idx="297">
                  <c:v>9.7140959937187521E-3</c:v>
                </c:pt>
                <c:pt idx="298">
                  <c:v>3.0609779402759107E-2</c:v>
                </c:pt>
                <c:pt idx="299">
                  <c:v>1.7445216560263876E-2</c:v>
                </c:pt>
                <c:pt idx="300">
                  <c:v>9.4859834542355692E-2</c:v>
                </c:pt>
                <c:pt idx="301">
                  <c:v>1.0623246940260067E-2</c:v>
                </c:pt>
                <c:pt idx="302">
                  <c:v>-1.0337414175674908E-2</c:v>
                </c:pt>
                <c:pt idx="303">
                  <c:v>2.003425654496338E-2</c:v>
                </c:pt>
                <c:pt idx="304">
                  <c:v>-8.8831404184097629E-3</c:v>
                </c:pt>
                <c:pt idx="305">
                  <c:v>6.7071079997589322E-3</c:v>
                </c:pt>
                <c:pt idx="306">
                  <c:v>-1.0411140725402834E-2</c:v>
                </c:pt>
                <c:pt idx="307">
                  <c:v>2.3305217495754205E-2</c:v>
                </c:pt>
                <c:pt idx="308">
                  <c:v>4.8173903337118684E-3</c:v>
                </c:pt>
                <c:pt idx="309">
                  <c:v>1.1231241183238039E-2</c:v>
                </c:pt>
                <c:pt idx="310">
                  <c:v>-1.7940237796135849E-2</c:v>
                </c:pt>
                <c:pt idx="311">
                  <c:v>-2.7826416526605113E-3</c:v>
                </c:pt>
                <c:pt idx="312">
                  <c:v>3.3237702432551419E-3</c:v>
                </c:pt>
                <c:pt idx="313">
                  <c:v>1.1982317261456377E-3</c:v>
                </c:pt>
                <c:pt idx="314">
                  <c:v>7.6459055284336941E-3</c:v>
                </c:pt>
                <c:pt idx="315">
                  <c:v>-9.3025376588817821E-3</c:v>
                </c:pt>
                <c:pt idx="316">
                  <c:v>-6.2068842011122616E-3</c:v>
                </c:pt>
                <c:pt idx="317">
                  <c:v>1.542161185765778E-2</c:v>
                </c:pt>
                <c:pt idx="318">
                  <c:v>1.3419804269254598E-4</c:v>
                </c:pt>
                <c:pt idx="319">
                  <c:v>-2.2292169074768053E-2</c:v>
                </c:pt>
                <c:pt idx="320">
                  <c:v>1.576149812216654E-3</c:v>
                </c:pt>
                <c:pt idx="321">
                  <c:v>-1.573669473371786E-3</c:v>
                </c:pt>
                <c:pt idx="322">
                  <c:v>2.3074747684118435E-2</c:v>
                </c:pt>
                <c:pt idx="323">
                  <c:v>-1.4732980215200753E-3</c:v>
                </c:pt>
                <c:pt idx="324">
                  <c:v>-2.0726921954252631E-2</c:v>
                </c:pt>
                <c:pt idx="325">
                  <c:v>1.3127533856627238E-4</c:v>
                </c:pt>
                <c:pt idx="326">
                  <c:v>-3.934016307305388E-4</c:v>
                </c:pt>
                <c:pt idx="327">
                  <c:v>4.6113012748414395E-3</c:v>
                </c:pt>
                <c:pt idx="328">
                  <c:v>-6.5445374652987054E-3</c:v>
                </c:pt>
                <c:pt idx="329">
                  <c:v>-3.9112035449149207E-3</c:v>
                </c:pt>
                <c:pt idx="330">
                  <c:v>2.6070770486374961E-4</c:v>
                </c:pt>
                <c:pt idx="333">
                  <c:v>1.2253596747260787E-2</c:v>
                </c:pt>
                <c:pt idx="334">
                  <c:v>-7.0096492729758708E-3</c:v>
                </c:pt>
                <c:pt idx="335">
                  <c:v>-4.4765242175415221E-3</c:v>
                </c:pt>
                <c:pt idx="336">
                  <c:v>-1.37647000128861E-2</c:v>
                </c:pt>
                <c:pt idx="337">
                  <c:v>-1.0154064491117665E-2</c:v>
                </c:pt>
                <c:pt idx="338">
                  <c:v>-3.5860430614618188E-3</c:v>
                </c:pt>
                <c:pt idx="339">
                  <c:v>-9.3887168049898717E-3</c:v>
                </c:pt>
                <c:pt idx="340">
                  <c:v>8.5732380891538895E-3</c:v>
                </c:pt>
                <c:pt idx="341">
                  <c:v>6.9579347140664716E-3</c:v>
                </c:pt>
                <c:pt idx="342">
                  <c:v>2.3473641600768147E-2</c:v>
                </c:pt>
                <c:pt idx="343">
                  <c:v>1.1066793046203394E-2</c:v>
                </c:pt>
                <c:pt idx="344">
                  <c:v>3.2102133207501105E-3</c:v>
                </c:pt>
                <c:pt idx="345">
                  <c:v>-7.566736361846238E-3</c:v>
                </c:pt>
                <c:pt idx="346">
                  <c:v>-2.1942290881338256E-2</c:v>
                </c:pt>
                <c:pt idx="347">
                  <c:v>2.0815790810257973E-3</c:v>
                </c:pt>
                <c:pt idx="348">
                  <c:v>1.9554806087085375E-3</c:v>
                </c:pt>
                <c:pt idx="349">
                  <c:v>-2.2678126664651077E-2</c:v>
                </c:pt>
                <c:pt idx="350">
                  <c:v>3.4517050230307156E-3</c:v>
                </c:pt>
                <c:pt idx="351">
                  <c:v>8.8999130785050173E-3</c:v>
                </c:pt>
                <c:pt idx="352">
                  <c:v>1.1876717680785909E-2</c:v>
                </c:pt>
                <c:pt idx="353">
                  <c:v>2.0927377325075103E-3</c:v>
                </c:pt>
                <c:pt idx="354">
                  <c:v>5.2345829835998003E-4</c:v>
                </c:pt>
                <c:pt idx="355">
                  <c:v>-6.2420231390084568E-3</c:v>
                </c:pt>
                <c:pt idx="356">
                  <c:v>-7.9978097196605757E-3</c:v>
                </c:pt>
                <c:pt idx="357">
                  <c:v>-8.3153072408382878E-3</c:v>
                </c:pt>
                <c:pt idx="358">
                  <c:v>0.10378414666023406</c:v>
                </c:pt>
                <c:pt idx="359">
                  <c:v>2.5930930618100367E-2</c:v>
                </c:pt>
                <c:pt idx="360">
                  <c:v>-1.582559912075443E-2</c:v>
                </c:pt>
                <c:pt idx="361">
                  <c:v>-5.5295678361043654E-3</c:v>
                </c:pt>
                <c:pt idx="362">
                  <c:v>-7.4584790323521943E-3</c:v>
                </c:pt>
                <c:pt idx="363">
                  <c:v>-8.2343798837506421E-3</c:v>
                </c:pt>
                <c:pt idx="364">
                  <c:v>-9.3420403747951353E-3</c:v>
                </c:pt>
                <c:pt idx="365">
                  <c:v>-2.0869843274904376E-3</c:v>
                </c:pt>
                <c:pt idx="366">
                  <c:v>2.6507481556181656E-3</c:v>
                </c:pt>
                <c:pt idx="367">
                  <c:v>-5.579203094355778E-4</c:v>
                </c:pt>
                <c:pt idx="368">
                  <c:v>-2.0869843274904376E-3</c:v>
                </c:pt>
                <c:pt idx="369">
                  <c:v>4.332127497108873E-3</c:v>
                </c:pt>
                <c:pt idx="370">
                  <c:v>1.8197469353806728E-3</c:v>
                </c:pt>
                <c:pt idx="371">
                  <c:v>-2.7972921299712628E-4</c:v>
                </c:pt>
                <c:pt idx="372">
                  <c:v>9.3234612187758081E-3</c:v>
                </c:pt>
                <c:pt idx="373">
                  <c:v>-5.8981174948492532E-3</c:v>
                </c:pt>
                <c:pt idx="374">
                  <c:v>5.5068395338260245E-3</c:v>
                </c:pt>
                <c:pt idx="375">
                  <c:v>2.1224218211024493E-3</c:v>
                </c:pt>
                <c:pt idx="376">
                  <c:v>-8.4185026962992904E-3</c:v>
                </c:pt>
                <c:pt idx="377">
                  <c:v>-1.1786095960590326E-2</c:v>
                </c:pt>
                <c:pt idx="378">
                  <c:v>1.8931929565196848E-2</c:v>
                </c:pt>
                <c:pt idx="379">
                  <c:v>-3.5194421210963389E-3</c:v>
                </c:pt>
                <c:pt idx="380">
                  <c:v>1.7621542701541815E-2</c:v>
                </c:pt>
                <c:pt idx="381">
                  <c:v>5.7636574579666977E-3</c:v>
                </c:pt>
                <c:pt idx="382">
                  <c:v>-7.4367705498991077E-3</c:v>
                </c:pt>
                <c:pt idx="383">
                  <c:v>-2.1408868092238631E-3</c:v>
                </c:pt>
                <c:pt idx="384">
                  <c:v>1.0000602480999543E-3</c:v>
                </c:pt>
                <c:pt idx="385">
                  <c:v>-1.1997363633906355E-2</c:v>
                </c:pt>
                <c:pt idx="386">
                  <c:v>1.13053163775656E-3</c:v>
                </c:pt>
                <c:pt idx="387">
                  <c:v>7.1153008687039332E-3</c:v>
                </c:pt>
                <c:pt idx="388">
                  <c:v>4.8619636995907989E-3</c:v>
                </c:pt>
                <c:pt idx="389">
                  <c:v>-1.5486118999021414E-2</c:v>
                </c:pt>
                <c:pt idx="390">
                  <c:v>-2.7519347950700213E-2</c:v>
                </c:pt>
                <c:pt idx="391">
                  <c:v>-8.2080296548170395E-4</c:v>
                </c:pt>
                <c:pt idx="392">
                  <c:v>-8.6791515523587659E-3</c:v>
                </c:pt>
                <c:pt idx="393">
                  <c:v>-6.7348096986089567E-3</c:v>
                </c:pt>
                <c:pt idx="394">
                  <c:v>-3.6235807277568144E-3</c:v>
                </c:pt>
                <c:pt idx="395">
                  <c:v>-6.6659459847059344E-3</c:v>
                </c:pt>
                <c:pt idx="396">
                  <c:v>-5.0403353845813736E-3</c:v>
                </c:pt>
                <c:pt idx="397">
                  <c:v>-3.9635818828911429E-3</c:v>
                </c:pt>
                <c:pt idx="398">
                  <c:v>6.7836626249782039E-3</c:v>
                </c:pt>
                <c:pt idx="399">
                  <c:v>-1.3282994357163291E-3</c:v>
                </c:pt>
                <c:pt idx="400">
                  <c:v>3.7332863922077131E-3</c:v>
                </c:pt>
                <c:pt idx="401">
                  <c:v>9.8291643989536492E-3</c:v>
                </c:pt>
                <c:pt idx="402">
                  <c:v>-8.6759778967062662E-3</c:v>
                </c:pt>
                <c:pt idx="403">
                  <c:v>1.8626678895534932E-2</c:v>
                </c:pt>
                <c:pt idx="404">
                  <c:v>-5.4346622369871866E-4</c:v>
                </c:pt>
                <c:pt idx="405">
                  <c:v>-9.6892529898500168E-3</c:v>
                </c:pt>
                <c:pt idx="406">
                  <c:v>-1.6122718799529423E-3</c:v>
                </c:pt>
                <c:pt idx="407">
                  <c:v>2.4783155454557892E-2</c:v>
                </c:pt>
                <c:pt idx="408">
                  <c:v>-5.8854105955795655E-3</c:v>
                </c:pt>
                <c:pt idx="409">
                  <c:v>1.7973866413828032E-2</c:v>
                </c:pt>
                <c:pt idx="410">
                  <c:v>1.2842423412969151E-2</c:v>
                </c:pt>
                <c:pt idx="411">
                  <c:v>1.1418723962104638E-2</c:v>
                </c:pt>
                <c:pt idx="412">
                  <c:v>1.4293077991629488E-3</c:v>
                </c:pt>
                <c:pt idx="413">
                  <c:v>-1.9618871529453186E-2</c:v>
                </c:pt>
                <c:pt idx="414">
                  <c:v>1.681400720193893E-2</c:v>
                </c:pt>
                <c:pt idx="415">
                  <c:v>-7.355011352532026E-3</c:v>
                </c:pt>
                <c:pt idx="416">
                  <c:v>2.3006925779802456E-2</c:v>
                </c:pt>
                <c:pt idx="417">
                  <c:v>2.7046920184486956E-2</c:v>
                </c:pt>
                <c:pt idx="418">
                  <c:v>-4.7328826256559653E-3</c:v>
                </c:pt>
                <c:pt idx="419">
                  <c:v>7.6005335433662058E-3</c:v>
                </c:pt>
                <c:pt idx="420">
                  <c:v>-2.4709392714133194E-2</c:v>
                </c:pt>
                <c:pt idx="421">
                  <c:v>-2.1753673480966462E-3</c:v>
                </c:pt>
                <c:pt idx="422">
                  <c:v>6.2753649776654541E-3</c:v>
                </c:pt>
                <c:pt idx="423">
                  <c:v>1.3609423763447426E-2</c:v>
                </c:pt>
                <c:pt idx="424">
                  <c:v>-1.2128978397508816E-2</c:v>
                </c:pt>
                <c:pt idx="425">
                  <c:v>2.8403838740562959E-2</c:v>
                </c:pt>
                <c:pt idx="426">
                  <c:v>2.0552178679055899E-2</c:v>
                </c:pt>
                <c:pt idx="427">
                  <c:v>6.8852603565473958E-2</c:v>
                </c:pt>
                <c:pt idx="428">
                  <c:v>8.2643347868853745E-3</c:v>
                </c:pt>
                <c:pt idx="429">
                  <c:v>-6.6335779472169731E-3</c:v>
                </c:pt>
                <c:pt idx="430">
                  <c:v>-3.3058242521801784E-3</c:v>
                </c:pt>
                <c:pt idx="431">
                  <c:v>-8.1966535484496728E-3</c:v>
                </c:pt>
                <c:pt idx="432">
                  <c:v>-3.2760005685894544E-4</c:v>
                </c:pt>
                <c:pt idx="433">
                  <c:v>-1.5965276442702514E-2</c:v>
                </c:pt>
                <c:pt idx="434">
                  <c:v>6.9827882148536524E-3</c:v>
                </c:pt>
                <c:pt idx="435">
                  <c:v>-1.9426821868817723E-2</c:v>
                </c:pt>
                <c:pt idx="436">
                  <c:v>1.4539589970332223E-2</c:v>
                </c:pt>
                <c:pt idx="437">
                  <c:v>-1.8083810453891958E-2</c:v>
                </c:pt>
                <c:pt idx="438">
                  <c:v>-1.837408925805073E-2</c:v>
                </c:pt>
                <c:pt idx="439">
                  <c:v>-3.4142256794722492E-3</c:v>
                </c:pt>
                <c:pt idx="440">
                  <c:v>-1.704047589583646E-3</c:v>
                </c:pt>
                <c:pt idx="441">
                  <c:v>-8.7532517255286546E-3</c:v>
                </c:pt>
                <c:pt idx="442">
                  <c:v>-2.1451360739558334E-3</c:v>
                </c:pt>
                <c:pt idx="443">
                  <c:v>6.7881097138773328E-3</c:v>
                </c:pt>
                <c:pt idx="444">
                  <c:v>-7.1986611108244558E-3</c:v>
                </c:pt>
                <c:pt idx="445">
                  <c:v>-1.6124286345682526E-2</c:v>
                </c:pt>
                <c:pt idx="446">
                  <c:v>-4.7990968114322019E-3</c:v>
                </c:pt>
                <c:pt idx="447">
                  <c:v>2.6004076551263688E-2</c:v>
                </c:pt>
                <c:pt idx="448">
                  <c:v>-6.4209590762158708E-3</c:v>
                </c:pt>
                <c:pt idx="449">
                  <c:v>3.0570653221739796E-4</c:v>
                </c:pt>
                <c:pt idx="450">
                  <c:v>9.5726041083374902E-3</c:v>
                </c:pt>
                <c:pt idx="451">
                  <c:v>-4.9163288188477372E-3</c:v>
                </c:pt>
                <c:pt idx="452">
                  <c:v>2.4642218719264086E-3</c:v>
                </c:pt>
                <c:pt idx="453">
                  <c:v>-1.9982569122792837E-3</c:v>
                </c:pt>
                <c:pt idx="454">
                  <c:v>4.0122374955717799E-3</c:v>
                </c:pt>
                <c:pt idx="455">
                  <c:v>2.9409909828341796E-3</c:v>
                </c:pt>
                <c:pt idx="456">
                  <c:v>-5.0817522229559264E-3</c:v>
                </c:pt>
                <c:pt idx="457">
                  <c:v>9.0117591970686473E-3</c:v>
                </c:pt>
                <c:pt idx="458">
                  <c:v>3.5864289428149121E-3</c:v>
                </c:pt>
                <c:pt idx="459">
                  <c:v>6.9546617791669485E-2</c:v>
                </c:pt>
                <c:pt idx="460">
                  <c:v>6.3120619628926455E-2</c:v>
                </c:pt>
                <c:pt idx="463">
                  <c:v>-3.5510975837209968E-2</c:v>
                </c:pt>
                <c:pt idx="464">
                  <c:v>1.4615911507810386E-2</c:v>
                </c:pt>
                <c:pt idx="465">
                  <c:v>-2.2753716654801304E-2</c:v>
                </c:pt>
                <c:pt idx="466">
                  <c:v>1.5174518698699346E-2</c:v>
                </c:pt>
                <c:pt idx="467">
                  <c:v>-3.9514311287656589E-2</c:v>
                </c:pt>
                <c:pt idx="468">
                  <c:v>2.5747735123454518E-2</c:v>
                </c:pt>
                <c:pt idx="469">
                  <c:v>7.1939071157109957E-3</c:v>
                </c:pt>
                <c:pt idx="470">
                  <c:v>-1.6778779597216409E-2</c:v>
                </c:pt>
                <c:pt idx="471">
                  <c:v>-2.9524719508547959E-3</c:v>
                </c:pt>
                <c:pt idx="472">
                  <c:v>1.2454398465048255E-2</c:v>
                </c:pt>
                <c:pt idx="473">
                  <c:v>-2.8396268724236062E-2</c:v>
                </c:pt>
                <c:pt idx="474">
                  <c:v>5.8423288130877715E-3</c:v>
                </c:pt>
                <c:pt idx="475">
                  <c:v>1.137218337727619E-3</c:v>
                </c:pt>
                <c:pt idx="476">
                  <c:v>7.3651467350899225E-3</c:v>
                </c:pt>
                <c:pt idx="477">
                  <c:v>-2.923422215085969E-2</c:v>
                </c:pt>
                <c:pt idx="478">
                  <c:v>9.7864932800384441E-3</c:v>
                </c:pt>
                <c:pt idx="479">
                  <c:v>-1.6101057812050734E-2</c:v>
                </c:pt>
                <c:pt idx="480">
                  <c:v>-4.5566996258219472E-3</c:v>
                </c:pt>
                <c:pt idx="481">
                  <c:v>-1.3639343688262917E-2</c:v>
                </c:pt>
                <c:pt idx="482">
                  <c:v>7.0237312639631622E-3</c:v>
                </c:pt>
                <c:pt idx="483">
                  <c:v>4.0744870221156582E-3</c:v>
                </c:pt>
                <c:pt idx="484">
                  <c:v>-3.1317806527386693E-4</c:v>
                </c:pt>
                <c:pt idx="485">
                  <c:v>-1.0080843206974444E-2</c:v>
                </c:pt>
                <c:pt idx="486">
                  <c:v>-3.4001940473844527E-3</c:v>
                </c:pt>
                <c:pt idx="487">
                  <c:v>-3.0918298396487298E-4</c:v>
                </c:pt>
                <c:pt idx="488">
                  <c:v>1.6970663234984196E-2</c:v>
                </c:pt>
                <c:pt idx="489">
                  <c:v>-4.2246630685225384E-3</c:v>
                </c:pt>
                <c:pt idx="490">
                  <c:v>2.9809646270478884E-2</c:v>
                </c:pt>
                <c:pt idx="491">
                  <c:v>-8.051140166810411E-4</c:v>
                </c:pt>
                <c:pt idx="492">
                  <c:v>-1.9108960000968289E-2</c:v>
                </c:pt>
                <c:pt idx="493">
                  <c:v>5.3984439157566122E-3</c:v>
                </c:pt>
                <c:pt idx="494">
                  <c:v>-0.10092789819525916</c:v>
                </c:pt>
                <c:pt idx="495">
                  <c:v>-6.2420947202747046E-3</c:v>
                </c:pt>
                <c:pt idx="496">
                  <c:v>-1.6326530612244983E-2</c:v>
                </c:pt>
                <c:pt idx="497">
                  <c:v>4.0111257502561948E-2</c:v>
                </c:pt>
                <c:pt idx="498">
                  <c:v>2.8145695364238499E-2</c:v>
                </c:pt>
                <c:pt idx="499">
                  <c:v>-3.1507876969242288E-3</c:v>
                </c:pt>
                <c:pt idx="500">
                  <c:v>8.3207261724658199E-3</c:v>
                </c:pt>
                <c:pt idx="501">
                  <c:v>-1.4315538323889099E-2</c:v>
                </c:pt>
                <c:pt idx="502">
                  <c:v>6.302521008403561E-3</c:v>
                </c:pt>
                <c:pt idx="503">
                  <c:v>8.6272135613743028E-3</c:v>
                </c:pt>
                <c:pt idx="504">
                  <c:v>-2.162002073152669E-2</c:v>
                </c:pt>
                <c:pt idx="505">
                  <c:v>9.4170403587443552E-3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F-40C9-9133-F470DFFAD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Sheet4!$V$4</c:f>
              <c:strCache>
                <c:ptCount val="1"/>
                <c:pt idx="0">
                  <c:v>UPM.HE.csv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Sheet4!$V$5:$V$511</c:f>
              <c:numCache>
                <c:formatCode>0.0\ %</c:formatCode>
                <c:ptCount val="507"/>
                <c:pt idx="0">
                  <c:v>8.5313786672427394E-3</c:v>
                </c:pt>
                <c:pt idx="1">
                  <c:v>-1.2635372282548074E-2</c:v>
                </c:pt>
                <c:pt idx="2">
                  <c:v>-1.7730418999763353E-2</c:v>
                </c:pt>
                <c:pt idx="3">
                  <c:v>2.3283864480984295E-2</c:v>
                </c:pt>
                <c:pt idx="4">
                  <c:v>6.0525706246150612E-4</c:v>
                </c:pt>
                <c:pt idx="5">
                  <c:v>8.5442619333215841E-3</c:v>
                </c:pt>
                <c:pt idx="6">
                  <c:v>2.3742681936450127E-2</c:v>
                </c:pt>
                <c:pt idx="7">
                  <c:v>-1.2480785978606912E-3</c:v>
                </c:pt>
                <c:pt idx="8">
                  <c:v>5.0819597560621377E-2</c:v>
                </c:pt>
                <c:pt idx="9">
                  <c:v>-3.7854892967934872E-2</c:v>
                </c:pt>
                <c:pt idx="10">
                  <c:v>2.2580668292211392E-2</c:v>
                </c:pt>
                <c:pt idx="11">
                  <c:v>5.2274279609130669E-2</c:v>
                </c:pt>
                <c:pt idx="12">
                  <c:v>-1.1741020339959496E-2</c:v>
                </c:pt>
                <c:pt idx="13">
                  <c:v>6.7693413689380755E-2</c:v>
                </c:pt>
                <c:pt idx="14">
                  <c:v>5.2790361418720622E-2</c:v>
                </c:pt>
                <c:pt idx="15">
                  <c:v>1.2213728142998592E-2</c:v>
                </c:pt>
                <c:pt idx="16">
                  <c:v>-1.1437756175909364E-3</c:v>
                </c:pt>
                <c:pt idx="17">
                  <c:v>-2.52693459566804E-2</c:v>
                </c:pt>
                <c:pt idx="18">
                  <c:v>-3.1317523248287626E-2</c:v>
                </c:pt>
                <c:pt idx="19">
                  <c:v>-3.1718389642473643E-2</c:v>
                </c:pt>
                <c:pt idx="20">
                  <c:v>-5.3135251880147227E-2</c:v>
                </c:pt>
                <c:pt idx="21">
                  <c:v>2.53806818800828E-2</c:v>
                </c:pt>
                <c:pt idx="22">
                  <c:v>-2.3140519741066568E-2</c:v>
                </c:pt>
                <c:pt idx="23">
                  <c:v>7.9973351824658145E-3</c:v>
                </c:pt>
                <c:pt idx="24">
                  <c:v>3.34333015482291E-3</c:v>
                </c:pt>
                <c:pt idx="25">
                  <c:v>-1.1892946479461708E-2</c:v>
                </c:pt>
                <c:pt idx="26">
                  <c:v>-2.1970963444845837E-2</c:v>
                </c:pt>
                <c:pt idx="27">
                  <c:v>4.5440479330347561E-3</c:v>
                </c:pt>
                <c:pt idx="28">
                  <c:v>-1.0279462883088453E-2</c:v>
                </c:pt>
                <c:pt idx="29">
                  <c:v>1.6087709478980194E-3</c:v>
                </c:pt>
                <c:pt idx="30">
                  <c:v>-5.4400371597461694E-3</c:v>
                </c:pt>
                <c:pt idx="31">
                  <c:v>-1.1701463307127624E-2</c:v>
                </c:pt>
                <c:pt idx="32">
                  <c:v>2.9772579134026422E-3</c:v>
                </c:pt>
                <c:pt idx="33">
                  <c:v>1.9217757973313931E-2</c:v>
                </c:pt>
                <c:pt idx="34">
                  <c:v>-1.1333341196636315E-2</c:v>
                </c:pt>
                <c:pt idx="35">
                  <c:v>3.6801849285637012E-3</c:v>
                </c:pt>
                <c:pt idx="36">
                  <c:v>-2.8599336165080591E-2</c:v>
                </c:pt>
                <c:pt idx="37">
                  <c:v>2.0902514388498217E-2</c:v>
                </c:pt>
                <c:pt idx="38">
                  <c:v>-1.8560755411735741E-2</c:v>
                </c:pt>
                <c:pt idx="39">
                  <c:v>-3.2755936999319335E-2</c:v>
                </c:pt>
                <c:pt idx="40">
                  <c:v>-3.148334804298214E-4</c:v>
                </c:pt>
                <c:pt idx="41">
                  <c:v>2.4516117843955909E-2</c:v>
                </c:pt>
                <c:pt idx="42">
                  <c:v>-8.951416608303675E-3</c:v>
                </c:pt>
                <c:pt idx="43">
                  <c:v>2.155454399623502E-2</c:v>
                </c:pt>
                <c:pt idx="44">
                  <c:v>-9.7874013363496992E-4</c:v>
                </c:pt>
                <c:pt idx="45">
                  <c:v>-1.6682674867033231E-2</c:v>
                </c:pt>
                <c:pt idx="46">
                  <c:v>-4.4158271260357762E-2</c:v>
                </c:pt>
                <c:pt idx="47">
                  <c:v>0</c:v>
                </c:pt>
                <c:pt idx="48">
                  <c:v>3.1962009817196435E-2</c:v>
                </c:pt>
                <c:pt idx="49">
                  <c:v>-2.2103292677129183E-3</c:v>
                </c:pt>
                <c:pt idx="50">
                  <c:v>-4.6371533594511738E-2</c:v>
                </c:pt>
                <c:pt idx="51">
                  <c:v>2.3420603903292703E-2</c:v>
                </c:pt>
                <c:pt idx="52">
                  <c:v>-1.7857206983705409E-2</c:v>
                </c:pt>
                <c:pt idx="53">
                  <c:v>8.5471468874847023E-3</c:v>
                </c:pt>
                <c:pt idx="54">
                  <c:v>7.0703817824762094E-3</c:v>
                </c:pt>
                <c:pt idx="55">
                  <c:v>4.012248137099883E-3</c:v>
                </c:pt>
                <c:pt idx="56">
                  <c:v>6.2112149607069789E-3</c:v>
                </c:pt>
                <c:pt idx="57">
                  <c:v>2.0925812761425133E-2</c:v>
                </c:pt>
                <c:pt idx="58">
                  <c:v>1.0249870785251858E-2</c:v>
                </c:pt>
                <c:pt idx="59">
                  <c:v>-9.517819699515373E-3</c:v>
                </c:pt>
                <c:pt idx="60">
                  <c:v>-1.3767103460843977E-2</c:v>
                </c:pt>
                <c:pt idx="61">
                  <c:v>7.2486121720640728E-3</c:v>
                </c:pt>
                <c:pt idx="62">
                  <c:v>1.5782751595916356E-3</c:v>
                </c:pt>
                <c:pt idx="63">
                  <c:v>-6.8965315209942313E-3</c:v>
                </c:pt>
                <c:pt idx="64">
                  <c:v>-2.506114413296312E-2</c:v>
                </c:pt>
                <c:pt idx="65">
                  <c:v>6.4595908348754616E-3</c:v>
                </c:pt>
                <c:pt idx="66">
                  <c:v>2.5551964959682483E-2</c:v>
                </c:pt>
                <c:pt idx="67">
                  <c:v>-1.7663488132508509E-2</c:v>
                </c:pt>
                <c:pt idx="68">
                  <c:v>-9.2109172879519807E-3</c:v>
                </c:pt>
                <c:pt idx="69">
                  <c:v>-1.2265408328654415E-3</c:v>
                </c:pt>
                <c:pt idx="70">
                  <c:v>-2.5694689793807401E-2</c:v>
                </c:pt>
                <c:pt idx="71">
                  <c:v>-2.9787733156509955E-3</c:v>
                </c:pt>
                <c:pt idx="72">
                  <c:v>-8.2717356320213264E-3</c:v>
                </c:pt>
                <c:pt idx="73">
                  <c:v>2.606841785243974E-2</c:v>
                </c:pt>
                <c:pt idx="74">
                  <c:v>-2.1173965334762013E-3</c:v>
                </c:pt>
                <c:pt idx="75">
                  <c:v>1.5147488494495764E-3</c:v>
                </c:pt>
                <c:pt idx="76">
                  <c:v>-3.0202210966240317E-3</c:v>
                </c:pt>
                <c:pt idx="79">
                  <c:v>-5.9545618386203092E-4</c:v>
                </c:pt>
                <c:pt idx="80">
                  <c:v>2.2526747012089787E-2</c:v>
                </c:pt>
                <c:pt idx="81">
                  <c:v>2.1772767364964585E-2</c:v>
                </c:pt>
                <c:pt idx="82">
                  <c:v>2.9788640725421534E-2</c:v>
                </c:pt>
                <c:pt idx="83">
                  <c:v>1.9928106322567141E-2</c:v>
                </c:pt>
                <c:pt idx="84">
                  <c:v>-1.7650849131964019E-2</c:v>
                </c:pt>
                <c:pt idx="85">
                  <c:v>1.9967384476721195E-2</c:v>
                </c:pt>
                <c:pt idx="86">
                  <c:v>2.954673609463665E-3</c:v>
                </c:pt>
                <c:pt idx="87">
                  <c:v>-2.3091794867702076E-2</c:v>
                </c:pt>
                <c:pt idx="88">
                  <c:v>3.8635186439865965E-3</c:v>
                </c:pt>
                <c:pt idx="89">
                  <c:v>3.5333308436762856E-2</c:v>
                </c:pt>
                <c:pt idx="90">
                  <c:v>2.8453918909282949E-2</c:v>
                </c:pt>
                <c:pt idx="91">
                  <c:v>-2.1140894667077359E-2</c:v>
                </c:pt>
                <c:pt idx="92">
                  <c:v>-6.3355471826638254E-3</c:v>
                </c:pt>
                <c:pt idx="93">
                  <c:v>0</c:v>
                </c:pt>
                <c:pt idx="94">
                  <c:v>3.3781455856068954E-2</c:v>
                </c:pt>
                <c:pt idx="95">
                  <c:v>-2.4071193191490536E-3</c:v>
                </c:pt>
                <c:pt idx="96">
                  <c:v>-2.2521018712762797E-2</c:v>
                </c:pt>
                <c:pt idx="97">
                  <c:v>2.2336732313180008E-2</c:v>
                </c:pt>
                <c:pt idx="98">
                  <c:v>-3.7657865596564255E-3</c:v>
                </c:pt>
                <c:pt idx="99">
                  <c:v>-2.4056099043563539E-2</c:v>
                </c:pt>
                <c:pt idx="100">
                  <c:v>1.0124859864696134E-2</c:v>
                </c:pt>
                <c:pt idx="101">
                  <c:v>2.2782194300939418E-2</c:v>
                </c:pt>
                <c:pt idx="102">
                  <c:v>-1.2947183807037077E-2</c:v>
                </c:pt>
                <c:pt idx="103">
                  <c:v>2.3004499904204723E-2</c:v>
                </c:pt>
                <c:pt idx="104">
                  <c:v>2.4457713085510591E-3</c:v>
                </c:pt>
                <c:pt idx="105">
                  <c:v>-3.1799639456390527E-2</c:v>
                </c:pt>
                <c:pt idx="106">
                  <c:v>-9.0513309675162024E-3</c:v>
                </c:pt>
                <c:pt idx="107">
                  <c:v>-1.2578610668737222E-2</c:v>
                </c:pt>
                <c:pt idx="108">
                  <c:v>-5.9229585576709987E-3</c:v>
                </c:pt>
                <c:pt idx="109">
                  <c:v>1.1314448873723126E-2</c:v>
                </c:pt>
                <c:pt idx="110">
                  <c:v>3.4423496692114863E-2</c:v>
                </c:pt>
                <c:pt idx="111">
                  <c:v>-1.6587767682319066E-2</c:v>
                </c:pt>
                <c:pt idx="112">
                  <c:v>8.8797812737955173E-3</c:v>
                </c:pt>
                <c:pt idx="113">
                  <c:v>-2.1717305789596519E-2</c:v>
                </c:pt>
                <c:pt idx="114">
                  <c:v>-1.6107842386010485E-2</c:v>
                </c:pt>
                <c:pt idx="115">
                  <c:v>-1.5215287750728113E-2</c:v>
                </c:pt>
                <c:pt idx="116">
                  <c:v>-1.0253088059742343E-2</c:v>
                </c:pt>
                <c:pt idx="117">
                  <c:v>2.5698085391618886E-3</c:v>
                </c:pt>
                <c:pt idx="118">
                  <c:v>-8.2828592122662359E-3</c:v>
                </c:pt>
                <c:pt idx="119">
                  <c:v>-1.3823429536891418E-2</c:v>
                </c:pt>
                <c:pt idx="120">
                  <c:v>6.0050209982593916E-3</c:v>
                </c:pt>
                <c:pt idx="121">
                  <c:v>-1.5250561607293101E-2</c:v>
                </c:pt>
                <c:pt idx="122">
                  <c:v>9.7422923304761877E-3</c:v>
                </c:pt>
                <c:pt idx="123">
                  <c:v>-4.2431496137433578E-2</c:v>
                </c:pt>
                <c:pt idx="124">
                  <c:v>-5.0899021237235109E-3</c:v>
                </c:pt>
                <c:pt idx="125">
                  <c:v>-2.081494583486232E-2</c:v>
                </c:pt>
                <c:pt idx="126">
                  <c:v>1.1740106693389762E-3</c:v>
                </c:pt>
                <c:pt idx="127">
                  <c:v>3.8303816555989023E-3</c:v>
                </c:pt>
                <c:pt idx="128">
                  <c:v>4.1419543549372495E-3</c:v>
                </c:pt>
                <c:pt idx="129">
                  <c:v>-1.457715924950076E-2</c:v>
                </c:pt>
                <c:pt idx="130">
                  <c:v>-4.3542067653875582E-3</c:v>
                </c:pt>
                <c:pt idx="131">
                  <c:v>1.1450350498567685E-2</c:v>
                </c:pt>
                <c:pt idx="132">
                  <c:v>-3.5107590030321045E-3</c:v>
                </c:pt>
                <c:pt idx="133">
                  <c:v>-6.3955123666769031E-3</c:v>
                </c:pt>
                <c:pt idx="134">
                  <c:v>0</c:v>
                </c:pt>
                <c:pt idx="135">
                  <c:v>4.3796325320919482E-3</c:v>
                </c:pt>
                <c:pt idx="136">
                  <c:v>1.2415030019547801E-2</c:v>
                </c:pt>
                <c:pt idx="137">
                  <c:v>2.957188479675299E-4</c:v>
                </c:pt>
                <c:pt idx="138">
                  <c:v>-2.0656011630570958E-3</c:v>
                </c:pt>
                <c:pt idx="139">
                  <c:v>2.7904157321162248E-2</c:v>
                </c:pt>
                <c:pt idx="140">
                  <c:v>-4.228176343390011E-3</c:v>
                </c:pt>
                <c:pt idx="141">
                  <c:v>8.2215895531416727E-3</c:v>
                </c:pt>
                <c:pt idx="142">
                  <c:v>-6.6545477782453677E-3</c:v>
                </c:pt>
                <c:pt idx="143">
                  <c:v>-1.3134351898326901E-2</c:v>
                </c:pt>
                <c:pt idx="144">
                  <c:v>-7.4074023374682829E-3</c:v>
                </c:pt>
                <c:pt idx="145">
                  <c:v>-1.0843978622056216E-2</c:v>
                </c:pt>
                <c:pt idx="146">
                  <c:v>-1.301709531378914E-2</c:v>
                </c:pt>
                <c:pt idx="147">
                  <c:v>-9.1717102737004508E-3</c:v>
                </c:pt>
                <c:pt idx="148">
                  <c:v>1.9877212165908098E-2</c:v>
                </c:pt>
                <c:pt idx="149">
                  <c:v>-1.0127326287119431E-2</c:v>
                </c:pt>
                <c:pt idx="150">
                  <c:v>-1.5104051930900253E-2</c:v>
                </c:pt>
                <c:pt idx="151">
                  <c:v>8.9132523381278972E-3</c:v>
                </c:pt>
                <c:pt idx="152">
                  <c:v>1.3994212470830547E-2</c:v>
                </c:pt>
                <c:pt idx="153">
                  <c:v>2.6307294068048659E-3</c:v>
                </c:pt>
                <c:pt idx="154">
                  <c:v>2.980123407701174E-2</c:v>
                </c:pt>
                <c:pt idx="155">
                  <c:v>2.0897403170387463E-2</c:v>
                </c:pt>
                <c:pt idx="156">
                  <c:v>1.2760669329423324E-2</c:v>
                </c:pt>
                <c:pt idx="157">
                  <c:v>-5.8786778406768603E-3</c:v>
                </c:pt>
                <c:pt idx="158">
                  <c:v>-8.5889668165530786E-3</c:v>
                </c:pt>
                <c:pt idx="159">
                  <c:v>3.2298912230148469E-2</c:v>
                </c:pt>
                <c:pt idx="160">
                  <c:v>-3.0693688280511444E-2</c:v>
                </c:pt>
                <c:pt idx="161">
                  <c:v>-2.6300014099318259E-2</c:v>
                </c:pt>
                <c:pt idx="162">
                  <c:v>-3.7676191401122106E-2</c:v>
                </c:pt>
                <c:pt idx="163">
                  <c:v>1.2816739840135094E-2</c:v>
                </c:pt>
                <c:pt idx="164">
                  <c:v>6.1548785378933157E-3</c:v>
                </c:pt>
                <c:pt idx="165">
                  <c:v>2.4009583072803986E-2</c:v>
                </c:pt>
                <c:pt idx="166">
                  <c:v>-2.6938477653566384E-3</c:v>
                </c:pt>
                <c:pt idx="167">
                  <c:v>-1.7926790406193049E-3</c:v>
                </c:pt>
                <c:pt idx="168">
                  <c:v>5.9794838006332895E-4</c:v>
                </c:pt>
                <c:pt idx="169">
                  <c:v>5.9814899833754431E-4</c:v>
                </c:pt>
                <c:pt idx="170">
                  <c:v>-5.3778631445531078E-2</c:v>
                </c:pt>
                <c:pt idx="171">
                  <c:v>-2.564793458449266E-2</c:v>
                </c:pt>
                <c:pt idx="172">
                  <c:v>2.1408352774032968E-2</c:v>
                </c:pt>
                <c:pt idx="173">
                  <c:v>2.4826765827021591E-2</c:v>
                </c:pt>
                <c:pt idx="174">
                  <c:v>-8.6531535493206135E-4</c:v>
                </c:pt>
                <c:pt idx="175">
                  <c:v>-2.0149404086496903E-3</c:v>
                </c:pt>
                <c:pt idx="176">
                  <c:v>-7.4286904338121129E-3</c:v>
                </c:pt>
                <c:pt idx="177">
                  <c:v>-5.6816417475070713E-3</c:v>
                </c:pt>
                <c:pt idx="178">
                  <c:v>-1.7308839916307606E-2</c:v>
                </c:pt>
                <c:pt idx="179">
                  <c:v>1.1864390239938016E-2</c:v>
                </c:pt>
                <c:pt idx="180">
                  <c:v>2.4009341532231776E-2</c:v>
                </c:pt>
                <c:pt idx="181">
                  <c:v>1.9463290718440884E-2</c:v>
                </c:pt>
                <c:pt idx="182">
                  <c:v>-1.3957557934650811E-2</c:v>
                </c:pt>
                <c:pt idx="183">
                  <c:v>5.8188167648265399E-4</c:v>
                </c:pt>
                <c:pt idx="184">
                  <c:v>5.2646593205443182E-3</c:v>
                </c:pt>
                <c:pt idx="185">
                  <c:v>-2.8417174269126488E-2</c:v>
                </c:pt>
                <c:pt idx="186">
                  <c:v>-8.7323579235684123E-3</c:v>
                </c:pt>
                <c:pt idx="187">
                  <c:v>-1.6873162913128015E-3</c:v>
                </c:pt>
                <c:pt idx="188">
                  <c:v>3.1029823883543806E-3</c:v>
                </c:pt>
                <c:pt idx="189">
                  <c:v>1.4596476689518134E-2</c:v>
                </c:pt>
                <c:pt idx="190">
                  <c:v>2.1040267343319874E-2</c:v>
                </c:pt>
                <c:pt idx="191">
                  <c:v>6.1746614033293401E-3</c:v>
                </c:pt>
                <c:pt idx="192">
                  <c:v>-4.3910793500315792E-3</c:v>
                </c:pt>
                <c:pt idx="193">
                  <c:v>-1.385682420364287E-2</c:v>
                </c:pt>
                <c:pt idx="194">
                  <c:v>1.3754855885969697E-2</c:v>
                </c:pt>
                <c:pt idx="195">
                  <c:v>-7.2631846271057343E-3</c:v>
                </c:pt>
                <c:pt idx="196">
                  <c:v>1.7461531367224392E-3</c:v>
                </c:pt>
                <c:pt idx="197">
                  <c:v>-8.3695427866495864E-3</c:v>
                </c:pt>
                <c:pt idx="198">
                  <c:v>-2.5905944905376677E-3</c:v>
                </c:pt>
                <c:pt idx="199">
                  <c:v>5.2083262125925955E-3</c:v>
                </c:pt>
                <c:pt idx="200">
                  <c:v>-3.7473569625527947E-3</c:v>
                </c:pt>
                <c:pt idx="201">
                  <c:v>1.5515104004157676E-2</c:v>
                </c:pt>
                <c:pt idx="202">
                  <c:v>-1.4425841703082476E-2</c:v>
                </c:pt>
                <c:pt idx="203">
                  <c:v>-8.8648235561064048E-3</c:v>
                </c:pt>
                <c:pt idx="204">
                  <c:v>-8.7867224791523535E-3</c:v>
                </c:pt>
                <c:pt idx="205">
                  <c:v>-1.1325805350140827E-3</c:v>
                </c:pt>
                <c:pt idx="206">
                  <c:v>-8.4221646548767737E-3</c:v>
                </c:pt>
                <c:pt idx="209">
                  <c:v>-1.6713361262444826E-3</c:v>
                </c:pt>
                <c:pt idx="210">
                  <c:v>-2.8416782623252312E-2</c:v>
                </c:pt>
                <c:pt idx="211">
                  <c:v>1.5947235639558688E-2</c:v>
                </c:pt>
                <c:pt idx="212">
                  <c:v>4.4186822495617673E-3</c:v>
                </c:pt>
                <c:pt idx="213">
                  <c:v>-7.4013487381858756E-3</c:v>
                </c:pt>
                <c:pt idx="214">
                  <c:v>3.9316307224519731E-2</c:v>
                </c:pt>
                <c:pt idx="215">
                  <c:v>6.8845814760363222E-3</c:v>
                </c:pt>
                <c:pt idx="216">
                  <c:v>-7.6857723768597452E-3</c:v>
                </c:pt>
                <c:pt idx="217">
                  <c:v>-5.942163108168641E-3</c:v>
                </c:pt>
                <c:pt idx="218">
                  <c:v>-1.4225879365091343E-2</c:v>
                </c:pt>
                <c:pt idx="219">
                  <c:v>2.7893447090709955E-4</c:v>
                </c:pt>
                <c:pt idx="220">
                  <c:v>5.3295021002126575E-3</c:v>
                </c:pt>
                <c:pt idx="221">
                  <c:v>2.806470579241882E-4</c:v>
                </c:pt>
                <c:pt idx="222">
                  <c:v>3.3783143634968926E-3</c:v>
                </c:pt>
                <c:pt idx="223">
                  <c:v>1.0526335599233327E-2</c:v>
                </c:pt>
                <c:pt idx="224">
                  <c:v>6.2983522669270986E-3</c:v>
                </c:pt>
                <c:pt idx="225">
                  <c:v>-2.4029035394926068E-2</c:v>
                </c:pt>
                <c:pt idx="226">
                  <c:v>2.0821302755475113E-2</c:v>
                </c:pt>
                <c:pt idx="227">
                  <c:v>1.8298107592040758E-2</c:v>
                </c:pt>
                <c:pt idx="228">
                  <c:v>-1.2618259294014833E-2</c:v>
                </c:pt>
                <c:pt idx="229">
                  <c:v>-4.8516462775982649E-3</c:v>
                </c:pt>
                <c:pt idx="230">
                  <c:v>7.1859070580151396E-3</c:v>
                </c:pt>
                <c:pt idx="231">
                  <c:v>1.339942180185405E-2</c:v>
                </c:pt>
                <c:pt idx="232">
                  <c:v>-8.0900959018546104E-3</c:v>
                </c:pt>
                <c:pt idx="233">
                  <c:v>3.5917404508037265E-2</c:v>
                </c:pt>
                <c:pt idx="234">
                  <c:v>1.581024425063382E-2</c:v>
                </c:pt>
                <c:pt idx="235">
                  <c:v>9.1297882219532056E-4</c:v>
                </c:pt>
                <c:pt idx="236">
                  <c:v>-1.6167735770991953E-2</c:v>
                </c:pt>
                <c:pt idx="237">
                  <c:v>7.8456309441490291E-3</c:v>
                </c:pt>
                <c:pt idx="238">
                  <c:v>-2.4083213278117688E-3</c:v>
                </c:pt>
                <c:pt idx="239">
                  <c:v>-1.4243180322638493E-2</c:v>
                </c:pt>
                <c:pt idx="240">
                  <c:v>-8.2402123723387399E-3</c:v>
                </c:pt>
                <c:pt idx="241">
                  <c:v>1.3723152469966582E-2</c:v>
                </c:pt>
                <c:pt idx="242">
                  <c:v>3.5927463393261583E-3</c:v>
                </c:pt>
                <c:pt idx="243">
                  <c:v>5.4184148160041357E-3</c:v>
                </c:pt>
                <c:pt idx="244">
                  <c:v>-9.0214391178544684E-4</c:v>
                </c:pt>
                <c:pt idx="245">
                  <c:v>0</c:v>
                </c:pt>
                <c:pt idx="246">
                  <c:v>-1.7725174370690988E-2</c:v>
                </c:pt>
                <c:pt idx="247">
                  <c:v>-6.1657203704233998E-3</c:v>
                </c:pt>
                <c:pt idx="248">
                  <c:v>-2.1826526739177954E-2</c:v>
                </c:pt>
                <c:pt idx="249">
                  <c:v>7.2317601161586698E-3</c:v>
                </c:pt>
                <c:pt idx="250">
                  <c:v>-2.2894391722067309E-2</c:v>
                </c:pt>
                <c:pt idx="251">
                  <c:v>7.9773071635242943E-3</c:v>
                </c:pt>
                <c:pt idx="252">
                  <c:v>0</c:v>
                </c:pt>
                <c:pt idx="253">
                  <c:v>2.1239429661252585E-2</c:v>
                </c:pt>
                <c:pt idx="254">
                  <c:v>-2.051872730083304E-2</c:v>
                </c:pt>
                <c:pt idx="255">
                  <c:v>6.3091898704630278E-3</c:v>
                </c:pt>
                <c:pt idx="256">
                  <c:v>1.3368147262578844E-2</c:v>
                </c:pt>
                <c:pt idx="257">
                  <c:v>4.378385210368263E-3</c:v>
                </c:pt>
                <c:pt idx="258">
                  <c:v>5.8719311395036833E-3</c:v>
                </c:pt>
                <c:pt idx="259">
                  <c:v>-1.2180867665204431E-2</c:v>
                </c:pt>
                <c:pt idx="260">
                  <c:v>7.8923416837222149E-3</c:v>
                </c:pt>
                <c:pt idx="261">
                  <c:v>-2.3330487310497805E-3</c:v>
                </c:pt>
                <c:pt idx="262">
                  <c:v>1.7507483947835523E-2</c:v>
                </c:pt>
                <c:pt idx="263">
                  <c:v>1.4143789915368687E-2</c:v>
                </c:pt>
                <c:pt idx="264">
                  <c:v>-2.2071823059307438E-2</c:v>
                </c:pt>
                <c:pt idx="265">
                  <c:v>-9.6182498401977679E-3</c:v>
                </c:pt>
                <c:pt idx="266">
                  <c:v>-2.4452517534888751E-2</c:v>
                </c:pt>
                <c:pt idx="267">
                  <c:v>2.2797388972284338E-3</c:v>
                </c:pt>
                <c:pt idx="268">
                  <c:v>-7.6357801889473942E-3</c:v>
                </c:pt>
                <c:pt idx="269">
                  <c:v>2.2556357873559696E-2</c:v>
                </c:pt>
                <c:pt idx="270">
                  <c:v>1.0225114481159592E-2</c:v>
                </c:pt>
                <c:pt idx="271">
                  <c:v>-1.2975806675758039E-2</c:v>
                </c:pt>
                <c:pt idx="272">
                  <c:v>1.8203125257701291E-2</c:v>
                </c:pt>
                <c:pt idx="273">
                  <c:v>1.3690541554810309E-2</c:v>
                </c:pt>
                <c:pt idx="274">
                  <c:v>2.0346199594770908E-2</c:v>
                </c:pt>
                <c:pt idx="275">
                  <c:v>-8.1325666718184975E-3</c:v>
                </c:pt>
                <c:pt idx="276">
                  <c:v>1.6222904871419086E-2</c:v>
                </c:pt>
                <c:pt idx="277">
                  <c:v>8.9560306911407039E-3</c:v>
                </c:pt>
                <c:pt idx="278">
                  <c:v>3.6160011988433549E-2</c:v>
                </c:pt>
                <c:pt idx="279">
                  <c:v>-1.5973693339506045E-3</c:v>
                </c:pt>
                <c:pt idx="280">
                  <c:v>-2.7043843158993774E-2</c:v>
                </c:pt>
                <c:pt idx="281">
                  <c:v>1.9974557739987908E-2</c:v>
                </c:pt>
                <c:pt idx="282">
                  <c:v>1.9060028148429886E-3</c:v>
                </c:pt>
                <c:pt idx="283">
                  <c:v>1.0269539611837075E-2</c:v>
                </c:pt>
                <c:pt idx="284">
                  <c:v>1.4322942657370108E-2</c:v>
                </c:pt>
                <c:pt idx="285">
                  <c:v>-9.7562548001017824E-4</c:v>
                </c:pt>
                <c:pt idx="286">
                  <c:v>4.5736738681774192E-3</c:v>
                </c:pt>
                <c:pt idx="287">
                  <c:v>-1.3217255637559266E-2</c:v>
                </c:pt>
                <c:pt idx="288">
                  <c:v>2.2616810349873617E-3</c:v>
                </c:pt>
                <c:pt idx="289">
                  <c:v>2.9163755162324723E-3</c:v>
                </c:pt>
                <c:pt idx="290">
                  <c:v>-9.7113578459961936E-4</c:v>
                </c:pt>
                <c:pt idx="291">
                  <c:v>-9.7026144593204133E-4</c:v>
                </c:pt>
                <c:pt idx="292">
                  <c:v>0</c:v>
                </c:pt>
                <c:pt idx="293">
                  <c:v>-3.5449797539944816E-3</c:v>
                </c:pt>
                <c:pt idx="294">
                  <c:v>2.8846237868864755E-2</c:v>
                </c:pt>
                <c:pt idx="295">
                  <c:v>-6.7544965025723158E-3</c:v>
                </c:pt>
                <c:pt idx="296">
                  <c:v>1.7875545313964736E-2</c:v>
                </c:pt>
                <c:pt idx="297">
                  <c:v>-2.0868341643427324E-2</c:v>
                </c:pt>
                <c:pt idx="298">
                  <c:v>-8.3444946290276434E-3</c:v>
                </c:pt>
                <c:pt idx="299">
                  <c:v>-3.336424576597663E-4</c:v>
                </c:pt>
                <c:pt idx="300">
                  <c:v>6.3800638185167458E-3</c:v>
                </c:pt>
                <c:pt idx="301">
                  <c:v>4.7234139820391263E-3</c:v>
                </c:pt>
                <c:pt idx="302">
                  <c:v>-9.6893146019902954E-3</c:v>
                </c:pt>
                <c:pt idx="303">
                  <c:v>1.8373603253523774E-2</c:v>
                </c:pt>
                <c:pt idx="304">
                  <c:v>2.978272106379598E-2</c:v>
                </c:pt>
                <c:pt idx="305">
                  <c:v>-1.0402199123896394E-2</c:v>
                </c:pt>
                <c:pt idx="306">
                  <c:v>-2.0761135098409378E-3</c:v>
                </c:pt>
                <c:pt idx="307">
                  <c:v>-6.8728741185438702E-3</c:v>
                </c:pt>
                <c:pt idx="308">
                  <c:v>-1.9541755427256446E-2</c:v>
                </c:pt>
                <c:pt idx="309">
                  <c:v>1.0117989920754855E-3</c:v>
                </c:pt>
                <c:pt idx="310">
                  <c:v>-1.6909792475481522E-2</c:v>
                </c:pt>
                <c:pt idx="311">
                  <c:v>-9.1984858472244913E-3</c:v>
                </c:pt>
                <c:pt idx="312">
                  <c:v>1.2978436838148033E-2</c:v>
                </c:pt>
                <c:pt idx="313">
                  <c:v>-8.2508263650276081E-3</c:v>
                </c:pt>
                <c:pt idx="314">
                  <c:v>6.6041952380135882E-4</c:v>
                </c:pt>
                <c:pt idx="315">
                  <c:v>2.5745304920469669E-2</c:v>
                </c:pt>
                <c:pt idx="316">
                  <c:v>5.7921909049747367E-3</c:v>
                </c:pt>
                <c:pt idx="317">
                  <c:v>-5.0847879417270647E-3</c:v>
                </c:pt>
                <c:pt idx="318">
                  <c:v>2.7874582111196533E-2</c:v>
                </c:pt>
                <c:pt idx="319">
                  <c:v>-2.2812456259583613E-2</c:v>
                </c:pt>
                <c:pt idx="320">
                  <c:v>4.7896675784488973E-3</c:v>
                </c:pt>
                <c:pt idx="321">
                  <c:v>-1.8798313404232214E-2</c:v>
                </c:pt>
                <c:pt idx="322">
                  <c:v>1.0173024818751708E-2</c:v>
                </c:pt>
                <c:pt idx="323">
                  <c:v>1.2706023079261275E-2</c:v>
                </c:pt>
                <c:pt idx="324">
                  <c:v>-9.8605625506742456E-3</c:v>
                </c:pt>
                <c:pt idx="325">
                  <c:v>-6.7963300443996122E-4</c:v>
                </c:pt>
                <c:pt idx="326">
                  <c:v>1.7634902736202607E-2</c:v>
                </c:pt>
                <c:pt idx="327">
                  <c:v>3.0281474006843778E-2</c:v>
                </c:pt>
                <c:pt idx="328">
                  <c:v>2.4999256768969413E-3</c:v>
                </c:pt>
                <c:pt idx="329">
                  <c:v>-2.2346333364340665E-2</c:v>
                </c:pt>
                <c:pt idx="330">
                  <c:v>-1.5469256426605016E-2</c:v>
                </c:pt>
                <c:pt idx="333">
                  <c:v>-9.443434237779269E-3</c:v>
                </c:pt>
                <c:pt idx="334">
                  <c:v>-6.7001888202289361E-3</c:v>
                </c:pt>
                <c:pt idx="335">
                  <c:v>1.1178871446689609E-2</c:v>
                </c:pt>
                <c:pt idx="336">
                  <c:v>3.3887793895592822E-4</c:v>
                </c:pt>
                <c:pt idx="337">
                  <c:v>-1.205223056005289E-2</c:v>
                </c:pt>
                <c:pt idx="338">
                  <c:v>9.8039269982914679E-3</c:v>
                </c:pt>
                <c:pt idx="339">
                  <c:v>7.836473056518134E-3</c:v>
                </c:pt>
                <c:pt idx="340">
                  <c:v>1.0327073757390837E-2</c:v>
                </c:pt>
                <c:pt idx="341">
                  <c:v>2.7227637546482608E-2</c:v>
                </c:pt>
                <c:pt idx="342">
                  <c:v>3.0236806957854467E-2</c:v>
                </c:pt>
                <c:pt idx="343">
                  <c:v>1.0677510904511189E-2</c:v>
                </c:pt>
                <c:pt idx="344">
                  <c:v>-2.9369045330680521E-3</c:v>
                </c:pt>
                <c:pt idx="345">
                  <c:v>-1.8321881625803504E-3</c:v>
                </c:pt>
                <c:pt idx="346">
                  <c:v>3.6778533639547639E-3</c:v>
                </c:pt>
                <c:pt idx="347">
                  <c:v>1.1045973923269337E-3</c:v>
                </c:pt>
                <c:pt idx="348">
                  <c:v>-4.0337777779113626E-3</c:v>
                </c:pt>
                <c:pt idx="349">
                  <c:v>-1.6943050494672374E-2</c:v>
                </c:pt>
                <c:pt idx="350">
                  <c:v>-1.596313083129286E-2</c:v>
                </c:pt>
                <c:pt idx="351">
                  <c:v>6.4263152201888829E-3</c:v>
                </c:pt>
                <c:pt idx="352">
                  <c:v>2.7136039929950728E-2</c:v>
                </c:pt>
                <c:pt idx="353">
                  <c:v>-1.552350552299242E-2</c:v>
                </c:pt>
                <c:pt idx="354">
                  <c:v>1.4461732452470955E-3</c:v>
                </c:pt>
                <c:pt idx="355">
                  <c:v>-1.810434296764496E-2</c:v>
                </c:pt>
                <c:pt idx="356">
                  <c:v>-2.4246681806597614E-2</c:v>
                </c:pt>
                <c:pt idx="357">
                  <c:v>-4.8259197355813299E-3</c:v>
                </c:pt>
                <c:pt idx="358">
                  <c:v>2.0725631591351767E-3</c:v>
                </c:pt>
                <c:pt idx="359">
                  <c:v>1.4010516862333233E-2</c:v>
                </c:pt>
                <c:pt idx="360">
                  <c:v>-5.2264886052801884E-3</c:v>
                </c:pt>
                <c:pt idx="361">
                  <c:v>-8.9778413667794821E-3</c:v>
                </c:pt>
                <c:pt idx="362">
                  <c:v>-5.8359356060823098E-3</c:v>
                </c:pt>
                <c:pt idx="363">
                  <c:v>1.7108931032956631E-2</c:v>
                </c:pt>
                <c:pt idx="364">
                  <c:v>-2.0906168473799891E-3</c:v>
                </c:pt>
                <c:pt idx="365">
                  <c:v>-3.3995234504557992E-2</c:v>
                </c:pt>
                <c:pt idx="366">
                  <c:v>-3.3651789690924971E-4</c:v>
                </c:pt>
                <c:pt idx="367">
                  <c:v>-1.3280254467447405E-2</c:v>
                </c:pt>
                <c:pt idx="368">
                  <c:v>7.3579347074810286E-3</c:v>
                </c:pt>
                <c:pt idx="369">
                  <c:v>-6.6445396313870031E-3</c:v>
                </c:pt>
                <c:pt idx="370">
                  <c:v>6.6487872507203782E-4</c:v>
                </c:pt>
                <c:pt idx="371">
                  <c:v>2.452313396642869E-2</c:v>
                </c:pt>
                <c:pt idx="372">
                  <c:v>3.0748041071686494E-3</c:v>
                </c:pt>
                <c:pt idx="373">
                  <c:v>-2.0087005229356358E-2</c:v>
                </c:pt>
                <c:pt idx="374">
                  <c:v>5.0471138836094553E-3</c:v>
                </c:pt>
                <c:pt idx="375">
                  <c:v>1.1228318905689205E-2</c:v>
                </c:pt>
                <c:pt idx="376">
                  <c:v>-6.08721841334392E-3</c:v>
                </c:pt>
                <c:pt idx="377">
                  <c:v>-4.3771957512829252E-3</c:v>
                </c:pt>
                <c:pt idx="378">
                  <c:v>6.4385420553003669E-3</c:v>
                </c:pt>
                <c:pt idx="379">
                  <c:v>1.408933036915605E-2</c:v>
                </c:pt>
                <c:pt idx="380">
                  <c:v>1.7212553250851581E-3</c:v>
                </c:pt>
                <c:pt idx="381">
                  <c:v>-2.4039153768623533E-3</c:v>
                </c:pt>
                <c:pt idx="382">
                  <c:v>-7.4983369716041803E-3</c:v>
                </c:pt>
                <c:pt idx="383">
                  <c:v>8.5940548128857763E-3</c:v>
                </c:pt>
                <c:pt idx="384">
                  <c:v>-8.5208263640619286E-3</c:v>
                </c:pt>
                <c:pt idx="385">
                  <c:v>-1.2785957529842906E-2</c:v>
                </c:pt>
                <c:pt idx="386">
                  <c:v>-4.0214263793492133E-3</c:v>
                </c:pt>
                <c:pt idx="387">
                  <c:v>9.813880510603834E-3</c:v>
                </c:pt>
                <c:pt idx="388">
                  <c:v>-1.1044186580831172E-2</c:v>
                </c:pt>
                <c:pt idx="389">
                  <c:v>-1.3210114985561794E-2</c:v>
                </c:pt>
                <c:pt idx="390">
                  <c:v>-2.5739944123136849E-2</c:v>
                </c:pt>
                <c:pt idx="391">
                  <c:v>-1.8629637300178303E-2</c:v>
                </c:pt>
                <c:pt idx="392">
                  <c:v>1.5812259980338972E-3</c:v>
                </c:pt>
                <c:pt idx="393">
                  <c:v>-1.5787296696363473E-3</c:v>
                </c:pt>
                <c:pt idx="394">
                  <c:v>-2.8337381054730493E-3</c:v>
                </c:pt>
                <c:pt idx="395">
                  <c:v>1.6319978548537506E-2</c:v>
                </c:pt>
                <c:pt idx="396">
                  <c:v>2.8883029186383968E-3</c:v>
                </c:pt>
                <c:pt idx="397">
                  <c:v>2.251526763173084E-3</c:v>
                </c:pt>
                <c:pt idx="398">
                  <c:v>1.0071498997404005E-2</c:v>
                </c:pt>
                <c:pt idx="399">
                  <c:v>-1.2512029913613332E-2</c:v>
                </c:pt>
                <c:pt idx="400">
                  <c:v>1.3328983041217102E-2</c:v>
                </c:pt>
                <c:pt idx="401">
                  <c:v>-1.2986722434288334E-3</c:v>
                </c:pt>
                <c:pt idx="402">
                  <c:v>-2.2532560674140889E-2</c:v>
                </c:pt>
                <c:pt idx="403">
                  <c:v>-1.8991224900662851E-2</c:v>
                </c:pt>
                <c:pt idx="404">
                  <c:v>3.1134275811606216E-4</c:v>
                </c:pt>
                <c:pt idx="405">
                  <c:v>-5.2663170950226768E-3</c:v>
                </c:pt>
                <c:pt idx="406">
                  <c:v>-1.2376594411573905E-3</c:v>
                </c:pt>
                <c:pt idx="407">
                  <c:v>8.1097400650311791E-3</c:v>
                </c:pt>
                <c:pt idx="408">
                  <c:v>8.1761430528815016E-3</c:v>
                </c:pt>
                <c:pt idx="409">
                  <c:v>2.5220438765201081E-3</c:v>
                </c:pt>
                <c:pt idx="410">
                  <c:v>-8.7499960004479016E-3</c:v>
                </c:pt>
                <c:pt idx="411">
                  <c:v>8.8272342649613478E-3</c:v>
                </c:pt>
                <c:pt idx="412">
                  <c:v>-1.6738939030672473E-2</c:v>
                </c:pt>
                <c:pt idx="413">
                  <c:v>-6.4676311936937569E-3</c:v>
                </c:pt>
                <c:pt idx="414">
                  <c:v>1.3104646644217954E-2</c:v>
                </c:pt>
                <c:pt idx="415">
                  <c:v>2.6585501396363842E-2</c:v>
                </c:pt>
                <c:pt idx="416">
                  <c:v>-1.5452532145027842E-2</c:v>
                </c:pt>
                <c:pt idx="417">
                  <c:v>-4.3956665702252762E-3</c:v>
                </c:pt>
                <c:pt idx="418">
                  <c:v>-1.8187378908750995E-2</c:v>
                </c:pt>
                <c:pt idx="419">
                  <c:v>-7.3439647176888334E-3</c:v>
                </c:pt>
                <c:pt idx="420">
                  <c:v>-1.6847164445994767E-2</c:v>
                </c:pt>
                <c:pt idx="421">
                  <c:v>-1.1596877962926855E-2</c:v>
                </c:pt>
                <c:pt idx="422">
                  <c:v>9.9099798808075512E-3</c:v>
                </c:pt>
                <c:pt idx="423">
                  <c:v>5.7384892913372454E-3</c:v>
                </c:pt>
                <c:pt idx="424">
                  <c:v>-8.3857406347835894E-3</c:v>
                </c:pt>
                <c:pt idx="425">
                  <c:v>1.2431825313849565E-2</c:v>
                </c:pt>
                <c:pt idx="426">
                  <c:v>3.6129385268306669E-2</c:v>
                </c:pt>
                <c:pt idx="427">
                  <c:v>6.0050682325425431E-3</c:v>
                </c:pt>
                <c:pt idx="428">
                  <c:v>2.9947913498618695E-2</c:v>
                </c:pt>
                <c:pt idx="429">
                  <c:v>9.5300406710940866E-3</c:v>
                </c:pt>
                <c:pt idx="430">
                  <c:v>-5.3499264108327171E-2</c:v>
                </c:pt>
                <c:pt idx="431">
                  <c:v>-1.5365224690035206E-2</c:v>
                </c:pt>
                <c:pt idx="432">
                  <c:v>1.0456274095572704E-2</c:v>
                </c:pt>
                <c:pt idx="433">
                  <c:v>-7.2350422385957236E-3</c:v>
                </c:pt>
                <c:pt idx="434">
                  <c:v>-5.3190865243769592E-3</c:v>
                </c:pt>
                <c:pt idx="435">
                  <c:v>5.9804532577902858E-3</c:v>
                </c:pt>
                <c:pt idx="436">
                  <c:v>-1.7625231910946337E-2</c:v>
                </c:pt>
                <c:pt idx="437">
                  <c:v>-9.4947007966491581E-3</c:v>
                </c:pt>
                <c:pt idx="438">
                  <c:v>2.1485572652819585E-3</c:v>
                </c:pt>
                <c:pt idx="439">
                  <c:v>-1.7194569098366919E-2</c:v>
                </c:pt>
                <c:pt idx="440">
                  <c:v>8.5184973689838017E-3</c:v>
                </c:pt>
                <c:pt idx="441">
                  <c:v>-5.44629365949445E-3</c:v>
                </c:pt>
                <c:pt idx="442">
                  <c:v>4.5591790541532617E-3</c:v>
                </c:pt>
                <c:pt idx="443">
                  <c:v>1.5432097812833501E-2</c:v>
                </c:pt>
                <c:pt idx="444">
                  <c:v>7.4627487562191064E-3</c:v>
                </c:pt>
                <c:pt idx="445">
                  <c:v>-1.5911872705018482E-2</c:v>
                </c:pt>
                <c:pt idx="446">
                  <c:v>2.1465500721695729E-3</c:v>
                </c:pt>
                <c:pt idx="447">
                  <c:v>1.0849442706102996E-2</c:v>
                </c:pt>
                <c:pt idx="448">
                  <c:v>-2.2424303030302961E-2</c:v>
                </c:pt>
                <c:pt idx="449">
                  <c:v>6.0975916493168913E-3</c:v>
                </c:pt>
                <c:pt idx="450">
                  <c:v>3.3649435107048209E-3</c:v>
                </c:pt>
                <c:pt idx="451">
                  <c:v>2.3481464512164596E-2</c:v>
                </c:pt>
                <c:pt idx="452">
                  <c:v>1.8821205107313332E-3</c:v>
                </c:pt>
                <c:pt idx="453">
                  <c:v>7.5853352587020861E-3</c:v>
                </c:pt>
                <c:pt idx="454">
                  <c:v>7.96432010080661E-3</c:v>
                </c:pt>
                <c:pt idx="455">
                  <c:v>-1.4752102487379126E-2</c:v>
                </c:pt>
                <c:pt idx="456">
                  <c:v>-4.3749687499999856E-3</c:v>
                </c:pt>
                <c:pt idx="457">
                  <c:v>-2.4938277746989757E-3</c:v>
                </c:pt>
                <c:pt idx="458">
                  <c:v>-1.2315209359605839E-2</c:v>
                </c:pt>
                <c:pt idx="459">
                  <c:v>1.4366021236726922E-2</c:v>
                </c:pt>
                <c:pt idx="460">
                  <c:v>3.7617554858935254E-3</c:v>
                </c:pt>
                <c:pt idx="463">
                  <c:v>-2.6833690315035907E-2</c:v>
                </c:pt>
                <c:pt idx="464">
                  <c:v>5.9988302339530897E-3</c:v>
                </c:pt>
                <c:pt idx="465">
                  <c:v>1.7704579835444489E-2</c:v>
                </c:pt>
                <c:pt idx="466">
                  <c:v>-3.0521818736650719E-4</c:v>
                </c:pt>
                <c:pt idx="467">
                  <c:v>-8.4719821020265984E-3</c:v>
                </c:pt>
                <c:pt idx="468">
                  <c:v>-9.8862189968178527E-3</c:v>
                </c:pt>
                <c:pt idx="469">
                  <c:v>-1.1841267372447173E-2</c:v>
                </c:pt>
                <c:pt idx="470">
                  <c:v>-9.0936051628045522E-3</c:v>
                </c:pt>
                <c:pt idx="471">
                  <c:v>2.057613168724215E-3</c:v>
                </c:pt>
                <c:pt idx="472">
                  <c:v>-2.9308031339624341E-3</c:v>
                </c:pt>
                <c:pt idx="473">
                  <c:v>-6.11718577820064E-3</c:v>
                </c:pt>
                <c:pt idx="474">
                  <c:v>-2.614642801548106E-3</c:v>
                </c:pt>
                <c:pt idx="475">
                  <c:v>0</c:v>
                </c:pt>
                <c:pt idx="476">
                  <c:v>8.4968353795242813E-3</c:v>
                </c:pt>
                <c:pt idx="477">
                  <c:v>-6.1152882935353592E-3</c:v>
                </c:pt>
                <c:pt idx="478">
                  <c:v>7.9248605811566009E-3</c:v>
                </c:pt>
                <c:pt idx="479">
                  <c:v>-1.1604322262711908E-2</c:v>
                </c:pt>
                <c:pt idx="480">
                  <c:v>-8.6280989358642479E-3</c:v>
                </c:pt>
                <c:pt idx="481">
                  <c:v>-1.0247679753837668E-2</c:v>
                </c:pt>
                <c:pt idx="482">
                  <c:v>9.7729229728968914E-3</c:v>
                </c:pt>
                <c:pt idx="483">
                  <c:v>7.8215816917726055E-3</c:v>
                </c:pt>
                <c:pt idx="484">
                  <c:v>-1.4463407578825249E-3</c:v>
                </c:pt>
                <c:pt idx="485">
                  <c:v>-1.2567781352058383E-2</c:v>
                </c:pt>
                <c:pt idx="486">
                  <c:v>6.0344541963923692E-3</c:v>
                </c:pt>
                <c:pt idx="487">
                  <c:v>2.0155197235820488E-3</c:v>
                </c:pt>
                <c:pt idx="488">
                  <c:v>1.5497046330495534E-2</c:v>
                </c:pt>
                <c:pt idx="489">
                  <c:v>-2.9225373552344003E-4</c:v>
                </c:pt>
                <c:pt idx="490">
                  <c:v>2.3944896737503996E-2</c:v>
                </c:pt>
                <c:pt idx="491">
                  <c:v>6.0223127377989627E-3</c:v>
                </c:pt>
                <c:pt idx="492">
                  <c:v>-5.9862615983236056E-3</c:v>
                </c:pt>
                <c:pt idx="493">
                  <c:v>-1.0367239950666018E-2</c:v>
                </c:pt>
                <c:pt idx="494">
                  <c:v>7.4604600095768969E-3</c:v>
                </c:pt>
                <c:pt idx="495">
                  <c:v>-1.00443137396935E-2</c:v>
                </c:pt>
                <c:pt idx="496">
                  <c:v>-5.8737446658956305E-3</c:v>
                </c:pt>
                <c:pt idx="497">
                  <c:v>1.8241627339761646E-2</c:v>
                </c:pt>
                <c:pt idx="498">
                  <c:v>-6.8309775367375591E-3</c:v>
                </c:pt>
                <c:pt idx="499">
                  <c:v>0.12195928023991986</c:v>
                </c:pt>
                <c:pt idx="500">
                  <c:v>8.7394957983193411E-3</c:v>
                </c:pt>
                <c:pt idx="501">
                  <c:v>4.7280984556534733E-3</c:v>
                </c:pt>
                <c:pt idx="502">
                  <c:v>2.0305246034018065E-3</c:v>
                </c:pt>
                <c:pt idx="503">
                  <c:v>3.3955177115274626E-3</c:v>
                </c:pt>
                <c:pt idx="504">
                  <c:v>2.613240327064803E-2</c:v>
                </c:pt>
                <c:pt idx="505">
                  <c:v>-1.7795962279122612E-2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F-41F6-9704-6A7EC2FE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Sheet4!$W$4</c:f>
              <c:strCache>
                <c:ptCount val="1"/>
                <c:pt idx="0">
                  <c:v>VALMT.HE.csv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Sheet4!$M$5:$M$511</c:f>
              <c:numCache>
                <c:formatCode>0.0\ %</c:formatCode>
                <c:ptCount val="507"/>
                <c:pt idx="0">
                  <c:v>2.3870791414416281E-2</c:v>
                </c:pt>
                <c:pt idx="1">
                  <c:v>-1.1976682254781545E-2</c:v>
                </c:pt>
                <c:pt idx="2">
                  <c:v>-3.87606913687355E-3</c:v>
                </c:pt>
                <c:pt idx="3">
                  <c:v>1.5070128813967631E-2</c:v>
                </c:pt>
                <c:pt idx="4">
                  <c:v>7.1353306438921571E-3</c:v>
                </c:pt>
                <c:pt idx="5">
                  <c:v>1.2082795534626323E-2</c:v>
                </c:pt>
                <c:pt idx="6">
                  <c:v>1.2044023919777214E-2</c:v>
                </c:pt>
                <c:pt idx="7">
                  <c:v>4.9299048799080758E-3</c:v>
                </c:pt>
                <c:pt idx="8">
                  <c:v>3.9875671170761073E-2</c:v>
                </c:pt>
                <c:pt idx="9">
                  <c:v>-3.4809907453071665E-2</c:v>
                </c:pt>
                <c:pt idx="10">
                  <c:v>1.2202115135412583E-2</c:v>
                </c:pt>
                <c:pt idx="11">
                  <c:v>4.8419884320081374E-2</c:v>
                </c:pt>
                <c:pt idx="12">
                  <c:v>-1.1518555178256729E-2</c:v>
                </c:pt>
                <c:pt idx="13">
                  <c:v>3.0438019383756343E-2</c:v>
                </c:pt>
                <c:pt idx="14">
                  <c:v>4.465704768760892E-2</c:v>
                </c:pt>
                <c:pt idx="15">
                  <c:v>1.1186602536695345E-2</c:v>
                </c:pt>
                <c:pt idx="16">
                  <c:v>-1.2407361688393514E-2</c:v>
                </c:pt>
                <c:pt idx="17">
                  <c:v>-3.9162742568368381E-2</c:v>
                </c:pt>
                <c:pt idx="18">
                  <c:v>-3.3215955336024505E-3</c:v>
                </c:pt>
                <c:pt idx="19">
                  <c:v>-1.9135305980868322E-2</c:v>
                </c:pt>
                <c:pt idx="20">
                  <c:v>-3.7510562626969945E-2</c:v>
                </c:pt>
                <c:pt idx="21">
                  <c:v>1.6013865796348004E-2</c:v>
                </c:pt>
                <c:pt idx="22">
                  <c:v>-3.3109408511670324E-2</c:v>
                </c:pt>
                <c:pt idx="23">
                  <c:v>3.9782818135656317E-3</c:v>
                </c:pt>
                <c:pt idx="24">
                  <c:v>-1.4008946840327052E-4</c:v>
                </c:pt>
                <c:pt idx="25">
                  <c:v>-4.1915804347114616E-3</c:v>
                </c:pt>
                <c:pt idx="26">
                  <c:v>-3.0880144198633941E-3</c:v>
                </c:pt>
                <c:pt idx="27">
                  <c:v>1.3406356671524566E-2</c:v>
                </c:pt>
                <c:pt idx="28">
                  <c:v>8.8283439106171535E-3</c:v>
                </c:pt>
                <c:pt idx="29">
                  <c:v>1.222149436795994E-2</c:v>
                </c:pt>
                <c:pt idx="30">
                  <c:v>-8.8590915847729379E-3</c:v>
                </c:pt>
                <c:pt idx="31">
                  <c:v>-2.4944563024025812E-2</c:v>
                </c:pt>
                <c:pt idx="32">
                  <c:v>9.6269108122155611E-3</c:v>
                </c:pt>
                <c:pt idx="33">
                  <c:v>9.8658044258890243E-3</c:v>
                </c:pt>
                <c:pt idx="34">
                  <c:v>-1.0083737654616787E-2</c:v>
                </c:pt>
                <c:pt idx="35">
                  <c:v>-1.3958771933159086E-3</c:v>
                </c:pt>
                <c:pt idx="36">
                  <c:v>-2.0397443597534037E-3</c:v>
                </c:pt>
                <c:pt idx="37">
                  <c:v>1.2371938453381581E-2</c:v>
                </c:pt>
                <c:pt idx="38">
                  <c:v>4.4205429567027998E-3</c:v>
                </c:pt>
                <c:pt idx="39">
                  <c:v>-2.0413543184669591E-2</c:v>
                </c:pt>
                <c:pt idx="40">
                  <c:v>1.4765025835303147E-2</c:v>
                </c:pt>
                <c:pt idx="41">
                  <c:v>-1.3488049957282033E-3</c:v>
                </c:pt>
                <c:pt idx="42">
                  <c:v>7.4151274572176185E-4</c:v>
                </c:pt>
                <c:pt idx="43">
                  <c:v>-4.8817974452537438E-3</c:v>
                </c:pt>
                <c:pt idx="44">
                  <c:v>-2.9609913571166935E-3</c:v>
                </c:pt>
                <c:pt idx="45">
                  <c:v>-1.0465295070101521E-2</c:v>
                </c:pt>
                <c:pt idx="46">
                  <c:v>-1.2804911030323773E-2</c:v>
                </c:pt>
                <c:pt idx="47">
                  <c:v>1.6648988366276374E-2</c:v>
                </c:pt>
                <c:pt idx="48">
                  <c:v>2.5703482369054509E-2</c:v>
                </c:pt>
                <c:pt idx="49">
                  <c:v>-2.2163841449633903E-3</c:v>
                </c:pt>
                <c:pt idx="50">
                  <c:v>-1.6168213242365725E-2</c:v>
                </c:pt>
                <c:pt idx="51">
                  <c:v>1.0362855885829969E-2</c:v>
                </c:pt>
                <c:pt idx="52">
                  <c:v>-2.5355686945980338E-3</c:v>
                </c:pt>
                <c:pt idx="53">
                  <c:v>1.4994205220581813E-2</c:v>
                </c:pt>
                <c:pt idx="54">
                  <c:v>-1.2406163697679662E-2</c:v>
                </c:pt>
                <c:pt idx="55">
                  <c:v>1.0966854740115606E-2</c:v>
                </c:pt>
                <c:pt idx="56">
                  <c:v>1.3127414521064029E-2</c:v>
                </c:pt>
                <c:pt idx="57">
                  <c:v>1.0103740036572217E-2</c:v>
                </c:pt>
                <c:pt idx="58">
                  <c:v>3.5532189738468167E-2</c:v>
                </c:pt>
                <c:pt idx="59">
                  <c:v>-6.4053101308421123E-3</c:v>
                </c:pt>
                <c:pt idx="60">
                  <c:v>-1.8838848570314592E-2</c:v>
                </c:pt>
                <c:pt idx="61">
                  <c:v>2.4503484974718326E-3</c:v>
                </c:pt>
                <c:pt idx="62">
                  <c:v>-1.9874929556194743E-2</c:v>
                </c:pt>
                <c:pt idx="63">
                  <c:v>-2.1337445559335144E-3</c:v>
                </c:pt>
                <c:pt idx="64">
                  <c:v>-1.4747094556950113E-2</c:v>
                </c:pt>
                <c:pt idx="65">
                  <c:v>1.1571771622778781E-2</c:v>
                </c:pt>
                <c:pt idx="66">
                  <c:v>1.2845089011720656E-2</c:v>
                </c:pt>
                <c:pt idx="67">
                  <c:v>-8.3585112312245524E-3</c:v>
                </c:pt>
                <c:pt idx="68">
                  <c:v>-1.3338226628601069E-2</c:v>
                </c:pt>
                <c:pt idx="69">
                  <c:v>5.5746773887030976E-3</c:v>
                </c:pt>
                <c:pt idx="70">
                  <c:v>-1.4130827723125683E-2</c:v>
                </c:pt>
                <c:pt idx="71">
                  <c:v>-1.6240018749295593E-2</c:v>
                </c:pt>
                <c:pt idx="72">
                  <c:v>-2.5409268570704135E-3</c:v>
                </c:pt>
                <c:pt idx="73">
                  <c:v>1.8896233310322641E-2</c:v>
                </c:pt>
                <c:pt idx="74">
                  <c:v>7.7043373619745115E-3</c:v>
                </c:pt>
                <c:pt idx="75">
                  <c:v>-7.0671291795993962E-3</c:v>
                </c:pt>
                <c:pt idx="76">
                  <c:v>-2.5038290794581197E-3</c:v>
                </c:pt>
                <c:pt idx="79">
                  <c:v>2.0576444635755919E-4</c:v>
                </c:pt>
                <c:pt idx="80">
                  <c:v>1.1785495948383407E-2</c:v>
                </c:pt>
                <c:pt idx="81">
                  <c:v>2.4127013981955381E-2</c:v>
                </c:pt>
                <c:pt idx="82">
                  <c:v>2.8125521096439954E-2</c:v>
                </c:pt>
                <c:pt idx="83">
                  <c:v>1.3234816631713109E-4</c:v>
                </c:pt>
                <c:pt idx="84">
                  <c:v>-1.2883048993660107E-2</c:v>
                </c:pt>
                <c:pt idx="85">
                  <c:v>2.9673854388611698E-2</c:v>
                </c:pt>
                <c:pt idx="86">
                  <c:v>-7.1872703300119856E-3</c:v>
                </c:pt>
                <c:pt idx="87">
                  <c:v>-1.9191033494190268E-2</c:v>
                </c:pt>
                <c:pt idx="88">
                  <c:v>-5.9292420191322526E-3</c:v>
                </c:pt>
                <c:pt idx="89">
                  <c:v>1.5333283268440301E-2</c:v>
                </c:pt>
                <c:pt idx="90">
                  <c:v>3.0311821311081788E-2</c:v>
                </c:pt>
                <c:pt idx="91">
                  <c:v>-3.2532562163820611E-2</c:v>
                </c:pt>
                <c:pt idx="92">
                  <c:v>-6.216879530341668E-3</c:v>
                </c:pt>
                <c:pt idx="93">
                  <c:v>1.4299758066032675E-2</c:v>
                </c:pt>
                <c:pt idx="94">
                  <c:v>2.1379903245792864E-2</c:v>
                </c:pt>
                <c:pt idx="95">
                  <c:v>-8.8380224620906445E-3</c:v>
                </c:pt>
                <c:pt idx="96">
                  <c:v>-2.4724458928058191E-3</c:v>
                </c:pt>
                <c:pt idx="97">
                  <c:v>2.0354669558140914E-2</c:v>
                </c:pt>
                <c:pt idx="98">
                  <c:v>-6.5066203871148032E-3</c:v>
                </c:pt>
                <c:pt idx="99">
                  <c:v>-2.4530941740968037E-2</c:v>
                </c:pt>
                <c:pt idx="100">
                  <c:v>-5.6686362383036037E-3</c:v>
                </c:pt>
                <c:pt idx="101">
                  <c:v>1.5171562870037958E-2</c:v>
                </c:pt>
                <c:pt idx="102">
                  <c:v>-6.5610267667569611E-3</c:v>
                </c:pt>
                <c:pt idx="103">
                  <c:v>1.3401850536225002E-2</c:v>
                </c:pt>
                <c:pt idx="104">
                  <c:v>1.4031287396752523E-2</c:v>
                </c:pt>
                <c:pt idx="105">
                  <c:v>-1.5779928703411716E-2</c:v>
                </c:pt>
                <c:pt idx="106">
                  <c:v>-1.0056716922057896E-2</c:v>
                </c:pt>
                <c:pt idx="107">
                  <c:v>-1.1937067724764661E-2</c:v>
                </c:pt>
                <c:pt idx="108">
                  <c:v>-4.9277063134397503E-3</c:v>
                </c:pt>
                <c:pt idx="109">
                  <c:v>-1.1172236797995616E-2</c:v>
                </c:pt>
                <c:pt idx="110">
                  <c:v>1.1650280343185715E-2</c:v>
                </c:pt>
                <c:pt idx="111">
                  <c:v>-2.000020907224842E-3</c:v>
                </c:pt>
                <c:pt idx="112">
                  <c:v>5.862786265738773E-3</c:v>
                </c:pt>
                <c:pt idx="113">
                  <c:v>1.6067740348759685E-3</c:v>
                </c:pt>
                <c:pt idx="114">
                  <c:v>-2.2990632632181818E-2</c:v>
                </c:pt>
                <c:pt idx="115">
                  <c:v>-1.1725450320914654E-2</c:v>
                </c:pt>
                <c:pt idx="116">
                  <c:v>-2.0975560426861328E-3</c:v>
                </c:pt>
                <c:pt idx="117">
                  <c:v>1.3984994488583924E-2</c:v>
                </c:pt>
                <c:pt idx="118">
                  <c:v>-6.2047002826784992E-3</c:v>
                </c:pt>
                <c:pt idx="119">
                  <c:v>-7.1203827130811304E-3</c:v>
                </c:pt>
                <c:pt idx="120">
                  <c:v>6.7788071857692866E-3</c:v>
                </c:pt>
                <c:pt idx="121">
                  <c:v>-7.6546077564374482E-3</c:v>
                </c:pt>
                <c:pt idx="122">
                  <c:v>6.8356881034798977E-3</c:v>
                </c:pt>
                <c:pt idx="123">
                  <c:v>-1.5845511284770408E-2</c:v>
                </c:pt>
                <c:pt idx="124">
                  <c:v>-4.5037219134093087E-3</c:v>
                </c:pt>
                <c:pt idx="125">
                  <c:v>1.1585791550261515E-3</c:v>
                </c:pt>
                <c:pt idx="126">
                  <c:v>2.9212554613913255E-3</c:v>
                </c:pt>
                <c:pt idx="127">
                  <c:v>-1.0361263906489504E-2</c:v>
                </c:pt>
                <c:pt idx="128">
                  <c:v>1.7781315859274782E-2</c:v>
                </c:pt>
                <c:pt idx="129">
                  <c:v>-8.6542590929822305E-3</c:v>
                </c:pt>
                <c:pt idx="130">
                  <c:v>6.6597827625929362E-3</c:v>
                </c:pt>
                <c:pt idx="131">
                  <c:v>1.2872118540099509E-2</c:v>
                </c:pt>
                <c:pt idx="132">
                  <c:v>-2.710948570122329E-3</c:v>
                </c:pt>
                <c:pt idx="133">
                  <c:v>-5.477726055312937E-4</c:v>
                </c:pt>
                <c:pt idx="134">
                  <c:v>-3.6162011086027235E-3</c:v>
                </c:pt>
                <c:pt idx="135">
                  <c:v>1.2063224518624294E-2</c:v>
                </c:pt>
                <c:pt idx="136">
                  <c:v>8.9893352872827403E-3</c:v>
                </c:pt>
                <c:pt idx="137">
                  <c:v>-3.8062530653593107E-4</c:v>
                </c:pt>
                <c:pt idx="138">
                  <c:v>2.0634443293277016E-4</c:v>
                </c:pt>
                <c:pt idx="139">
                  <c:v>2.5491573030077763E-2</c:v>
                </c:pt>
                <c:pt idx="140">
                  <c:v>-1.8411317240263125E-2</c:v>
                </c:pt>
                <c:pt idx="141">
                  <c:v>1.7604795261260575E-2</c:v>
                </c:pt>
                <c:pt idx="142">
                  <c:v>-5.6176479472391794E-4</c:v>
                </c:pt>
                <c:pt idx="143">
                  <c:v>-4.2904302518184112E-3</c:v>
                </c:pt>
                <c:pt idx="144">
                  <c:v>-1.9041425080291718E-3</c:v>
                </c:pt>
                <c:pt idx="145">
                  <c:v>-1.5812507650618257E-2</c:v>
                </c:pt>
                <c:pt idx="146">
                  <c:v>-1.5068794790110029E-2</c:v>
                </c:pt>
                <c:pt idx="147">
                  <c:v>1.4931851903025928E-2</c:v>
                </c:pt>
                <c:pt idx="148">
                  <c:v>1.2787741912807515E-2</c:v>
                </c:pt>
                <c:pt idx="149">
                  <c:v>-1.6122479774390852E-3</c:v>
                </c:pt>
                <c:pt idx="150">
                  <c:v>9.4391770853050616E-3</c:v>
                </c:pt>
                <c:pt idx="151">
                  <c:v>8.5401492839991544E-3</c:v>
                </c:pt>
                <c:pt idx="152">
                  <c:v>1.5805454473781122E-2</c:v>
                </c:pt>
                <c:pt idx="153">
                  <c:v>-1.1739104172668657E-2</c:v>
                </c:pt>
                <c:pt idx="154">
                  <c:v>1.5239260706907176E-2</c:v>
                </c:pt>
                <c:pt idx="155">
                  <c:v>1.9549596920312551E-2</c:v>
                </c:pt>
                <c:pt idx="156">
                  <c:v>5.1568905452996638E-3</c:v>
                </c:pt>
                <c:pt idx="157">
                  <c:v>-3.4261853127274255E-3</c:v>
                </c:pt>
                <c:pt idx="158">
                  <c:v>-3.9080563246051137E-3</c:v>
                </c:pt>
                <c:pt idx="159">
                  <c:v>2.2871713437805807E-2</c:v>
                </c:pt>
                <c:pt idx="160">
                  <c:v>-1.8186398515831259E-2</c:v>
                </c:pt>
                <c:pt idx="161">
                  <c:v>-1.4954285581666449E-2</c:v>
                </c:pt>
                <c:pt idx="162">
                  <c:v>-3.0191326977565325E-2</c:v>
                </c:pt>
                <c:pt idx="163">
                  <c:v>1.3570493709553988E-2</c:v>
                </c:pt>
                <c:pt idx="164">
                  <c:v>6.6300852797496201E-3</c:v>
                </c:pt>
                <c:pt idx="165">
                  <c:v>2.0673789265718501E-2</c:v>
                </c:pt>
                <c:pt idx="166">
                  <c:v>1.3456845645209992E-3</c:v>
                </c:pt>
                <c:pt idx="167">
                  <c:v>-3.4995080520716648E-4</c:v>
                </c:pt>
                <c:pt idx="168">
                  <c:v>2.757146836845914E-3</c:v>
                </c:pt>
                <c:pt idx="169">
                  <c:v>-7.6855423031578773E-3</c:v>
                </c:pt>
                <c:pt idx="170">
                  <c:v>-1.4374475903962125E-2</c:v>
                </c:pt>
                <c:pt idx="171">
                  <c:v>-1.9748663600601679E-2</c:v>
                </c:pt>
                <c:pt idx="172">
                  <c:v>-6.6361574943374357E-3</c:v>
                </c:pt>
                <c:pt idx="173">
                  <c:v>6.5617398227320045E-3</c:v>
                </c:pt>
                <c:pt idx="174">
                  <c:v>9.3614869218130448E-3</c:v>
                </c:pt>
                <c:pt idx="175">
                  <c:v>-4.402905961142789E-5</c:v>
                </c:pt>
                <c:pt idx="176">
                  <c:v>-9.639927973059681E-3</c:v>
                </c:pt>
                <c:pt idx="177">
                  <c:v>-8.7331151013909647E-3</c:v>
                </c:pt>
                <c:pt idx="178">
                  <c:v>-1.0972834203692883E-2</c:v>
                </c:pt>
                <c:pt idx="179">
                  <c:v>4.1118044282928423E-3</c:v>
                </c:pt>
                <c:pt idx="180">
                  <c:v>1.041156340087479E-2</c:v>
                </c:pt>
                <c:pt idx="181">
                  <c:v>-4.4275215730527062E-4</c:v>
                </c:pt>
                <c:pt idx="182">
                  <c:v>-8.6193054521163104E-3</c:v>
                </c:pt>
                <c:pt idx="183">
                  <c:v>5.7837717576674219E-3</c:v>
                </c:pt>
                <c:pt idx="184">
                  <c:v>6.9946494397292724E-3</c:v>
                </c:pt>
                <c:pt idx="185">
                  <c:v>-2.7674944692075654E-2</c:v>
                </c:pt>
                <c:pt idx="186">
                  <c:v>-1.0377882430901542E-2</c:v>
                </c:pt>
                <c:pt idx="187">
                  <c:v>-8.4372815961346603E-3</c:v>
                </c:pt>
                <c:pt idx="188">
                  <c:v>-1.2379550282071161E-3</c:v>
                </c:pt>
                <c:pt idx="189">
                  <c:v>-1.2712425021621176E-2</c:v>
                </c:pt>
                <c:pt idx="190">
                  <c:v>-2.4466453346142503E-3</c:v>
                </c:pt>
                <c:pt idx="191">
                  <c:v>-2.1861435463167433E-3</c:v>
                </c:pt>
                <c:pt idx="192">
                  <c:v>1.1321268346131674E-3</c:v>
                </c:pt>
                <c:pt idx="193">
                  <c:v>5.7962123960360046E-3</c:v>
                </c:pt>
                <c:pt idx="194">
                  <c:v>1.0776066721707389E-2</c:v>
                </c:pt>
                <c:pt idx="195">
                  <c:v>-1.0378519986706802E-2</c:v>
                </c:pt>
                <c:pt idx="196">
                  <c:v>3.7745663344257441E-3</c:v>
                </c:pt>
                <c:pt idx="197">
                  <c:v>-6.4383641582940188E-3</c:v>
                </c:pt>
                <c:pt idx="198">
                  <c:v>-4.0150133710851188E-3</c:v>
                </c:pt>
                <c:pt idx="199">
                  <c:v>-4.0049918348999958E-3</c:v>
                </c:pt>
                <c:pt idx="200">
                  <c:v>-9.8148773815587287E-4</c:v>
                </c:pt>
                <c:pt idx="201">
                  <c:v>1.3583331020706746E-2</c:v>
                </c:pt>
                <c:pt idx="202">
                  <c:v>-7.9341239240807715E-3</c:v>
                </c:pt>
                <c:pt idx="203">
                  <c:v>-6.4073268442028652E-3</c:v>
                </c:pt>
                <c:pt idx="204">
                  <c:v>-1.1707553513138347E-2</c:v>
                </c:pt>
                <c:pt idx="205">
                  <c:v>-4.2554757115780273E-3</c:v>
                </c:pt>
                <c:pt idx="206">
                  <c:v>-1.5176997193988573E-4</c:v>
                </c:pt>
                <c:pt idx="209">
                  <c:v>2.6377090556488625E-3</c:v>
                </c:pt>
                <c:pt idx="210">
                  <c:v>-1.3684590656687257E-2</c:v>
                </c:pt>
                <c:pt idx="211">
                  <c:v>1.1266725531700938E-2</c:v>
                </c:pt>
                <c:pt idx="212">
                  <c:v>-7.1330948319110465E-3</c:v>
                </c:pt>
                <c:pt idx="213">
                  <c:v>-7.070125923139825E-4</c:v>
                </c:pt>
                <c:pt idx="214">
                  <c:v>2.3108479391735104E-2</c:v>
                </c:pt>
                <c:pt idx="215">
                  <c:v>1.3768975672225681E-2</c:v>
                </c:pt>
                <c:pt idx="216">
                  <c:v>-8.406127988325407E-3</c:v>
                </c:pt>
                <c:pt idx="217">
                  <c:v>-4.5879221704248074E-3</c:v>
                </c:pt>
                <c:pt idx="218">
                  <c:v>-9.0479247021736375E-3</c:v>
                </c:pt>
                <c:pt idx="219">
                  <c:v>4.926146534179443E-3</c:v>
                </c:pt>
                <c:pt idx="220">
                  <c:v>-2.2209064032027159E-3</c:v>
                </c:pt>
                <c:pt idx="221">
                  <c:v>-8.0048559818246545E-4</c:v>
                </c:pt>
                <c:pt idx="222">
                  <c:v>5.4215166458955188E-3</c:v>
                </c:pt>
                <c:pt idx="223">
                  <c:v>-5.9031468924511943E-3</c:v>
                </c:pt>
                <c:pt idx="224">
                  <c:v>1.280718312850726E-2</c:v>
                </c:pt>
                <c:pt idx="225">
                  <c:v>-1.8627067153305865E-2</c:v>
                </c:pt>
                <c:pt idx="226">
                  <c:v>1.5317250313011677E-3</c:v>
                </c:pt>
                <c:pt idx="227">
                  <c:v>-6.1077658724922879E-3</c:v>
                </c:pt>
                <c:pt idx="228">
                  <c:v>-5.7524347248473218E-3</c:v>
                </c:pt>
                <c:pt idx="229">
                  <c:v>-1.9724877204565949E-2</c:v>
                </c:pt>
                <c:pt idx="230">
                  <c:v>1.2198571881301801E-2</c:v>
                </c:pt>
                <c:pt idx="231">
                  <c:v>-1.0135364937903235E-3</c:v>
                </c:pt>
                <c:pt idx="232">
                  <c:v>-8.8785346706111712E-3</c:v>
                </c:pt>
                <c:pt idx="233">
                  <c:v>3.7871951922872071E-3</c:v>
                </c:pt>
                <c:pt idx="234">
                  <c:v>-1.2786589354742972E-3</c:v>
                </c:pt>
                <c:pt idx="235">
                  <c:v>1.0087839663388554E-2</c:v>
                </c:pt>
                <c:pt idx="236">
                  <c:v>-5.1534197865134024E-3</c:v>
                </c:pt>
                <c:pt idx="237">
                  <c:v>1.2662342255860271E-2</c:v>
                </c:pt>
                <c:pt idx="238">
                  <c:v>-5.2034732066945644E-3</c:v>
                </c:pt>
                <c:pt idx="239">
                  <c:v>-7.6411361195767302E-3</c:v>
                </c:pt>
                <c:pt idx="240">
                  <c:v>2.1633478129217121E-3</c:v>
                </c:pt>
                <c:pt idx="241">
                  <c:v>8.483473547296061E-3</c:v>
                </c:pt>
                <c:pt idx="242">
                  <c:v>-7.7150260419990291E-3</c:v>
                </c:pt>
                <c:pt idx="243">
                  <c:v>-1.2725305772711692E-3</c:v>
                </c:pt>
                <c:pt idx="244">
                  <c:v>5.5093923610485263E-3</c:v>
                </c:pt>
                <c:pt idx="245">
                  <c:v>9.6447225376918855E-3</c:v>
                </c:pt>
                <c:pt idx="246">
                  <c:v>-7.3626872176337788E-3</c:v>
                </c:pt>
                <c:pt idx="247">
                  <c:v>-1.701967269956528E-2</c:v>
                </c:pt>
                <c:pt idx="248">
                  <c:v>6.6032616946287703E-4</c:v>
                </c:pt>
                <c:pt idx="249">
                  <c:v>1.0006540517423002E-2</c:v>
                </c:pt>
                <c:pt idx="250">
                  <c:v>-5.7679863022286337E-4</c:v>
                </c:pt>
                <c:pt idx="251">
                  <c:v>-6.2512807952924687E-3</c:v>
                </c:pt>
                <c:pt idx="252">
                  <c:v>1.068117383957512E-3</c:v>
                </c:pt>
                <c:pt idx="253">
                  <c:v>1.5203528484706741E-2</c:v>
                </c:pt>
                <c:pt idx="254">
                  <c:v>-1.1933197225734715E-2</c:v>
                </c:pt>
                <c:pt idx="255">
                  <c:v>3.0669933666538363E-4</c:v>
                </c:pt>
                <c:pt idx="256">
                  <c:v>2.872994428692488E-3</c:v>
                </c:pt>
                <c:pt idx="257">
                  <c:v>-1.9441249077976064E-3</c:v>
                </c:pt>
                <c:pt idx="258">
                  <c:v>4.8287016315167186E-3</c:v>
                </c:pt>
                <c:pt idx="259">
                  <c:v>-4.6170025048557495E-3</c:v>
                </c:pt>
                <c:pt idx="260">
                  <c:v>3.2273459130656157E-3</c:v>
                </c:pt>
                <c:pt idx="261">
                  <c:v>-7.0042295342687133E-5</c:v>
                </c:pt>
                <c:pt idx="262">
                  <c:v>1.2499140306083678E-3</c:v>
                </c:pt>
                <c:pt idx="263">
                  <c:v>6.2445033068592171E-3</c:v>
                </c:pt>
                <c:pt idx="264">
                  <c:v>-1.369561965997268E-2</c:v>
                </c:pt>
                <c:pt idx="265">
                  <c:v>6.0270000675255453E-4</c:v>
                </c:pt>
                <c:pt idx="266">
                  <c:v>2.1330769120433413E-3</c:v>
                </c:pt>
                <c:pt idx="267">
                  <c:v>2.0614910107870088E-3</c:v>
                </c:pt>
                <c:pt idx="268">
                  <c:v>-1.2220013664213436E-2</c:v>
                </c:pt>
                <c:pt idx="269">
                  <c:v>4.8100399858006515E-3</c:v>
                </c:pt>
                <c:pt idx="270">
                  <c:v>8.01429767356443E-3</c:v>
                </c:pt>
                <c:pt idx="271">
                  <c:v>5.1190821849722568E-4</c:v>
                </c:pt>
                <c:pt idx="272">
                  <c:v>8.4958466415832046E-3</c:v>
                </c:pt>
                <c:pt idx="273">
                  <c:v>1.683072532849228E-2</c:v>
                </c:pt>
                <c:pt idx="274">
                  <c:v>2.212204453759492E-2</c:v>
                </c:pt>
                <c:pt idx="275">
                  <c:v>-1.1137894875167142E-2</c:v>
                </c:pt>
                <c:pt idx="276">
                  <c:v>3.3801688512465233E-2</c:v>
                </c:pt>
                <c:pt idx="277">
                  <c:v>-5.3427585708154535E-3</c:v>
                </c:pt>
                <c:pt idx="278">
                  <c:v>1.5809810789108036E-2</c:v>
                </c:pt>
                <c:pt idx="279">
                  <c:v>-1.0668066764307094E-2</c:v>
                </c:pt>
                <c:pt idx="280">
                  <c:v>-2.0206203639145492E-2</c:v>
                </c:pt>
                <c:pt idx="281">
                  <c:v>6.2333094141782119E-3</c:v>
                </c:pt>
                <c:pt idx="282">
                  <c:v>4.7758605882524119E-3</c:v>
                </c:pt>
                <c:pt idx="283">
                  <c:v>2.2039517900620975E-2</c:v>
                </c:pt>
                <c:pt idx="284">
                  <c:v>-7.0343063056962363E-3</c:v>
                </c:pt>
                <c:pt idx="285">
                  <c:v>1.1748844756196419E-3</c:v>
                </c:pt>
                <c:pt idx="286">
                  <c:v>-8.0253763934291511E-3</c:v>
                </c:pt>
                <c:pt idx="287">
                  <c:v>-1.5386700012030685E-2</c:v>
                </c:pt>
                <c:pt idx="288">
                  <c:v>-5.8878970210287651E-3</c:v>
                </c:pt>
                <c:pt idx="289">
                  <c:v>2.8989279082896058E-3</c:v>
                </c:pt>
                <c:pt idx="290">
                  <c:v>-3.6412303141950542E-3</c:v>
                </c:pt>
                <c:pt idx="291">
                  <c:v>7.7521216561229345E-3</c:v>
                </c:pt>
                <c:pt idx="292">
                  <c:v>-3.4007696952865762E-3</c:v>
                </c:pt>
                <c:pt idx="293">
                  <c:v>-1.1558553549611217E-2</c:v>
                </c:pt>
                <c:pt idx="294">
                  <c:v>6.3308716084895522E-3</c:v>
                </c:pt>
                <c:pt idx="295">
                  <c:v>-9.9352220792692236E-4</c:v>
                </c:pt>
                <c:pt idx="296">
                  <c:v>-6.3632277075224009E-3</c:v>
                </c:pt>
                <c:pt idx="297">
                  <c:v>6.7036372126816346E-4</c:v>
                </c:pt>
                <c:pt idx="298">
                  <c:v>2.036003019554089E-3</c:v>
                </c:pt>
                <c:pt idx="299">
                  <c:v>4.9238352907134963E-3</c:v>
                </c:pt>
                <c:pt idx="300">
                  <c:v>6.9890841810715809E-3</c:v>
                </c:pt>
                <c:pt idx="301">
                  <c:v>6.1895665058875338E-3</c:v>
                </c:pt>
                <c:pt idx="302">
                  <c:v>-1.6637564123913595E-3</c:v>
                </c:pt>
                <c:pt idx="303">
                  <c:v>2.1164226157781574E-3</c:v>
                </c:pt>
                <c:pt idx="304">
                  <c:v>-7.4875365678634953E-3</c:v>
                </c:pt>
                <c:pt idx="305">
                  <c:v>1.829868237184229E-4</c:v>
                </c:pt>
                <c:pt idx="306">
                  <c:v>1.0715483083665323E-3</c:v>
                </c:pt>
                <c:pt idx="307">
                  <c:v>9.4506481347411686E-3</c:v>
                </c:pt>
                <c:pt idx="308">
                  <c:v>-6.1398822195420921E-3</c:v>
                </c:pt>
                <c:pt idx="309">
                  <c:v>5.8443377941614916E-3</c:v>
                </c:pt>
                <c:pt idx="310">
                  <c:v>-1.2167733519012125E-2</c:v>
                </c:pt>
                <c:pt idx="311">
                  <c:v>-3.615385458130782E-3</c:v>
                </c:pt>
                <c:pt idx="312">
                  <c:v>1.3310714385077249E-2</c:v>
                </c:pt>
                <c:pt idx="313">
                  <c:v>-2.0760067208391852E-4</c:v>
                </c:pt>
                <c:pt idx="314">
                  <c:v>1.6741534017432613E-3</c:v>
                </c:pt>
                <c:pt idx="315">
                  <c:v>3.8406492577929274E-3</c:v>
                </c:pt>
                <c:pt idx="316">
                  <c:v>-2.5136044373560429E-3</c:v>
                </c:pt>
                <c:pt idx="317">
                  <c:v>1.2778001158082919E-2</c:v>
                </c:pt>
                <c:pt idx="318">
                  <c:v>3.3205983345037104E-3</c:v>
                </c:pt>
                <c:pt idx="319">
                  <c:v>-2.399338646478566E-3</c:v>
                </c:pt>
                <c:pt idx="320">
                  <c:v>3.2672156296393862E-3</c:v>
                </c:pt>
                <c:pt idx="321">
                  <c:v>-5.6129725820031062E-5</c:v>
                </c:pt>
                <c:pt idx="322">
                  <c:v>1.6499690280737056E-2</c:v>
                </c:pt>
                <c:pt idx="323">
                  <c:v>1.2228146558144637E-2</c:v>
                </c:pt>
                <c:pt idx="324">
                  <c:v>-9.7335251182196769E-3</c:v>
                </c:pt>
                <c:pt idx="325">
                  <c:v>1.1858713183108271E-3</c:v>
                </c:pt>
                <c:pt idx="326">
                  <c:v>2.665447789923503E-3</c:v>
                </c:pt>
                <c:pt idx="327">
                  <c:v>1.3777362068924992E-2</c:v>
                </c:pt>
                <c:pt idx="328">
                  <c:v>-7.0415266700039059E-3</c:v>
                </c:pt>
                <c:pt idx="329">
                  <c:v>-2.240859497797798E-2</c:v>
                </c:pt>
                <c:pt idx="330">
                  <c:v>-4.3268141479824163E-4</c:v>
                </c:pt>
                <c:pt idx="333">
                  <c:v>1.6308162044567087E-3</c:v>
                </c:pt>
                <c:pt idx="334">
                  <c:v>-3.6257254941711725E-3</c:v>
                </c:pt>
                <c:pt idx="335">
                  <c:v>-2.7223776176998893E-4</c:v>
                </c:pt>
                <c:pt idx="336">
                  <c:v>-9.2711114363442926E-3</c:v>
                </c:pt>
                <c:pt idx="337">
                  <c:v>-2.2122656745270364E-3</c:v>
                </c:pt>
                <c:pt idx="338">
                  <c:v>3.6627660489783054E-3</c:v>
                </c:pt>
                <c:pt idx="339">
                  <c:v>1.0878724187819433E-3</c:v>
                </c:pt>
                <c:pt idx="340">
                  <c:v>1.1502335775202432E-2</c:v>
                </c:pt>
                <c:pt idx="341">
                  <c:v>1.7873281917540673E-2</c:v>
                </c:pt>
                <c:pt idx="342">
                  <c:v>1.8187143863168442E-2</c:v>
                </c:pt>
                <c:pt idx="343">
                  <c:v>1.696784032217713E-2</c:v>
                </c:pt>
                <c:pt idx="344">
                  <c:v>1.1672820963171127E-4</c:v>
                </c:pt>
                <c:pt idx="345">
                  <c:v>-2.457747008277833E-3</c:v>
                </c:pt>
                <c:pt idx="346">
                  <c:v>-7.0651279669177169E-3</c:v>
                </c:pt>
                <c:pt idx="347">
                  <c:v>2.8199517455558265E-3</c:v>
                </c:pt>
                <c:pt idx="348">
                  <c:v>-4.3056181508150937E-3</c:v>
                </c:pt>
                <c:pt idx="349">
                  <c:v>-8.6487973295108489E-3</c:v>
                </c:pt>
                <c:pt idx="350">
                  <c:v>-6.9703801216980388E-4</c:v>
                </c:pt>
                <c:pt idx="351">
                  <c:v>6.3041905055392089E-3</c:v>
                </c:pt>
                <c:pt idx="352">
                  <c:v>1.8684462045394978E-2</c:v>
                </c:pt>
                <c:pt idx="353">
                  <c:v>-2.914144893365167E-3</c:v>
                </c:pt>
                <c:pt idx="354">
                  <c:v>2.1674482953135676E-3</c:v>
                </c:pt>
                <c:pt idx="355">
                  <c:v>-6.8044874156656387E-3</c:v>
                </c:pt>
                <c:pt idx="356">
                  <c:v>-1.2630917562431732E-2</c:v>
                </c:pt>
                <c:pt idx="357">
                  <c:v>-5.8797995809697357E-3</c:v>
                </c:pt>
                <c:pt idx="358">
                  <c:v>1.452381212410736E-2</c:v>
                </c:pt>
                <c:pt idx="359">
                  <c:v>6.0906590069267352E-3</c:v>
                </c:pt>
                <c:pt idx="360">
                  <c:v>-7.5276981308290969E-3</c:v>
                </c:pt>
                <c:pt idx="361">
                  <c:v>-2.0274616784002886E-3</c:v>
                </c:pt>
                <c:pt idx="362">
                  <c:v>3.189332046989346E-3</c:v>
                </c:pt>
                <c:pt idx="363">
                  <c:v>1.6575955817348387E-3</c:v>
                </c:pt>
                <c:pt idx="364">
                  <c:v>-3.2138997311274009E-3</c:v>
                </c:pt>
                <c:pt idx="365">
                  <c:v>-1.5041764005778391E-2</c:v>
                </c:pt>
                <c:pt idx="366">
                  <c:v>9.4306468790130715E-3</c:v>
                </c:pt>
                <c:pt idx="367">
                  <c:v>1.2175262705059309E-2</c:v>
                </c:pt>
                <c:pt idx="368">
                  <c:v>-1.9152089502638692E-4</c:v>
                </c:pt>
                <c:pt idx="369">
                  <c:v>-7.087923254295303E-4</c:v>
                </c:pt>
                <c:pt idx="370">
                  <c:v>2.7192563704383499E-3</c:v>
                </c:pt>
                <c:pt idx="371">
                  <c:v>1.5531055429201635E-2</c:v>
                </c:pt>
                <c:pt idx="372">
                  <c:v>1.0073991188646714E-2</c:v>
                </c:pt>
                <c:pt idx="373">
                  <c:v>-5.9436444476564931E-3</c:v>
                </c:pt>
                <c:pt idx="374">
                  <c:v>-1.4494496758056252E-3</c:v>
                </c:pt>
                <c:pt idx="375">
                  <c:v>7.6095096236667992E-3</c:v>
                </c:pt>
                <c:pt idx="376">
                  <c:v>-1.2189872475689256E-2</c:v>
                </c:pt>
                <c:pt idx="377">
                  <c:v>-7.0589458333415456E-3</c:v>
                </c:pt>
                <c:pt idx="378">
                  <c:v>1.0502156434538445E-2</c:v>
                </c:pt>
                <c:pt idx="379">
                  <c:v>7.7834866837145356E-3</c:v>
                </c:pt>
                <c:pt idx="380">
                  <c:v>5.5709784465696188E-3</c:v>
                </c:pt>
                <c:pt idx="381">
                  <c:v>3.3975508019876699E-3</c:v>
                </c:pt>
                <c:pt idx="382">
                  <c:v>1.5166647177107251E-3</c:v>
                </c:pt>
                <c:pt idx="383">
                  <c:v>3.8671585537968234E-3</c:v>
                </c:pt>
                <c:pt idx="384">
                  <c:v>1.9682979309494364E-3</c:v>
                </c:pt>
                <c:pt idx="385">
                  <c:v>-9.1827578475994764E-3</c:v>
                </c:pt>
                <c:pt idx="386">
                  <c:v>-2.7960738223157255E-3</c:v>
                </c:pt>
                <c:pt idx="387">
                  <c:v>5.9898520267194222E-3</c:v>
                </c:pt>
                <c:pt idx="388">
                  <c:v>-1.2097888392219591E-3</c:v>
                </c:pt>
                <c:pt idx="389">
                  <c:v>-1.443099605347864E-2</c:v>
                </c:pt>
                <c:pt idx="390">
                  <c:v>-1.7262331367128958E-2</c:v>
                </c:pt>
                <c:pt idx="391">
                  <c:v>-5.4737144229448642E-3</c:v>
                </c:pt>
                <c:pt idx="392">
                  <c:v>3.3638078747439959E-3</c:v>
                </c:pt>
                <c:pt idx="393">
                  <c:v>-2.3102997820945159E-3</c:v>
                </c:pt>
                <c:pt idx="394">
                  <c:v>-3.6665209369302065E-4</c:v>
                </c:pt>
                <c:pt idx="395">
                  <c:v>1.6607507608670247E-3</c:v>
                </c:pt>
                <c:pt idx="396">
                  <c:v>-2.5190178632381599E-3</c:v>
                </c:pt>
                <c:pt idx="397">
                  <c:v>8.3615050060510399E-3</c:v>
                </c:pt>
                <c:pt idx="398">
                  <c:v>6.2805532528034114E-3</c:v>
                </c:pt>
                <c:pt idx="399">
                  <c:v>-1.0552756778603789E-2</c:v>
                </c:pt>
                <c:pt idx="400">
                  <c:v>1.1181293034956852E-2</c:v>
                </c:pt>
                <c:pt idx="401">
                  <c:v>3.5052770593075877E-3</c:v>
                </c:pt>
                <c:pt idx="402">
                  <c:v>-1.9772630910949163E-2</c:v>
                </c:pt>
                <c:pt idx="403">
                  <c:v>-1.3434643801133461E-3</c:v>
                </c:pt>
                <c:pt idx="404">
                  <c:v>5.2813745065711792E-3</c:v>
                </c:pt>
                <c:pt idx="405">
                  <c:v>3.1903779324538029E-3</c:v>
                </c:pt>
                <c:pt idx="406">
                  <c:v>-4.034516821038836E-3</c:v>
                </c:pt>
                <c:pt idx="407">
                  <c:v>1.0645347340944689E-2</c:v>
                </c:pt>
                <c:pt idx="408">
                  <c:v>3.3792919970332402E-3</c:v>
                </c:pt>
                <c:pt idx="409">
                  <c:v>1.187945986586314E-2</c:v>
                </c:pt>
                <c:pt idx="410">
                  <c:v>1.0035501749922071E-2</c:v>
                </c:pt>
                <c:pt idx="411">
                  <c:v>4.1561444660835889E-3</c:v>
                </c:pt>
                <c:pt idx="412">
                  <c:v>-5.6540110300494772E-3</c:v>
                </c:pt>
                <c:pt idx="413">
                  <c:v>-7.049995751044591E-3</c:v>
                </c:pt>
                <c:pt idx="414">
                  <c:v>1.1331944156254936E-2</c:v>
                </c:pt>
                <c:pt idx="415">
                  <c:v>1.4839115399553293E-2</c:v>
                </c:pt>
                <c:pt idx="416">
                  <c:v>5.1175046928557677E-3</c:v>
                </c:pt>
                <c:pt idx="417">
                  <c:v>9.1173397823451907E-4</c:v>
                </c:pt>
                <c:pt idx="418">
                  <c:v>-1.3034593860941524E-2</c:v>
                </c:pt>
                <c:pt idx="419">
                  <c:v>2.4740787148278542E-3</c:v>
                </c:pt>
                <c:pt idx="420">
                  <c:v>-2.22718115255367E-2</c:v>
                </c:pt>
                <c:pt idx="421">
                  <c:v>-2.9506758977521086E-3</c:v>
                </c:pt>
                <c:pt idx="422">
                  <c:v>1.0157204285277111E-3</c:v>
                </c:pt>
                <c:pt idx="423">
                  <c:v>8.3891470143877545E-3</c:v>
                </c:pt>
                <c:pt idx="424">
                  <c:v>-1.1664732451459603E-3</c:v>
                </c:pt>
                <c:pt idx="425">
                  <c:v>1.0268816455078822E-2</c:v>
                </c:pt>
                <c:pt idx="426">
                  <c:v>1.4884916740103726E-2</c:v>
                </c:pt>
                <c:pt idx="427">
                  <c:v>1.5828388901239387E-2</c:v>
                </c:pt>
                <c:pt idx="428">
                  <c:v>1.6811829429034697E-2</c:v>
                </c:pt>
                <c:pt idx="429">
                  <c:v>8.2112608346174287E-3</c:v>
                </c:pt>
                <c:pt idx="430">
                  <c:v>-1.2715634470344406E-2</c:v>
                </c:pt>
                <c:pt idx="431">
                  <c:v>1.6364635854568821E-3</c:v>
                </c:pt>
                <c:pt idx="432">
                  <c:v>-6.5007116926080188E-3</c:v>
                </c:pt>
                <c:pt idx="433">
                  <c:v>-1.2222250704583271E-3</c:v>
                </c:pt>
                <c:pt idx="434">
                  <c:v>-2.2372433599505692E-3</c:v>
                </c:pt>
                <c:pt idx="435">
                  <c:v>-1.2496076158646785E-2</c:v>
                </c:pt>
                <c:pt idx="436">
                  <c:v>2.1118467925729245E-3</c:v>
                </c:pt>
                <c:pt idx="437">
                  <c:v>-2.3807373020450218E-2</c:v>
                </c:pt>
                <c:pt idx="438">
                  <c:v>-7.3017009390206056E-3</c:v>
                </c:pt>
                <c:pt idx="439">
                  <c:v>-2.1315278202564958E-3</c:v>
                </c:pt>
                <c:pt idx="440">
                  <c:v>4.5780010388776216E-3</c:v>
                </c:pt>
                <c:pt idx="441">
                  <c:v>-8.2274272987037378E-3</c:v>
                </c:pt>
                <c:pt idx="442">
                  <c:v>-1.0132467805049283E-2</c:v>
                </c:pt>
                <c:pt idx="443">
                  <c:v>1.0987375817310685E-2</c:v>
                </c:pt>
                <c:pt idx="444">
                  <c:v>-2.2421916409572917E-3</c:v>
                </c:pt>
                <c:pt idx="445">
                  <c:v>-1.9359716792975434E-2</c:v>
                </c:pt>
                <c:pt idx="446">
                  <c:v>-3.0340978204907998E-3</c:v>
                </c:pt>
                <c:pt idx="447">
                  <c:v>1.22013489410564E-2</c:v>
                </c:pt>
                <c:pt idx="448">
                  <c:v>-1.110838854051277E-2</c:v>
                </c:pt>
                <c:pt idx="449">
                  <c:v>-7.1646316494777817E-4</c:v>
                </c:pt>
                <c:pt idx="450">
                  <c:v>5.6738652119101562E-3</c:v>
                </c:pt>
                <c:pt idx="451">
                  <c:v>2.7211384052534537E-3</c:v>
                </c:pt>
                <c:pt idx="452">
                  <c:v>-4.9925901940520712E-3</c:v>
                </c:pt>
                <c:pt idx="453">
                  <c:v>-5.6460491306309368E-4</c:v>
                </c:pt>
                <c:pt idx="454">
                  <c:v>4.903421602932001E-3</c:v>
                </c:pt>
                <c:pt idx="455">
                  <c:v>-2.7141587119032806E-3</c:v>
                </c:pt>
                <c:pt idx="456">
                  <c:v>-3.8972913137937937E-3</c:v>
                </c:pt>
                <c:pt idx="457">
                  <c:v>-3.3112508934285412E-3</c:v>
                </c:pt>
                <c:pt idx="458">
                  <c:v>-8.5156409208105854E-3</c:v>
                </c:pt>
                <c:pt idx="459">
                  <c:v>1.3620936211798051E-2</c:v>
                </c:pt>
                <c:pt idx="460">
                  <c:v>2.2011234838605898E-3</c:v>
                </c:pt>
                <c:pt idx="463">
                  <c:v>-1.0015022233396342E-2</c:v>
                </c:pt>
                <c:pt idx="464">
                  <c:v>3.5920212132871665E-3</c:v>
                </c:pt>
                <c:pt idx="465">
                  <c:v>7.7337210766297293E-3</c:v>
                </c:pt>
                <c:pt idx="466">
                  <c:v>5.6872457942611643E-3</c:v>
                </c:pt>
                <c:pt idx="467">
                  <c:v>-1.7903075869033835E-2</c:v>
                </c:pt>
                <c:pt idx="468">
                  <c:v>3.0877921276648568E-3</c:v>
                </c:pt>
                <c:pt idx="469">
                  <c:v>-2.4256131407943693E-3</c:v>
                </c:pt>
                <c:pt idx="470">
                  <c:v>-9.2557336519069056E-3</c:v>
                </c:pt>
                <c:pt idx="471">
                  <c:v>-2.1465598989812706E-3</c:v>
                </c:pt>
                <c:pt idx="472">
                  <c:v>3.7533261020203934E-3</c:v>
                </c:pt>
                <c:pt idx="473">
                  <c:v>-9.4373671543139803E-3</c:v>
                </c:pt>
                <c:pt idx="474">
                  <c:v>-5.3894956819298123E-3</c:v>
                </c:pt>
                <c:pt idx="475">
                  <c:v>3.6738278696479831E-3</c:v>
                </c:pt>
                <c:pt idx="476">
                  <c:v>2.9384646860430852E-3</c:v>
                </c:pt>
                <c:pt idx="477">
                  <c:v>-4.6461006393998527E-3</c:v>
                </c:pt>
                <c:pt idx="478">
                  <c:v>1.1375291410313348E-2</c:v>
                </c:pt>
                <c:pt idx="479">
                  <c:v>-1.523890598912403E-2</c:v>
                </c:pt>
                <c:pt idx="480">
                  <c:v>-4.8844128079995608E-3</c:v>
                </c:pt>
                <c:pt idx="481">
                  <c:v>-1.7423898460346976E-3</c:v>
                </c:pt>
                <c:pt idx="482">
                  <c:v>4.9901203370132929E-3</c:v>
                </c:pt>
                <c:pt idx="483">
                  <c:v>2.7403754566752703E-3</c:v>
                </c:pt>
                <c:pt idx="484">
                  <c:v>5.0022976413401921E-3</c:v>
                </c:pt>
                <c:pt idx="485">
                  <c:v>-9.0626717087050057E-3</c:v>
                </c:pt>
                <c:pt idx="486">
                  <c:v>2.408772689146188E-3</c:v>
                </c:pt>
                <c:pt idx="487">
                  <c:v>3.8561877983906978E-3</c:v>
                </c:pt>
                <c:pt idx="488">
                  <c:v>1.7717139979348318E-2</c:v>
                </c:pt>
                <c:pt idx="489">
                  <c:v>1.5780462228407455E-3</c:v>
                </c:pt>
                <c:pt idx="490">
                  <c:v>1.3488957073713337E-2</c:v>
                </c:pt>
                <c:pt idx="491">
                  <c:v>-6.5544867095063131E-3</c:v>
                </c:pt>
                <c:pt idx="492">
                  <c:v>-5.5470819348969469E-3</c:v>
                </c:pt>
                <c:pt idx="493">
                  <c:v>-8.9876995063469245E-3</c:v>
                </c:pt>
                <c:pt idx="494">
                  <c:v>-1.1574030945704195E-2</c:v>
                </c:pt>
                <c:pt idx="495">
                  <c:v>-9.0541178269142319E-3</c:v>
                </c:pt>
                <c:pt idx="496">
                  <c:v>2.1598102092634797E-4</c:v>
                </c:pt>
                <c:pt idx="497">
                  <c:v>5.8142732713308831E-3</c:v>
                </c:pt>
                <c:pt idx="498">
                  <c:v>1.6003783286511197E-3</c:v>
                </c:pt>
                <c:pt idx="499">
                  <c:v>1.4026246939596865E-2</c:v>
                </c:pt>
                <c:pt idx="500">
                  <c:v>1.4154012372529223E-3</c:v>
                </c:pt>
                <c:pt idx="501">
                  <c:v>1.0297926370223198E-2</c:v>
                </c:pt>
                <c:pt idx="502">
                  <c:v>-5.4729531613250115E-3</c:v>
                </c:pt>
                <c:pt idx="503">
                  <c:v>3.4323500527462247E-3</c:v>
                </c:pt>
                <c:pt idx="504">
                  <c:v>5.9591604224791261E-3</c:v>
                </c:pt>
                <c:pt idx="505">
                  <c:v>6.3686003987468709E-3</c:v>
                </c:pt>
              </c:numCache>
            </c:numRef>
          </c:xVal>
          <c:yVal>
            <c:numRef>
              <c:f>Sheet4!$W$5:$W$511</c:f>
              <c:numCache>
                <c:formatCode>0.0\ %</c:formatCode>
                <c:ptCount val="507"/>
                <c:pt idx="0">
                  <c:v>7.1141023119394298E-3</c:v>
                </c:pt>
                <c:pt idx="1">
                  <c:v>-9.1939392360687044E-3</c:v>
                </c:pt>
                <c:pt idx="2">
                  <c:v>1.1783022116214736E-2</c:v>
                </c:pt>
                <c:pt idx="3">
                  <c:v>1.7029255898722395E-2</c:v>
                </c:pt>
                <c:pt idx="4">
                  <c:v>1.3746825239314697E-2</c:v>
                </c:pt>
                <c:pt idx="5">
                  <c:v>7.7319060816316565E-3</c:v>
                </c:pt>
                <c:pt idx="6">
                  <c:v>-2.2500577546470391E-3</c:v>
                </c:pt>
                <c:pt idx="7">
                  <c:v>8.4278936045805164E-3</c:v>
                </c:pt>
                <c:pt idx="8">
                  <c:v>2.9706263638502817E-2</c:v>
                </c:pt>
                <c:pt idx="9">
                  <c:v>-4.0358759007193656E-2</c:v>
                </c:pt>
                <c:pt idx="10">
                  <c:v>3.8586181433033495E-3</c:v>
                </c:pt>
                <c:pt idx="11">
                  <c:v>2.5387256898548038E-2</c:v>
                </c:pt>
                <c:pt idx="12">
                  <c:v>-1.7492637192236815E-2</c:v>
                </c:pt>
                <c:pt idx="13">
                  <c:v>1.7804077459783185E-2</c:v>
                </c:pt>
                <c:pt idx="14">
                  <c:v>6.7581877674611546E-2</c:v>
                </c:pt>
                <c:pt idx="15">
                  <c:v>-3.1578685153257346E-3</c:v>
                </c:pt>
                <c:pt idx="16">
                  <c:v>-4.9999928895848478E-2</c:v>
                </c:pt>
                <c:pt idx="17">
                  <c:v>2.6737177059377171E-3</c:v>
                </c:pt>
                <c:pt idx="18">
                  <c:v>-1.5141507229347817E-2</c:v>
                </c:pt>
                <c:pt idx="19">
                  <c:v>-2.1578105171780826E-2</c:v>
                </c:pt>
                <c:pt idx="20">
                  <c:v>-4.0778444896554911E-2</c:v>
                </c:pt>
                <c:pt idx="21">
                  <c:v>2.0170106616400396E-2</c:v>
                </c:pt>
                <c:pt idx="22">
                  <c:v>-3.5855350334885738E-2</c:v>
                </c:pt>
                <c:pt idx="23">
                  <c:v>2.0148832118825455E-2</c:v>
                </c:pt>
                <c:pt idx="24">
                  <c:v>4.3586455432600424E-3</c:v>
                </c:pt>
                <c:pt idx="25">
                  <c:v>-3.0193236954314084E-2</c:v>
                </c:pt>
                <c:pt idx="26">
                  <c:v>2.538694015814813E-2</c:v>
                </c:pt>
                <c:pt idx="27">
                  <c:v>1.9337899939831482E-2</c:v>
                </c:pt>
                <c:pt idx="28">
                  <c:v>4.8453608844450713E-2</c:v>
                </c:pt>
                <c:pt idx="29">
                  <c:v>4.638623140270437E-2</c:v>
                </c:pt>
                <c:pt idx="30">
                  <c:v>-7.8487539839074971E-3</c:v>
                </c:pt>
                <c:pt idx="31">
                  <c:v>-3.3781479263520486E-2</c:v>
                </c:pt>
                <c:pt idx="32">
                  <c:v>2.2198783247524778E-2</c:v>
                </c:pt>
                <c:pt idx="33">
                  <c:v>6.0262614664854386E-3</c:v>
                </c:pt>
                <c:pt idx="34">
                  <c:v>-1.7693879998715856E-3</c:v>
                </c:pt>
                <c:pt idx="35">
                  <c:v>7.486774146708175E-3</c:v>
                </c:pt>
                <c:pt idx="36">
                  <c:v>3.3149121759567413E-2</c:v>
                </c:pt>
                <c:pt idx="37">
                  <c:v>7.3713321682533639E-4</c:v>
                </c:pt>
                <c:pt idx="38">
                  <c:v>3.8270195622704728E-2</c:v>
                </c:pt>
                <c:pt idx="39">
                  <c:v>-1.1724711270176158E-2</c:v>
                </c:pt>
                <c:pt idx="40">
                  <c:v>3.7269662915776935E-2</c:v>
                </c:pt>
                <c:pt idx="41">
                  <c:v>1.5716268036305436E-3</c:v>
                </c:pt>
                <c:pt idx="42">
                  <c:v>1.5741837349352306E-3</c:v>
                </c:pt>
                <c:pt idx="43">
                  <c:v>-2.1186375692749726E-2</c:v>
                </c:pt>
                <c:pt idx="44">
                  <c:v>-1.142424237805606E-2</c:v>
                </c:pt>
                <c:pt idx="45">
                  <c:v>-2.4517074818982021E-2</c:v>
                </c:pt>
                <c:pt idx="46">
                  <c:v>-3.8571511059609542E-2</c:v>
                </c:pt>
                <c:pt idx="47">
                  <c:v>4.790428367256272E-2</c:v>
                </c:pt>
                <c:pt idx="48">
                  <c:v>4.2528245843829193E-2</c:v>
                </c:pt>
                <c:pt idx="49">
                  <c:v>2.1115489382269148E-2</c:v>
                </c:pt>
                <c:pt idx="50">
                  <c:v>-8.2971070009240089E-3</c:v>
                </c:pt>
                <c:pt idx="51">
                  <c:v>7.162776213381461E-3</c:v>
                </c:pt>
                <c:pt idx="52">
                  <c:v>-2.065470991173235E-2</c:v>
                </c:pt>
                <c:pt idx="53">
                  <c:v>3.1350467784077685E-2</c:v>
                </c:pt>
                <c:pt idx="54">
                  <c:v>-2.0857924125148197E-2</c:v>
                </c:pt>
                <c:pt idx="55">
                  <c:v>-3.9200116466567847E-3</c:v>
                </c:pt>
                <c:pt idx="56">
                  <c:v>1.0697361151218443E-2</c:v>
                </c:pt>
                <c:pt idx="57">
                  <c:v>1.5694094308336126E-2</c:v>
                </c:pt>
                <c:pt idx="58">
                  <c:v>2.6859499096451467E-2</c:v>
                </c:pt>
                <c:pt idx="59">
                  <c:v>-1.9846127128023139E-2</c:v>
                </c:pt>
                <c:pt idx="60">
                  <c:v>-2.2178221753601957E-2</c:v>
                </c:pt>
                <c:pt idx="61">
                  <c:v>-7.4685650464978437E-3</c:v>
                </c:pt>
                <c:pt idx="62">
                  <c:v>-1.7381101181964342E-2</c:v>
                </c:pt>
                <c:pt idx="63">
                  <c:v>7.7295386977915825E-4</c:v>
                </c:pt>
                <c:pt idx="64">
                  <c:v>-1.0707339056110321E-2</c:v>
                </c:pt>
                <c:pt idx="65">
                  <c:v>1.7509680344236278E-2</c:v>
                </c:pt>
                <c:pt idx="66">
                  <c:v>-3.1031814575899208E-3</c:v>
                </c:pt>
                <c:pt idx="67">
                  <c:v>1.9433291123416296E-3</c:v>
                </c:pt>
                <c:pt idx="68">
                  <c:v>6.650925867395685E-3</c:v>
                </c:pt>
                <c:pt idx="69">
                  <c:v>1.832667570631874E-2</c:v>
                </c:pt>
                <c:pt idx="70">
                  <c:v>-5.1524621059918507E-3</c:v>
                </c:pt>
                <c:pt idx="71">
                  <c:v>-2.1713969307594061E-2</c:v>
                </c:pt>
                <c:pt idx="72">
                  <c:v>-2.3845469033979438E-2</c:v>
                </c:pt>
                <c:pt idx="73">
                  <c:v>6.4761015601988436E-3</c:v>
                </c:pt>
                <c:pt idx="74">
                  <c:v>-1.9010511468421365E-3</c:v>
                </c:pt>
                <c:pt idx="75">
                  <c:v>-3.5570299180242015E-2</c:v>
                </c:pt>
                <c:pt idx="76">
                  <c:v>5.1603207482597835E-3</c:v>
                </c:pt>
                <c:pt idx="79">
                  <c:v>-1.421295546555601E-2</c:v>
                </c:pt>
                <c:pt idx="80">
                  <c:v>2.6562052148697113E-2</c:v>
                </c:pt>
                <c:pt idx="81">
                  <c:v>3.8865108570256268E-2</c:v>
                </c:pt>
                <c:pt idx="82">
                  <c:v>4.423697089992884E-2</c:v>
                </c:pt>
                <c:pt idx="83">
                  <c:v>-8.8495387752053345E-3</c:v>
                </c:pt>
                <c:pt idx="84">
                  <c:v>-1.3100553721080099E-2</c:v>
                </c:pt>
                <c:pt idx="85">
                  <c:v>3.492202323432525E-2</c:v>
                </c:pt>
                <c:pt idx="86">
                  <c:v>5.3697160388388454E-3</c:v>
                </c:pt>
                <c:pt idx="87">
                  <c:v>-4.1291463021553287E-4</c:v>
                </c:pt>
                <c:pt idx="88">
                  <c:v>-1.1428616630098865E-2</c:v>
                </c:pt>
                <c:pt idx="89">
                  <c:v>3.4628362299720994E-2</c:v>
                </c:pt>
                <c:pt idx="90">
                  <c:v>3.9052307140556186E-2</c:v>
                </c:pt>
                <c:pt idx="91">
                  <c:v>-5.0812195235686919E-2</c:v>
                </c:pt>
                <c:pt idx="92">
                  <c:v>-1.3963063510970875E-2</c:v>
                </c:pt>
                <c:pt idx="93">
                  <c:v>1.4160791542646489E-2</c:v>
                </c:pt>
                <c:pt idx="94">
                  <c:v>2.5630078672605361E-2</c:v>
                </c:pt>
                <c:pt idx="95">
                  <c:v>-1.2236322698246704E-2</c:v>
                </c:pt>
                <c:pt idx="96">
                  <c:v>-1.0025108196577315E-2</c:v>
                </c:pt>
                <c:pt idx="97">
                  <c:v>1.7424601272893581E-2</c:v>
                </c:pt>
                <c:pt idx="98">
                  <c:v>-4.2318872000722818E-3</c:v>
                </c:pt>
                <c:pt idx="99">
                  <c:v>-3.3537818356575988E-2</c:v>
                </c:pt>
                <c:pt idx="100">
                  <c:v>-1.6332342153342339E-3</c:v>
                </c:pt>
                <c:pt idx="101">
                  <c:v>2.1693745913198503E-2</c:v>
                </c:pt>
                <c:pt idx="102">
                  <c:v>-1.5201350781139378E-2</c:v>
                </c:pt>
                <c:pt idx="103">
                  <c:v>3.751071227948688E-2</c:v>
                </c:pt>
                <c:pt idx="104">
                  <c:v>-1.7022176428165281E-3</c:v>
                </c:pt>
                <c:pt idx="105">
                  <c:v>-3.2921691368652195E-2</c:v>
                </c:pt>
                <c:pt idx="106">
                  <c:v>-7.3529649038847067E-3</c:v>
                </c:pt>
                <c:pt idx="107">
                  <c:v>2.4569815801214201E-3</c:v>
                </c:pt>
                <c:pt idx="108">
                  <c:v>-9.7324050952437569E-3</c:v>
                </c:pt>
                <c:pt idx="109">
                  <c:v>-2.2592065579067566E-2</c:v>
                </c:pt>
                <c:pt idx="110">
                  <c:v>-1.0976172991498889E-2</c:v>
                </c:pt>
                <c:pt idx="111">
                  <c:v>1.1900063664095573E-2</c:v>
                </c:pt>
                <c:pt idx="112">
                  <c:v>5.1834038851612529E-3</c:v>
                </c:pt>
                <c:pt idx="113">
                  <c:v>1.5384597671583844E-2</c:v>
                </c:pt>
                <c:pt idx="114">
                  <c:v>-6.2974161016598362E-2</c:v>
                </c:pt>
                <c:pt idx="115">
                  <c:v>-2.6587932839533535E-2</c:v>
                </c:pt>
                <c:pt idx="116">
                  <c:v>2.1886736748421676E-2</c:v>
                </c:pt>
                <c:pt idx="117">
                  <c:v>2.9126229477150156E-2</c:v>
                </c:pt>
                <c:pt idx="118">
                  <c:v>1.218550555765141E-2</c:v>
                </c:pt>
                <c:pt idx="119">
                  <c:v>-1.0116672323037146E-2</c:v>
                </c:pt>
                <c:pt idx="120">
                  <c:v>7.0532723554244114E-3</c:v>
                </c:pt>
                <c:pt idx="121">
                  <c:v>-1.8083812441214597E-2</c:v>
                </c:pt>
                <c:pt idx="122">
                  <c:v>1.3255343494131822E-2</c:v>
                </c:pt>
                <c:pt idx="123">
                  <c:v>-4.1837888510122045E-2</c:v>
                </c:pt>
                <c:pt idx="124">
                  <c:v>-5.2025476827467498E-3</c:v>
                </c:pt>
                <c:pt idx="125">
                  <c:v>-2.5944468967377121E-3</c:v>
                </c:pt>
                <c:pt idx="126">
                  <c:v>-2.5877719975805347E-3</c:v>
                </c:pt>
                <c:pt idx="127">
                  <c:v>-1.096902009522327E-2</c:v>
                </c:pt>
                <c:pt idx="128">
                  <c:v>1.8242774193834244E-2</c:v>
                </c:pt>
                <c:pt idx="129">
                  <c:v>-1.5034869123852102E-2</c:v>
                </c:pt>
                <c:pt idx="130">
                  <c:v>1.905823008493579E-2</c:v>
                </c:pt>
                <c:pt idx="131">
                  <c:v>1.5174630944159384E-2</c:v>
                </c:pt>
                <c:pt idx="132">
                  <c:v>9.1882419182047759E-3</c:v>
                </c:pt>
                <c:pt idx="133">
                  <c:v>4.6154260605966169E-3</c:v>
                </c:pt>
                <c:pt idx="134">
                  <c:v>-2.3023594283569926E-3</c:v>
                </c:pt>
                <c:pt idx="135">
                  <c:v>8.1237826539461988E-3</c:v>
                </c:pt>
                <c:pt idx="136">
                  <c:v>3.8834754483336731E-3</c:v>
                </c:pt>
                <c:pt idx="137">
                  <c:v>1.9801962851756061E-2</c:v>
                </c:pt>
                <c:pt idx="138">
                  <c:v>-1.976149900636659E-3</c:v>
                </c:pt>
                <c:pt idx="139">
                  <c:v>2.8037337179257271E-2</c:v>
                </c:pt>
                <c:pt idx="140">
                  <c:v>-2.5732420388725585E-2</c:v>
                </c:pt>
                <c:pt idx="141">
                  <c:v>3.0599773506266637E-2</c:v>
                </c:pt>
                <c:pt idx="142">
                  <c:v>-2.0358632195998094E-3</c:v>
                </c:pt>
                <c:pt idx="143">
                  <c:v>1.4876036295138118E-2</c:v>
                </c:pt>
                <c:pt idx="144">
                  <c:v>-9.0089468375866844E-3</c:v>
                </c:pt>
                <c:pt idx="145">
                  <c:v>-2.8253142571297296E-2</c:v>
                </c:pt>
                <c:pt idx="146">
                  <c:v>-1.9856511917358821E-3</c:v>
                </c:pt>
                <c:pt idx="147">
                  <c:v>1.9845999148767168E-2</c:v>
                </c:pt>
                <c:pt idx="148">
                  <c:v>4.6186484457025223E-2</c:v>
                </c:pt>
                <c:pt idx="149">
                  <c:v>7.2556001737735798E-3</c:v>
                </c:pt>
                <c:pt idx="150">
                  <c:v>2.7631738019741725E-2</c:v>
                </c:pt>
                <c:pt idx="151">
                  <c:v>-9.5570233914090696E-3</c:v>
                </c:pt>
                <c:pt idx="152">
                  <c:v>2.2202515255801636E-2</c:v>
                </c:pt>
                <c:pt idx="153">
                  <c:v>-2.6571961363391905E-3</c:v>
                </c:pt>
                <c:pt idx="154">
                  <c:v>5.6127184881082481E-2</c:v>
                </c:pt>
                <c:pt idx="155">
                  <c:v>1.3270195741377222E-2</c:v>
                </c:pt>
                <c:pt idx="156">
                  <c:v>2.0309353530025831E-2</c:v>
                </c:pt>
                <c:pt idx="157">
                  <c:v>7.3063949502176762E-3</c:v>
                </c:pt>
                <c:pt idx="158">
                  <c:v>-1.534762485990504E-2</c:v>
                </c:pt>
                <c:pt idx="159">
                  <c:v>3.5253250622574228E-2</c:v>
                </c:pt>
                <c:pt idx="160">
                  <c:v>-3.3125345927933258E-2</c:v>
                </c:pt>
                <c:pt idx="161">
                  <c:v>-1.6525088645190422E-2</c:v>
                </c:pt>
                <c:pt idx="162">
                  <c:v>-4.1628829194302219E-2</c:v>
                </c:pt>
                <c:pt idx="163">
                  <c:v>1.7964040481057264E-2</c:v>
                </c:pt>
                <c:pt idx="164">
                  <c:v>5.5580812662414658E-3</c:v>
                </c:pt>
                <c:pt idx="165">
                  <c:v>2.8584995694843407E-2</c:v>
                </c:pt>
                <c:pt idx="166">
                  <c:v>-1.0838747387735603E-2</c:v>
                </c:pt>
                <c:pt idx="167">
                  <c:v>-1.7592573358506614E-2</c:v>
                </c:pt>
                <c:pt idx="168">
                  <c:v>1.7907614378129599E-2</c:v>
                </c:pt>
                <c:pt idx="169">
                  <c:v>-2.2570238294555511E-2</c:v>
                </c:pt>
                <c:pt idx="170">
                  <c:v>-1.9864565250822253E-2</c:v>
                </c:pt>
                <c:pt idx="171">
                  <c:v>-1.947769591485371E-2</c:v>
                </c:pt>
                <c:pt idx="172">
                  <c:v>-2.5453037550366431E-2</c:v>
                </c:pt>
                <c:pt idx="173">
                  <c:v>1.6220993536315786E-2</c:v>
                </c:pt>
                <c:pt idx="174">
                  <c:v>-1.313450830353502E-3</c:v>
                </c:pt>
                <c:pt idx="175">
                  <c:v>-9.9696259396274689E-3</c:v>
                </c:pt>
                <c:pt idx="176">
                  <c:v>-2.5348505574473879E-2</c:v>
                </c:pt>
                <c:pt idx="177">
                  <c:v>-2.1079596658222233E-3</c:v>
                </c:pt>
                <c:pt idx="178">
                  <c:v>2.1093454150543423E-2</c:v>
                </c:pt>
                <c:pt idx="179">
                  <c:v>3.8893588293105186E-3</c:v>
                </c:pt>
                <c:pt idx="180">
                  <c:v>0</c:v>
                </c:pt>
                <c:pt idx="181">
                  <c:v>4.7762996385178891E-3</c:v>
                </c:pt>
                <c:pt idx="182">
                  <c:v>-2.2495749369826679E-2</c:v>
                </c:pt>
                <c:pt idx="183">
                  <c:v>2.1239745062246351E-2</c:v>
                </c:pt>
                <c:pt idx="184">
                  <c:v>6.1054708864747287E-3</c:v>
                </c:pt>
                <c:pt idx="185">
                  <c:v>-3.2081095951315808E-2</c:v>
                </c:pt>
                <c:pt idx="186">
                  <c:v>-2.1478603122053963E-2</c:v>
                </c:pt>
                <c:pt idx="187">
                  <c:v>-1.7451313863751983E-2</c:v>
                </c:pt>
                <c:pt idx="188">
                  <c:v>-8.4507378946293565E-3</c:v>
                </c:pt>
                <c:pt idx="189">
                  <c:v>-2.6635336752229843E-2</c:v>
                </c:pt>
                <c:pt idx="190">
                  <c:v>-2.6315746131876261E-2</c:v>
                </c:pt>
                <c:pt idx="191">
                  <c:v>1.0794061087993745E-2</c:v>
                </c:pt>
                <c:pt idx="192">
                  <c:v>7.7170674623516788E-4</c:v>
                </c:pt>
                <c:pt idx="193">
                  <c:v>2.6534543456993243E-2</c:v>
                </c:pt>
                <c:pt idx="194">
                  <c:v>1.2024114337684688E-2</c:v>
                </c:pt>
                <c:pt idx="195">
                  <c:v>-2.7977729626184056E-3</c:v>
                </c:pt>
                <c:pt idx="196">
                  <c:v>1.377636198119303E-2</c:v>
                </c:pt>
                <c:pt idx="197">
                  <c:v>-1.2404933903236826E-2</c:v>
                </c:pt>
                <c:pt idx="198">
                  <c:v>-7.1513519258887825E-3</c:v>
                </c:pt>
                <c:pt idx="199">
                  <c:v>4.7904206219806511E-3</c:v>
                </c:pt>
                <c:pt idx="200">
                  <c:v>5.2166843958563192E-3</c:v>
                </c:pt>
                <c:pt idx="201">
                  <c:v>1.6313131295775385E-2</c:v>
                </c:pt>
                <c:pt idx="202">
                  <c:v>-4.0618032037865737E-3</c:v>
                </c:pt>
                <c:pt idx="203">
                  <c:v>4.0783687349805753E-3</c:v>
                </c:pt>
                <c:pt idx="204">
                  <c:v>-1.5656335000706734E-2</c:v>
                </c:pt>
                <c:pt idx="205">
                  <c:v>-2.6192313892388186E-2</c:v>
                </c:pt>
                <c:pt idx="206">
                  <c:v>3.137172875730343E-3</c:v>
                </c:pt>
                <c:pt idx="209">
                  <c:v>1.5163673892517382E-2</c:v>
                </c:pt>
                <c:pt idx="210">
                  <c:v>-2.6417952686516366E-2</c:v>
                </c:pt>
                <c:pt idx="211">
                  <c:v>1.9002296260560492E-2</c:v>
                </c:pt>
                <c:pt idx="212">
                  <c:v>-2.433365556569278E-2</c:v>
                </c:pt>
                <c:pt idx="213">
                  <c:v>7.7295386977915825E-4</c:v>
                </c:pt>
                <c:pt idx="214">
                  <c:v>2.6994843454669626E-2</c:v>
                </c:pt>
                <c:pt idx="215">
                  <c:v>5.1876246317916763E-3</c:v>
                </c:pt>
                <c:pt idx="216">
                  <c:v>-1.5936677618569872E-3</c:v>
                </c:pt>
                <c:pt idx="217">
                  <c:v>4.8039710871221608E-3</c:v>
                </c:pt>
                <c:pt idx="218">
                  <c:v>-2.1543379905329396E-2</c:v>
                </c:pt>
                <c:pt idx="219">
                  <c:v>1.6321606376505482E-2</c:v>
                </c:pt>
                <c:pt idx="220">
                  <c:v>-3.965003726117966E-3</c:v>
                </c:pt>
                <c:pt idx="221">
                  <c:v>-9.0373817901778786E-3</c:v>
                </c:pt>
                <c:pt idx="222">
                  <c:v>1.1526266406731933E-2</c:v>
                </c:pt>
                <c:pt idx="223">
                  <c:v>-1.3333397768630406E-2</c:v>
                </c:pt>
                <c:pt idx="224">
                  <c:v>1.3513579702076228E-2</c:v>
                </c:pt>
                <c:pt idx="225">
                  <c:v>-2.2532968068996406E-2</c:v>
                </c:pt>
                <c:pt idx="226">
                  <c:v>1.5563386178081284E-3</c:v>
                </c:pt>
                <c:pt idx="227">
                  <c:v>-2.4297651509332052E-2</c:v>
                </c:pt>
                <c:pt idx="228">
                  <c:v>-9.402023077253574E-3</c:v>
                </c:pt>
                <c:pt idx="229">
                  <c:v>-3.7640254359774583E-2</c:v>
                </c:pt>
                <c:pt idx="230">
                  <c:v>1.6930500890258715E-2</c:v>
                </c:pt>
                <c:pt idx="231">
                  <c:v>-1.4700481891062323E-3</c:v>
                </c:pt>
                <c:pt idx="232">
                  <c:v>-1.5200929133730501E-2</c:v>
                </c:pt>
                <c:pt idx="233">
                  <c:v>-3.9653276172775254E-3</c:v>
                </c:pt>
                <c:pt idx="234">
                  <c:v>-1.7357453537222178E-2</c:v>
                </c:pt>
                <c:pt idx="235">
                  <c:v>-1.2246338249081612E-2</c:v>
                </c:pt>
                <c:pt idx="236">
                  <c:v>-5.5671186746161228E-3</c:v>
                </c:pt>
                <c:pt idx="237">
                  <c:v>1.5188917300166027E-2</c:v>
                </c:pt>
                <c:pt idx="238">
                  <c:v>-1.6672495195625192E-2</c:v>
                </c:pt>
                <c:pt idx="239">
                  <c:v>-8.9499618357531396E-3</c:v>
                </c:pt>
                <c:pt idx="240">
                  <c:v>1.1842548590534019E-2</c:v>
                </c:pt>
                <c:pt idx="241">
                  <c:v>3.1446088379603054E-3</c:v>
                </c:pt>
                <c:pt idx="242">
                  <c:v>-1.3956737458176161E-3</c:v>
                </c:pt>
                <c:pt idx="243">
                  <c:v>-1.5796689211284631E-2</c:v>
                </c:pt>
                <c:pt idx="244">
                  <c:v>4.1378956165800673E-3</c:v>
                </c:pt>
                <c:pt idx="245">
                  <c:v>7.9944496330963677E-3</c:v>
                </c:pt>
                <c:pt idx="246">
                  <c:v>-1.8423767936347812E-2</c:v>
                </c:pt>
                <c:pt idx="247">
                  <c:v>-9.2569565835827317E-2</c:v>
                </c:pt>
                <c:pt idx="248">
                  <c:v>5.9171038641996354E-3</c:v>
                </c:pt>
                <c:pt idx="249">
                  <c:v>2.6206410757794396E-2</c:v>
                </c:pt>
                <c:pt idx="250">
                  <c:v>-1.4798499900443463E-2</c:v>
                </c:pt>
                <c:pt idx="251">
                  <c:v>-1.2577626451449886E-3</c:v>
                </c:pt>
                <c:pt idx="252">
                  <c:v>-5.6285686168420224E-3</c:v>
                </c:pt>
                <c:pt idx="253">
                  <c:v>9.4697161119892126E-3</c:v>
                </c:pt>
                <c:pt idx="254">
                  <c:v>-8.4508126887066215E-3</c:v>
                </c:pt>
                <c:pt idx="255">
                  <c:v>3.7701285134210671E-3</c:v>
                </c:pt>
                <c:pt idx="256">
                  <c:v>-6.8642273626442485E-3</c:v>
                </c:pt>
                <c:pt idx="257">
                  <c:v>1.2495439863666746E-3</c:v>
                </c:pt>
                <c:pt idx="258">
                  <c:v>5.0235158493052712E-3</c:v>
                </c:pt>
                <c:pt idx="259">
                  <c:v>-2.8178085872048175E-3</c:v>
                </c:pt>
                <c:pt idx="260">
                  <c:v>1.0120246251841936E-2</c:v>
                </c:pt>
                <c:pt idx="261">
                  <c:v>7.0063880787081256E-3</c:v>
                </c:pt>
                <c:pt idx="262">
                  <c:v>6.7328525463519195E-3</c:v>
                </c:pt>
                <c:pt idx="263">
                  <c:v>8.0801481412691167E-3</c:v>
                </c:pt>
                <c:pt idx="264">
                  <c:v>-6.1033794855680501E-3</c:v>
                </c:pt>
                <c:pt idx="265">
                  <c:v>-4.4771524932892826E-3</c:v>
                </c:pt>
                <c:pt idx="266">
                  <c:v>-5.4071508944949498E-3</c:v>
                </c:pt>
                <c:pt idx="267">
                  <c:v>-3.1705943247219981E-3</c:v>
                </c:pt>
                <c:pt idx="268">
                  <c:v>-9.7331012282740881E-3</c:v>
                </c:pt>
                <c:pt idx="269">
                  <c:v>1.1753522128626459E-2</c:v>
                </c:pt>
                <c:pt idx="270">
                  <c:v>3.5065441534569697E-3</c:v>
                </c:pt>
                <c:pt idx="271">
                  <c:v>-4.1270101017889527E-3</c:v>
                </c:pt>
                <c:pt idx="272">
                  <c:v>3.1847645458260576E-3</c:v>
                </c:pt>
                <c:pt idx="273">
                  <c:v>1.618121686696683E-2</c:v>
                </c:pt>
                <c:pt idx="274">
                  <c:v>2.8970973434429892E-2</c:v>
                </c:pt>
                <c:pt idx="275">
                  <c:v>-1.8306605978520518E-2</c:v>
                </c:pt>
                <c:pt idx="276">
                  <c:v>4.5097380274096821E-2</c:v>
                </c:pt>
                <c:pt idx="277">
                  <c:v>-1.0814466944446322E-2</c:v>
                </c:pt>
                <c:pt idx="278">
                  <c:v>6.4625956110624383E-3</c:v>
                </c:pt>
                <c:pt idx="279">
                  <c:v>-1.1764752532342659E-2</c:v>
                </c:pt>
                <c:pt idx="280">
                  <c:v>-1.750329746686996E-2</c:v>
                </c:pt>
                <c:pt idx="281">
                  <c:v>1.5766533616480505E-2</c:v>
                </c:pt>
                <c:pt idx="282">
                  <c:v>-6.1349385178763871E-3</c:v>
                </c:pt>
                <c:pt idx="283">
                  <c:v>3.2734951256075728E-2</c:v>
                </c:pt>
                <c:pt idx="284">
                  <c:v>-7.6841970899677037E-3</c:v>
                </c:pt>
                <c:pt idx="285">
                  <c:v>-4.866203487473908E-3</c:v>
                </c:pt>
                <c:pt idx="286">
                  <c:v>-1.7418068299309919E-2</c:v>
                </c:pt>
                <c:pt idx="287">
                  <c:v>-1.447317525549674E-2</c:v>
                </c:pt>
                <c:pt idx="288">
                  <c:v>-4.3566556902334685E-3</c:v>
                </c:pt>
                <c:pt idx="289">
                  <c:v>3.0252121212122063E-3</c:v>
                </c:pt>
                <c:pt idx="290">
                  <c:v>-2.1703346099808174E-2</c:v>
                </c:pt>
                <c:pt idx="291">
                  <c:v>4.3582703919748056E-2</c:v>
                </c:pt>
                <c:pt idx="292">
                  <c:v>-3.079030590202203E-3</c:v>
                </c:pt>
                <c:pt idx="293">
                  <c:v>-3.0695442296788666E-3</c:v>
                </c:pt>
                <c:pt idx="294">
                  <c:v>4.1563011102604408E-2</c:v>
                </c:pt>
                <c:pt idx="295">
                  <c:v>-1.418960105160405E-3</c:v>
                </c:pt>
                <c:pt idx="296">
                  <c:v>-2.3553862437306616E-2</c:v>
                </c:pt>
                <c:pt idx="297">
                  <c:v>1.3874604934347445E-3</c:v>
                </c:pt>
                <c:pt idx="298">
                  <c:v>-2.0768327920110963E-3</c:v>
                </c:pt>
                <c:pt idx="299">
                  <c:v>2.6652484072132721E-2</c:v>
                </c:pt>
                <c:pt idx="300">
                  <c:v>1.8089721880413467E-2</c:v>
                </c:pt>
                <c:pt idx="301">
                  <c:v>1.9926175552999137E-2</c:v>
                </c:pt>
                <c:pt idx="302">
                  <c:v>-3.6891005302497337E-4</c:v>
                </c:pt>
                <c:pt idx="303">
                  <c:v>-7.3232631234527723E-3</c:v>
                </c:pt>
                <c:pt idx="304">
                  <c:v>-8.6927472623166469E-2</c:v>
                </c:pt>
                <c:pt idx="305">
                  <c:v>-5.1980962611362203E-2</c:v>
                </c:pt>
                <c:pt idx="306">
                  <c:v>3.0372236166718247E-2</c:v>
                </c:pt>
                <c:pt idx="307">
                  <c:v>1.9647017430579394E-2</c:v>
                </c:pt>
                <c:pt idx="308">
                  <c:v>-3.3289351101517539E-4</c:v>
                </c:pt>
                <c:pt idx="309">
                  <c:v>2.5256033831073887E-2</c:v>
                </c:pt>
                <c:pt idx="310">
                  <c:v>-1.8096561422340174E-2</c:v>
                </c:pt>
                <c:pt idx="311">
                  <c:v>-1.0043298942757906E-3</c:v>
                </c:pt>
                <c:pt idx="312">
                  <c:v>8.4402411883086614E-3</c:v>
                </c:pt>
                <c:pt idx="313">
                  <c:v>-2.0215531901938144E-3</c:v>
                </c:pt>
                <c:pt idx="314">
                  <c:v>-6.7344351655118651E-4</c:v>
                </c:pt>
                <c:pt idx="315">
                  <c:v>2.3625339933950329E-3</c:v>
                </c:pt>
                <c:pt idx="316">
                  <c:v>-1.5614636533211601E-2</c:v>
                </c:pt>
                <c:pt idx="317">
                  <c:v>9.0512970731586595E-3</c:v>
                </c:pt>
                <c:pt idx="318">
                  <c:v>0</c:v>
                </c:pt>
                <c:pt idx="319">
                  <c:v>-2.3411655201471815E-3</c:v>
                </c:pt>
                <c:pt idx="320">
                  <c:v>-1.0023509360129745E-3</c:v>
                </c:pt>
                <c:pt idx="321">
                  <c:v>1.5264632016143809E-2</c:v>
                </c:pt>
                <c:pt idx="322">
                  <c:v>3.6568186625702603E-2</c:v>
                </c:pt>
                <c:pt idx="323">
                  <c:v>4.2521941525924145E-2</c:v>
                </c:pt>
                <c:pt idx="324">
                  <c:v>-2.046673874718552E-2</c:v>
                </c:pt>
                <c:pt idx="325">
                  <c:v>3.5923678374460977E-4</c:v>
                </c:pt>
                <c:pt idx="326">
                  <c:v>-2.8654010963723442E-3</c:v>
                </c:pt>
                <c:pt idx="327">
                  <c:v>1.416634808859718E-2</c:v>
                </c:pt>
                <c:pt idx="328">
                  <c:v>-1.3968465937857721E-2</c:v>
                </c:pt>
                <c:pt idx="329">
                  <c:v>-3.0218798932908131E-2</c:v>
                </c:pt>
                <c:pt idx="330">
                  <c:v>-3.471906711780548E-4</c:v>
                </c:pt>
                <c:pt idx="333">
                  <c:v>-4.1406950350802996E-3</c:v>
                </c:pt>
                <c:pt idx="334">
                  <c:v>-9.2308458565931728E-3</c:v>
                </c:pt>
                <c:pt idx="335">
                  <c:v>2.7426124495300019E-3</c:v>
                </c:pt>
                <c:pt idx="336">
                  <c:v>-1.0274802630815261E-3</c:v>
                </c:pt>
                <c:pt idx="337">
                  <c:v>-6.8436526664161779E-4</c:v>
                </c:pt>
                <c:pt idx="338">
                  <c:v>2.5622975331528686E-2</c:v>
                </c:pt>
                <c:pt idx="339">
                  <c:v>1.1000733972123644E-2</c:v>
                </c:pt>
                <c:pt idx="340">
                  <c:v>1.366908317218174E-2</c:v>
                </c:pt>
                <c:pt idx="341">
                  <c:v>6.8814988435119684E-3</c:v>
                </c:pt>
                <c:pt idx="342">
                  <c:v>3.6800622313880371E-2</c:v>
                </c:pt>
                <c:pt idx="343">
                  <c:v>5.6326843350493094E-2</c:v>
                </c:pt>
                <c:pt idx="344">
                  <c:v>2.1061163738356647E-2</c:v>
                </c:pt>
                <c:pt idx="345">
                  <c:v>-6.4386682796608863E-3</c:v>
                </c:pt>
                <c:pt idx="346">
                  <c:v>-1.5061373067722261E-2</c:v>
                </c:pt>
                <c:pt idx="347">
                  <c:v>-4.341015501466039E-3</c:v>
                </c:pt>
                <c:pt idx="348">
                  <c:v>-5.494451061756056E-3</c:v>
                </c:pt>
                <c:pt idx="349">
                  <c:v>-7.8436363636369411E-4</c:v>
                </c:pt>
                <c:pt idx="350">
                  <c:v>-4.2951689125744208E-3</c:v>
                </c:pt>
                <c:pt idx="351">
                  <c:v>6.2867915841933186E-3</c:v>
                </c:pt>
                <c:pt idx="352">
                  <c:v>2.7867532825824437E-2</c:v>
                </c:pt>
                <c:pt idx="353">
                  <c:v>-1.7070268138097977E-2</c:v>
                </c:pt>
                <c:pt idx="354">
                  <c:v>4.386018245073231E-3</c:v>
                </c:pt>
                <c:pt idx="355">
                  <c:v>-7.9114069790805486E-3</c:v>
                </c:pt>
                <c:pt idx="356">
                  <c:v>-2.6943774044618896E-2</c:v>
                </c:pt>
                <c:pt idx="357">
                  <c:v>-1.9209233921613222E-3</c:v>
                </c:pt>
                <c:pt idx="358">
                  <c:v>3.0828094404815598E-3</c:v>
                </c:pt>
                <c:pt idx="359">
                  <c:v>-1.6300113622356727E-2</c:v>
                </c:pt>
                <c:pt idx="360">
                  <c:v>-1.7870502493287255E-2</c:v>
                </c:pt>
                <c:pt idx="361">
                  <c:v>7.4520393724708534E-4</c:v>
                </c:pt>
                <c:pt idx="362">
                  <c:v>7.129465411874758E-3</c:v>
                </c:pt>
                <c:pt idx="363">
                  <c:v>3.7772521770166323E-2</c:v>
                </c:pt>
                <c:pt idx="364">
                  <c:v>-6.1919457735246652E-3</c:v>
                </c:pt>
                <c:pt idx="365">
                  <c:v>-1.8609941590856827E-2</c:v>
                </c:pt>
                <c:pt idx="366">
                  <c:v>5.4043273471679587E-2</c:v>
                </c:pt>
                <c:pt idx="367">
                  <c:v>5.1346774336226364E-2</c:v>
                </c:pt>
                <c:pt idx="368">
                  <c:v>-1.5741443938663613E-2</c:v>
                </c:pt>
                <c:pt idx="369">
                  <c:v>1.2441838199011013E-3</c:v>
                </c:pt>
                <c:pt idx="370">
                  <c:v>-8.2872579043846706E-4</c:v>
                </c:pt>
                <c:pt idx="371">
                  <c:v>4.9978494944797891E-3</c:v>
                </c:pt>
                <c:pt idx="372">
                  <c:v>8.3998475964968122E-3</c:v>
                </c:pt>
                <c:pt idx="373">
                  <c:v>4.2176375545863731E-3</c:v>
                </c:pt>
                <c:pt idx="374">
                  <c:v>4.6609862043296424E-3</c:v>
                </c:pt>
                <c:pt idx="375">
                  <c:v>1.7241366293733851E-2</c:v>
                </c:pt>
                <c:pt idx="376">
                  <c:v>-7.2743270538784266E-3</c:v>
                </c:pt>
                <c:pt idx="377">
                  <c:v>3.8659818338286911E-3</c:v>
                </c:pt>
                <c:pt idx="378">
                  <c:v>8.6655718431924988E-3</c:v>
                </c:pt>
                <c:pt idx="379">
                  <c:v>3.9147932613248226E-3</c:v>
                </c:pt>
                <c:pt idx="380">
                  <c:v>-5.6229498385494958E-3</c:v>
                </c:pt>
                <c:pt idx="381">
                  <c:v>1.1373626054173247E-2</c:v>
                </c:pt>
                <c:pt idx="382">
                  <c:v>1.4196925912348224E-2</c:v>
                </c:pt>
                <c:pt idx="383">
                  <c:v>4.4390375003322546E-4</c:v>
                </c:pt>
                <c:pt idx="384">
                  <c:v>8.9565770869002304E-3</c:v>
                </c:pt>
                <c:pt idx="385">
                  <c:v>-1.8461491640664351E-2</c:v>
                </c:pt>
                <c:pt idx="386">
                  <c:v>1.7613601126247325E-3</c:v>
                </c:pt>
                <c:pt idx="387">
                  <c:v>1.113089757933805E-2</c:v>
                </c:pt>
                <c:pt idx="388">
                  <c:v>-3.5493800355257399E-3</c:v>
                </c:pt>
                <c:pt idx="389">
                  <c:v>-2.212568115663216E-2</c:v>
                </c:pt>
                <c:pt idx="390">
                  <c:v>-1.537809833606707E-2</c:v>
                </c:pt>
                <c:pt idx="391">
                  <c:v>-3.8297899019165138E-3</c:v>
                </c:pt>
                <c:pt idx="392">
                  <c:v>0</c:v>
                </c:pt>
                <c:pt idx="393">
                  <c:v>2.1321780817067371E-3</c:v>
                </c:pt>
                <c:pt idx="394">
                  <c:v>-3.8232821086565671E-3</c:v>
                </c:pt>
                <c:pt idx="395">
                  <c:v>4.2495072454418192E-4</c:v>
                </c:pt>
                <c:pt idx="396">
                  <c:v>4.2680400756647252E-3</c:v>
                </c:pt>
                <c:pt idx="397">
                  <c:v>2.1360150077522011E-2</c:v>
                </c:pt>
                <c:pt idx="398">
                  <c:v>2.6223644752942921E-3</c:v>
                </c:pt>
                <c:pt idx="399">
                  <c:v>-3.0501459034791845E-3</c:v>
                </c:pt>
                <c:pt idx="400">
                  <c:v>4.3764208939152116E-3</c:v>
                </c:pt>
                <c:pt idx="401">
                  <c:v>1.7536382211464918E-3</c:v>
                </c:pt>
                <c:pt idx="402">
                  <c:v>-1.0841281806084679E-2</c:v>
                </c:pt>
                <c:pt idx="403">
                  <c:v>-5.6058884109342344E-3</c:v>
                </c:pt>
                <c:pt idx="404">
                  <c:v>1.443564520383811E-2</c:v>
                </c:pt>
                <c:pt idx="405">
                  <c:v>1.7356549435566304E-2</c:v>
                </c:pt>
                <c:pt idx="406">
                  <c:v>1.0341666835758545E-2</c:v>
                </c:pt>
                <c:pt idx="407">
                  <c:v>4.5167201572651194E-3</c:v>
                </c:pt>
                <c:pt idx="408">
                  <c:v>6.821271470796253E-3</c:v>
                </c:pt>
                <c:pt idx="409">
                  <c:v>5.027483617921602E-3</c:v>
                </c:pt>
                <c:pt idx="410">
                  <c:v>1.0623495144845618E-2</c:v>
                </c:pt>
                <c:pt idx="411">
                  <c:v>-1.4565259454895063E-2</c:v>
                </c:pt>
                <c:pt idx="412">
                  <c:v>-5.882377896614277E-3</c:v>
                </c:pt>
                <c:pt idx="413">
                  <c:v>-9.6953370267776062E-3</c:v>
                </c:pt>
                <c:pt idx="414">
                  <c:v>5.104454993246188E-3</c:v>
                </c:pt>
                <c:pt idx="415">
                  <c:v>2.2781158044613115E-2</c:v>
                </c:pt>
                <c:pt idx="416">
                  <c:v>1.7874346962591936E-2</c:v>
                </c:pt>
                <c:pt idx="417">
                  <c:v>-1.9422073926003147E-2</c:v>
                </c:pt>
                <c:pt idx="418">
                  <c:v>-1.0777835051546392E-2</c:v>
                </c:pt>
                <c:pt idx="419">
                  <c:v>-4.6838407494154133E-4</c:v>
                </c:pt>
                <c:pt idx="420">
                  <c:v>-1.9292604501607635E-2</c:v>
                </c:pt>
                <c:pt idx="421">
                  <c:v>-1.1802132918650288E-2</c:v>
                </c:pt>
                <c:pt idx="422">
                  <c:v>-8.9968061178588021E-3</c:v>
                </c:pt>
                <c:pt idx="423">
                  <c:v>-4.4964028776972587E-4</c:v>
                </c:pt>
                <c:pt idx="424">
                  <c:v>4.5167572049122917E-3</c:v>
                </c:pt>
                <c:pt idx="425">
                  <c:v>8.6559449359477902E-3</c:v>
                </c:pt>
                <c:pt idx="426">
                  <c:v>3.3914319359397149E-2</c:v>
                </c:pt>
                <c:pt idx="427">
                  <c:v>4.7130068196521435E-4</c:v>
                </c:pt>
                <c:pt idx="428">
                  <c:v>2.1174108701919936E-2</c:v>
                </c:pt>
                <c:pt idx="429">
                  <c:v>1.4648486328124877E-2</c:v>
                </c:pt>
                <c:pt idx="430">
                  <c:v>-1.9626568675278455E-2</c:v>
                </c:pt>
                <c:pt idx="431">
                  <c:v>3.2624765200197636E-2</c:v>
                </c:pt>
                <c:pt idx="432">
                  <c:v>-1.1241398398895264E-2</c:v>
                </c:pt>
                <c:pt idx="433">
                  <c:v>3.9254172681755239E-3</c:v>
                </c:pt>
                <c:pt idx="434">
                  <c:v>-1.6409267201219491E-2</c:v>
                </c:pt>
                <c:pt idx="435">
                  <c:v>-2.0793998109640777E-2</c:v>
                </c:pt>
                <c:pt idx="436">
                  <c:v>-1.8868395336396615E-3</c:v>
                </c:pt>
                <c:pt idx="437">
                  <c:v>-3.8984498594038963E-2</c:v>
                </c:pt>
                <c:pt idx="438">
                  <c:v>-2.4756939665917632E-2</c:v>
                </c:pt>
                <c:pt idx="439">
                  <c:v>-5.714241758241867E-3</c:v>
                </c:pt>
                <c:pt idx="440">
                  <c:v>1.3204666074149163E-3</c:v>
                </c:pt>
                <c:pt idx="441">
                  <c:v>-4.8182654402101344E-3</c:v>
                </c:pt>
                <c:pt idx="442">
                  <c:v>-1.4674147604661347E-2</c:v>
                </c:pt>
                <c:pt idx="443">
                  <c:v>9.5860126542042234E-3</c:v>
                </c:pt>
                <c:pt idx="444">
                  <c:v>-1.3054395126196328E-3</c:v>
                </c:pt>
                <c:pt idx="445">
                  <c:v>-3.6881850926997028E-2</c:v>
                </c:pt>
                <c:pt idx="446">
                  <c:v>-9.9584647302904949E-3</c:v>
                </c:pt>
                <c:pt idx="447">
                  <c:v>1.9458587963561369E-2</c:v>
                </c:pt>
                <c:pt idx="448">
                  <c:v>-1.2118721270371946E-2</c:v>
                </c:pt>
                <c:pt idx="449">
                  <c:v>-3.3319450229072345E-3</c:v>
                </c:pt>
                <c:pt idx="450">
                  <c:v>1.0096760622633649E-2</c:v>
                </c:pt>
                <c:pt idx="451">
                  <c:v>1.2782318397201342E-2</c:v>
                </c:pt>
                <c:pt idx="452">
                  <c:v>9.4623225806451661E-3</c:v>
                </c:pt>
                <c:pt idx="453">
                  <c:v>4.3029259896743E-4</c:v>
                </c:pt>
                <c:pt idx="454">
                  <c:v>-1.2892135797164528E-3</c:v>
                </c:pt>
                <c:pt idx="455">
                  <c:v>-1.3146734520780301E-2</c:v>
                </c:pt>
                <c:pt idx="456">
                  <c:v>-3.3606557377049207E-2</c:v>
                </c:pt>
                <c:pt idx="457">
                  <c:v>-2.8606049391339816E-3</c:v>
                </c:pt>
                <c:pt idx="458">
                  <c:v>-1.5687931790509535E-2</c:v>
                </c:pt>
                <c:pt idx="459">
                  <c:v>1.6353312197600722E-2</c:v>
                </c:pt>
                <c:pt idx="460">
                  <c:v>-1.370967797216438E-2</c:v>
                </c:pt>
                <c:pt idx="463">
                  <c:v>-1.72279163184057E-2</c:v>
                </c:pt>
                <c:pt idx="464">
                  <c:v>7.8926992896606318E-3</c:v>
                </c:pt>
                <c:pt idx="465">
                  <c:v>8.3565860866130492E-3</c:v>
                </c:pt>
                <c:pt idx="466">
                  <c:v>1.4943416801292297E-2</c:v>
                </c:pt>
                <c:pt idx="467">
                  <c:v>-3.544994156603043E-2</c:v>
                </c:pt>
                <c:pt idx="468">
                  <c:v>-1.6475095785440597E-2</c:v>
                </c:pt>
                <c:pt idx="469">
                  <c:v>2.5137510806658048E-2</c:v>
                </c:pt>
                <c:pt idx="470">
                  <c:v>-1.4705921052631576E-2</c:v>
                </c:pt>
                <c:pt idx="471">
                  <c:v>2.7163368257663301E-3</c:v>
                </c:pt>
                <c:pt idx="472">
                  <c:v>-7.7011554755932465E-3</c:v>
                </c:pt>
                <c:pt idx="473">
                  <c:v>-2.1108254010242855E-2</c:v>
                </c:pt>
                <c:pt idx="474">
                  <c:v>-8.2242616822429948E-3</c:v>
                </c:pt>
                <c:pt idx="475">
                  <c:v>1.4410276283266077E-2</c:v>
                </c:pt>
                <c:pt idx="476">
                  <c:v>8.7988526701932024E-3</c:v>
                </c:pt>
                <c:pt idx="477">
                  <c:v>7.3216952862544815E-3</c:v>
                </c:pt>
                <c:pt idx="478">
                  <c:v>2.9761903580876936E-2</c:v>
                </c:pt>
                <c:pt idx="479">
                  <c:v>-9.4339618933190206E-3</c:v>
                </c:pt>
                <c:pt idx="480">
                  <c:v>2.5806533298650569E-2</c:v>
                </c:pt>
                <c:pt idx="481">
                  <c:v>-1.6263388189741712E-2</c:v>
                </c:pt>
                <c:pt idx="482">
                  <c:v>-7.0894055568887504E-3</c:v>
                </c:pt>
                <c:pt idx="483">
                  <c:v>9.5427037773361256E-3</c:v>
                </c:pt>
                <c:pt idx="484">
                  <c:v>-1.9841665879299919E-3</c:v>
                </c:pt>
                <c:pt idx="485">
                  <c:v>-1.0600628606228124E-2</c:v>
                </c:pt>
                <c:pt idx="486">
                  <c:v>5.5270035530992079E-3</c:v>
                </c:pt>
                <c:pt idx="487">
                  <c:v>8.3598324697518045E-3</c:v>
                </c:pt>
                <c:pt idx="488">
                  <c:v>7.2173212823849475E-3</c:v>
                </c:pt>
                <c:pt idx="489">
                  <c:v>-9.92457284936199E-3</c:v>
                </c:pt>
                <c:pt idx="490">
                  <c:v>-7.9325667565477431E-4</c:v>
                </c:pt>
                <c:pt idx="491">
                  <c:v>-1.059658555729992E-2</c:v>
                </c:pt>
                <c:pt idx="492">
                  <c:v>-2.112950360624255E-2</c:v>
                </c:pt>
                <c:pt idx="493">
                  <c:v>1.1538846153844595E-3</c:v>
                </c:pt>
                <c:pt idx="494">
                  <c:v>1.6419077404222104E-2</c:v>
                </c:pt>
                <c:pt idx="495">
                  <c:v>-5.0563595899012492E-3</c:v>
                </c:pt>
                <c:pt idx="496">
                  <c:v>-2.715360639435116E-3</c:v>
                </c:pt>
                <c:pt idx="497">
                  <c:v>-1.6405876245932038E-2</c:v>
                </c:pt>
                <c:pt idx="498">
                  <c:v>-1.5238476190476691E-3</c:v>
                </c:pt>
                <c:pt idx="499">
                  <c:v>-3.8080731150047509E-4</c:v>
                </c:pt>
                <c:pt idx="500">
                  <c:v>0</c:v>
                </c:pt>
                <c:pt idx="501">
                  <c:v>2.4980443989834455E-2</c:v>
                </c:pt>
                <c:pt idx="502">
                  <c:v>-1.3096995882010631E-2</c:v>
                </c:pt>
                <c:pt idx="503">
                  <c:v>-6.5059321280495075E-3</c:v>
                </c:pt>
                <c:pt idx="504">
                  <c:v>1.8713411306042982E-2</c:v>
                </c:pt>
                <c:pt idx="505">
                  <c:v>-3.4965034965035446E-3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B-43C7-A3B7-E939D5FE3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61400"/>
        <c:axId val="1247963560"/>
      </c:scatterChart>
      <c:valAx>
        <c:axId val="12479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3560"/>
        <c:crosses val="autoZero"/>
        <c:crossBetween val="midCat"/>
      </c:valAx>
      <c:valAx>
        <c:axId val="12479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24796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390525</xdr:colOff>
          <xdr:row>3</xdr:row>
          <xdr:rowOff>76200</xdr:rowOff>
        </xdr:from>
        <xdr:to>
          <xdr:col>32</xdr:col>
          <xdr:colOff>619125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Cov matrix</a:t>
              </a:r>
            </a:p>
            <a:p>
              <a:pPr algn="ctr" rtl="0">
                <a:defRPr sz="1000"/>
              </a:pPr>
              <a:endParaRPr lang="fi-FI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476250</xdr:colOff>
      <xdr:row>8</xdr:row>
      <xdr:rowOff>114300</xdr:rowOff>
    </xdr:from>
    <xdr:to>
      <xdr:col>33</xdr:col>
      <xdr:colOff>152400</xdr:colOff>
      <xdr:row>12</xdr:row>
      <xdr:rowOff>9525</xdr:rowOff>
    </xdr:to>
    <xdr:sp macro="[0]!OPTIM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C89FA40-3C07-9529-4534-E05535BA672F}"/>
            </a:ext>
          </a:extLst>
        </xdr:cNvPr>
        <xdr:cNvSpPr/>
      </xdr:nvSpPr>
      <xdr:spPr>
        <a:xfrm>
          <a:off x="27689175" y="1647825"/>
          <a:ext cx="1885950" cy="657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600" b="1"/>
            <a:t>OPTIMIZATION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1</xdr:row>
      <xdr:rowOff>114300</xdr:rowOff>
    </xdr:from>
    <xdr:to>
      <xdr:col>5</xdr:col>
      <xdr:colOff>95249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077D0A-4DB8-442B-9D0C-32C17CA2E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1</xdr:row>
      <xdr:rowOff>85725</xdr:rowOff>
    </xdr:from>
    <xdr:to>
      <xdr:col>11</xdr:col>
      <xdr:colOff>171450</xdr:colOff>
      <xdr:row>15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10D904-B252-4770-B70C-8A7438301C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457200</xdr:colOff>
      <xdr:row>1</xdr:row>
      <xdr:rowOff>95250</xdr:rowOff>
    </xdr:from>
    <xdr:to>
      <xdr:col>18</xdr:col>
      <xdr:colOff>295275</xdr:colOff>
      <xdr:row>15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7EC692-BF65-484E-948E-F23E855D7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17</xdr:row>
      <xdr:rowOff>76200</xdr:rowOff>
    </xdr:from>
    <xdr:to>
      <xdr:col>5</xdr:col>
      <xdr:colOff>504825</xdr:colOff>
      <xdr:row>31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224C0C0-2BAB-444A-A17B-0BC8B8154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238125</xdr:colOff>
      <xdr:row>16</xdr:row>
      <xdr:rowOff>171450</xdr:rowOff>
    </xdr:from>
    <xdr:to>
      <xdr:col>12</xdr:col>
      <xdr:colOff>352425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CF1CA0-F44B-4007-8802-443FF7672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561975</xdr:colOff>
      <xdr:row>17</xdr:row>
      <xdr:rowOff>19050</xdr:rowOff>
    </xdr:from>
    <xdr:to>
      <xdr:col>19</xdr:col>
      <xdr:colOff>85725</xdr:colOff>
      <xdr:row>31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CF40E5-6182-47A7-A134-AE236BFB6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180975</xdr:colOff>
      <xdr:row>34</xdr:row>
      <xdr:rowOff>66675</xdr:rowOff>
    </xdr:from>
    <xdr:to>
      <xdr:col>7</xdr:col>
      <xdr:colOff>485775</xdr:colOff>
      <xdr:row>48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F0FFFDE-A020-455A-80A8-63D996EAF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85725</xdr:colOff>
      <xdr:row>33</xdr:row>
      <xdr:rowOff>142875</xdr:rowOff>
    </xdr:from>
    <xdr:to>
      <xdr:col>15</xdr:col>
      <xdr:colOff>390525</xdr:colOff>
      <xdr:row>48</xdr:row>
      <xdr:rowOff>28575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9D07B5-26F5-4DE0-9ECC-3E99DF324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19050</xdr:colOff>
      <xdr:row>33</xdr:row>
      <xdr:rowOff>104775</xdr:rowOff>
    </xdr:from>
    <xdr:to>
      <xdr:col>23</xdr:col>
      <xdr:colOff>323850</xdr:colOff>
      <xdr:row>47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8A2500E-47ED-4CC1-A1CA-97B89B7BA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447675</xdr:colOff>
      <xdr:row>1</xdr:row>
      <xdr:rowOff>38100</xdr:rowOff>
    </xdr:from>
    <xdr:to>
      <xdr:col>26</xdr:col>
      <xdr:colOff>142875</xdr:colOff>
      <xdr:row>15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B7E43B2-545F-45AA-B8C7-BEE3B23AF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urbar Partha" refreshedDate="45333.785634143518" backgroundQuery="1" createdVersion="8" refreshedVersion="8" minRefreshableVersion="3" recordCount="0" supportSubquery="1" supportAdvancedDrill="1" xr:uid="{C9F98BAD-C530-4B86-B768-1783B013D467}">
  <cacheSource type="external" connectionId="6"/>
  <cacheFields count="3">
    <cacheField name="[Measures].[Sum of Adj Close]" caption="Sum of Adj Close" numFmtId="0" hierarchy="9" level="32767"/>
    <cacheField name="[investment].[Date].[Date]" caption="Date" numFmtId="0" hierarchy="1" level="1">
      <sharedItems containsSemiMixedTypes="0" containsNonDate="0" containsDate="1" containsString="0" minDate="2022-02-11T00:00:00" maxDate="2024-02-10T00:00:00" count="507"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7T00:00:00"/>
        <d v="2022-05-30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0T00:00:00"/>
        <d v="2022-06-21T00:00:00"/>
        <d v="2022-06-22T00:00:00"/>
        <d v="2022-06-23T00:00:00"/>
        <d v="2022-06-27T00:00:00"/>
        <d v="2022-06-28T00:00:00"/>
        <d v="2022-06-29T00:00:00"/>
        <d v="2022-06-30T00:00:00"/>
        <d v="2022-07-01T00:00:00"/>
        <d v="2022-07-04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5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4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  <d v="2022-12-15T00:00:00"/>
        <d v="2022-12-16T00:00:00"/>
        <d v="2022-12-19T00:00:00"/>
        <d v="2022-12-20T00:00:00"/>
        <d v="2022-12-21T00:00:00"/>
        <d v="2022-12-22T00:00:00"/>
        <d v="2022-12-23T00:00:00"/>
        <d v="2022-12-27T00:00:00"/>
        <d v="2022-12-28T00:00:00"/>
        <d v="2022-12-29T00:00:00"/>
        <d v="2022-12-30T00:00:00"/>
        <d v="2023-01-02T00:00:00"/>
        <d v="2023-01-03T00:00:00"/>
        <d v="2023-01-04T00:00:00"/>
        <d v="2023-01-05T00:00:00"/>
        <d v="2023-01-09T00:00:00"/>
        <d v="2023-01-10T00:00:00"/>
        <d v="2023-01-11T00:00:00"/>
        <d v="2023-01-12T00:00:00"/>
        <d v="2023-01-13T00:00:00"/>
        <d v="2023-01-16T00:00:00"/>
        <d v="2023-01-17T00:00:00"/>
        <d v="2023-01-18T00:00:00"/>
        <d v="2023-01-19T00:00:00"/>
        <d v="2023-01-20T00:00:00"/>
        <d v="2023-01-23T00:00:00"/>
        <d v="2023-01-24T00:00:00"/>
        <d v="2023-01-25T00:00:00"/>
        <d v="2023-01-26T00:00:00"/>
        <d v="2023-01-27T00:00:00"/>
        <d v="2023-01-30T00:00:00"/>
        <d v="2023-01-31T00:00:00"/>
        <d v="2023-02-01T00:00:00"/>
        <d v="2023-02-02T00:00:00"/>
        <d v="2023-02-03T00:00:00"/>
        <d v="2023-02-06T00:00:00"/>
        <d v="2023-02-07T00:00:00"/>
        <d v="2023-02-08T00:00:00"/>
        <d v="2023-02-09T00:00:00"/>
        <d v="2023-02-10T00:00:00"/>
        <d v="2023-02-13T00:00:00"/>
        <d v="2023-02-14T00:00:00"/>
        <d v="2023-02-15T00:00:00"/>
        <d v="2023-02-16T00:00:00"/>
        <d v="2023-02-17T00:00:00"/>
        <d v="2023-02-20T00:00:00"/>
        <d v="2023-02-21T00:00:00"/>
        <d v="2023-02-22T00:00:00"/>
        <d v="2023-02-23T00:00:00"/>
        <d v="2023-02-24T00:00:00"/>
        <d v="2023-02-27T00:00:00"/>
        <d v="2023-02-28T00:00:00"/>
        <d v="2023-03-01T00:00:00"/>
        <d v="2023-03-02T00:00:00"/>
        <d v="2023-03-03T00:00:00"/>
        <d v="2023-03-06T00:00:00"/>
        <d v="2023-03-07T00:00:00"/>
        <d v="2023-03-08T00:00:00"/>
        <d v="2023-03-09T00:00:00"/>
        <d v="2023-03-10T00:00:00"/>
        <d v="2023-03-13T00:00:00"/>
        <d v="2023-03-14T00:00:00"/>
        <d v="2023-03-15T00:00:00"/>
        <d v="2023-03-16T00:00:00"/>
        <d v="2023-03-17T00:00:00"/>
        <d v="2023-03-20T00:00:00"/>
        <d v="2023-03-21T00:00:00"/>
        <d v="2023-03-22T00:00:00"/>
        <d v="2023-03-23T00:00:00"/>
        <d v="2023-03-24T00:00:00"/>
        <d v="2023-03-27T00:00:00"/>
        <d v="2023-03-28T00:00:00"/>
        <d v="2023-03-29T00:00:00"/>
        <d v="2023-03-30T00:00:00"/>
        <d v="2023-03-31T00:00:00"/>
        <d v="2023-04-03T00:00:00"/>
        <d v="2023-04-04T00:00:00"/>
        <d v="2023-04-05T00:00:00"/>
        <d v="2023-04-06T00:00:00"/>
        <d v="2023-04-11T00:00:00"/>
        <d v="2023-04-12T00:00:00"/>
        <d v="2023-04-13T00:00:00"/>
        <d v="2023-04-14T00:00:00"/>
        <d v="2023-04-17T00:00:00"/>
        <d v="2023-04-18T00:00:00"/>
        <d v="2023-04-19T00:00:00"/>
        <d v="2023-04-20T00:00:00"/>
        <d v="2023-04-21T00:00:00"/>
        <d v="2023-04-24T00:00:00"/>
        <d v="2023-04-25T00:00:00"/>
        <d v="2023-04-26T00:00:00"/>
        <d v="2023-04-27T00:00:00"/>
        <d v="2023-04-28T00:00:00"/>
        <d v="2023-05-02T00:00:00"/>
        <d v="2023-05-03T00:00:00"/>
        <d v="2023-05-04T00:00:00"/>
        <d v="2023-05-05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9T00:00:00"/>
        <d v="2023-05-22T00:00:00"/>
        <d v="2023-05-23T00:00:00"/>
        <d v="2023-05-24T00:00:00"/>
        <d v="2023-05-25T00:00:00"/>
        <d v="2023-05-26T00:00:00"/>
        <d v="2023-05-29T00:00:00"/>
        <d v="2023-05-30T00:00:00"/>
        <d v="2023-05-31T00:00:00"/>
        <d v="2023-06-01T00:00:00"/>
        <d v="2023-06-02T00:00:00"/>
        <d v="2023-06-05T00:00:00"/>
        <d v="2023-06-06T00:00:00"/>
        <d v="2023-06-07T00:00:00"/>
        <d v="2023-06-08T00:00:00"/>
        <d v="2023-06-09T00:00:00"/>
        <d v="2023-06-12T00:00:00"/>
        <d v="2023-06-13T00:00:00"/>
        <d v="2023-06-14T00:00:00"/>
        <d v="2023-06-15T00:00:00"/>
        <d v="2023-06-16T00:00:00"/>
        <d v="2023-06-19T00:00:00"/>
        <d v="2023-06-20T00:00:00"/>
        <d v="2023-06-21T00:00:00"/>
        <d v="2023-06-22T00:00:00"/>
        <d v="2023-06-26T00:00:00"/>
        <d v="2023-06-27T00:00:00"/>
        <d v="2023-06-28T00:00:00"/>
        <d v="2023-06-29T00:00:00"/>
        <d v="2023-06-30T00:00:00"/>
        <d v="2023-07-03T00:00:00"/>
        <d v="2023-07-04T00:00:00"/>
        <d v="2023-07-05T00:00:00"/>
        <d v="2023-07-06T00:00:00"/>
        <d v="2023-07-07T00:00:00"/>
        <d v="2023-07-10T00:00:00"/>
        <d v="2023-07-11T00:00:00"/>
        <d v="2023-07-12T00:00:00"/>
        <d v="2023-07-13T00:00:00"/>
        <d v="2023-07-14T00:00:00"/>
        <d v="2023-07-17T00:00:00"/>
        <d v="2023-07-18T00:00:00"/>
        <d v="2023-07-19T00:00:00"/>
        <d v="2023-07-20T00:00:00"/>
        <d v="2023-07-21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3T00:00:00"/>
        <d v="2023-08-04T00:00:00"/>
        <d v="2023-08-07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21T00:00:00"/>
        <d v="2023-08-22T00:00:00"/>
        <d v="2023-08-23T00:00:00"/>
        <d v="2023-08-24T00:00:00"/>
        <d v="2023-08-25T00:00:00"/>
        <d v="2023-08-28T00:00:00"/>
        <d v="2023-08-29T00:00:00"/>
        <d v="2023-08-30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8T00:00:00"/>
        <d v="2023-09-19T00:00:00"/>
        <d v="2023-09-20T00:00:00"/>
        <d v="2023-09-21T00:00:00"/>
        <d v="2023-09-22T00:00:00"/>
        <d v="2023-09-25T00:00:00"/>
        <d v="2023-09-26T00:00:00"/>
        <d v="2023-09-27T00:00:00"/>
        <d v="2023-09-28T00:00:00"/>
        <d v="2023-09-29T00:00:00"/>
        <d v="2023-10-02T00:00:00"/>
        <d v="2023-10-03T00:00:00"/>
        <d v="2023-10-04T00:00:00"/>
        <d v="2023-10-05T00:00:00"/>
        <d v="2023-10-06T00:00:00"/>
        <d v="2023-10-09T00:00:00"/>
        <d v="2023-10-10T00:00:00"/>
        <d v="2023-10-11T00:00:00"/>
        <d v="2023-10-12T00:00:00"/>
        <d v="2023-10-13T00:00:00"/>
        <d v="2023-10-16T00:00:00"/>
        <d v="2023-10-17T00:00:00"/>
        <d v="2023-10-18T00:00:00"/>
        <d v="2023-10-19T00:00:00"/>
        <d v="2023-10-20T00:00:00"/>
        <d v="2023-10-23T00:00:00"/>
        <d v="2023-10-24T00:00:00"/>
        <d v="2023-10-25T00:00:00"/>
        <d v="2023-10-26T00:00:00"/>
        <d v="2023-10-27T00:00:00"/>
        <d v="2023-10-30T00:00:00"/>
        <d v="2023-10-31T00:00:00"/>
        <d v="2023-11-01T00:00:00"/>
        <d v="2023-11-02T00:00:00"/>
        <d v="2023-11-03T00:00:00"/>
        <d v="2023-11-06T00:00:00"/>
        <d v="2023-11-07T00:00:00"/>
        <d v="2023-11-08T00:00:00"/>
        <d v="2023-11-09T00:00:00"/>
        <d v="2023-11-10T00:00:00"/>
        <d v="2023-11-13T00:00:00"/>
        <d v="2023-11-14T00:00:00"/>
        <d v="2023-11-15T00:00:00"/>
        <d v="2023-11-16T00:00:00"/>
        <d v="2023-11-17T00:00:00"/>
        <d v="2023-11-20T00:00:00"/>
        <d v="2023-11-21T00:00:00"/>
        <d v="2023-11-22T00:00:00"/>
        <d v="2023-11-23T00:00:00"/>
        <d v="2023-11-24T00:00:00"/>
        <d v="2023-11-27T00:00:00"/>
        <d v="2023-11-28T00:00:00"/>
        <d v="2023-11-29T00:00:00"/>
        <d v="2023-11-30T00:00:00"/>
        <d v="2023-12-01T00:00:00"/>
        <d v="2023-12-04T00:00:00"/>
        <d v="2023-12-05T00:00:00"/>
        <d v="2023-12-06T00:00:00"/>
        <d v="2023-12-07T00:00:00"/>
        <d v="2023-12-08T00:00:00"/>
        <d v="2023-12-11T00:00:00"/>
        <d v="2023-12-12T00:00:00"/>
        <d v="2023-12-13T00:00:00"/>
        <d v="2023-12-14T00:00:00"/>
        <d v="2023-12-15T00:00:00"/>
        <d v="2023-12-18T00:00:00"/>
        <d v="2023-12-19T00:00:00"/>
        <d v="2023-12-20T00:00:00"/>
        <d v="2023-12-21T00:00:00"/>
        <d v="2023-12-22T00:00:00"/>
        <d v="2023-12-27T00:00:00"/>
        <d v="2023-12-28T00:00:00"/>
        <d v="2023-12-29T00:00:00"/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5T00:00:00"/>
        <d v="2024-01-16T00:00:00"/>
        <d v="2024-01-17T00:00:00"/>
        <d v="2024-01-18T00:00:00"/>
        <d v="2024-01-19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</sharedItems>
    </cacheField>
    <cacheField name="[investment].[Name].[Name]" caption="Name" numFmtId="0" level="1">
      <sharedItems count="11">
        <s v="^OMXH25.csv"/>
        <s v="AKTIA.HE.csv"/>
        <s v="ASPO.HE.csv"/>
        <s v="FIA1S.HE.csv"/>
        <s v="FORTUM.HE.csv"/>
        <s v="KESKOA.HE.csv"/>
        <s v="METSO.HE.csv"/>
        <s v="NESTE.HE.csv"/>
        <s v="NOKIA.HE.csv"/>
        <s v="UPM.HE.csv"/>
        <s v="VALMT.HE.csv"/>
      </sharedItems>
    </cacheField>
  </cacheFields>
  <cacheHierarchies count="10">
    <cacheHierarchy uniqueName="[investment].[Name]" caption="Name" attribute="1" defaultMemberUniqueName="[investment].[Name].[All]" allUniqueName="[investment].[Name].[All]" dimensionUniqueName="[investment]" displayFolder="" count="2" memberValueDatatype="130" unbalanced="0">
      <fieldsUsage count="2">
        <fieldUsage x="-1"/>
        <fieldUsage x="2"/>
      </fieldsUsage>
    </cacheHierarchy>
    <cacheHierarchy uniqueName="[investment].[Date]" caption="Date" attribute="1" time="1" defaultMemberUniqueName="[investment].[Date].[All]" allUniqueName="[investment].[Date].[All]" dimensionUniqueName="[investment]" displayFolder="" count="2" memberValueDatatype="7" unbalanced="0">
      <fieldsUsage count="2">
        <fieldUsage x="-1"/>
        <fieldUsage x="1"/>
      </fieldsUsage>
    </cacheHierarchy>
    <cacheHierarchy uniqueName="[investment].[Adj Close]" caption="Adj Close" attribute="1" defaultMemberUniqueName="[investment].[Adj Close].[All]" allUniqueName="[investment].[Adj Close].[All]" dimensionUniqueName="[investment]" displayFolder="" count="0" memberValueDatatype="5" unbalanced="0"/>
    <cacheHierarchy uniqueName="[investment].[Date (Year)]" caption="Date (Year)" attribute="1" defaultMemberUniqueName="[investment].[Date (Year)].[All]" allUniqueName="[investment].[Date (Year)].[All]" dimensionUniqueName="[investment]" displayFolder="" count="2" memberValueDatatype="130" unbalanced="0"/>
    <cacheHierarchy uniqueName="[investment].[Date (Quarter)]" caption="Date (Quarter)" attribute="1" defaultMemberUniqueName="[investment].[Date (Quarter)].[All]" allUniqueName="[investment].[Date (Quarter)].[All]" dimensionUniqueName="[investment]" displayFolder="" count="2" memberValueDatatype="130" unbalanced="0"/>
    <cacheHierarchy uniqueName="[investment].[Date (Month)]" caption="Date (Month)" attribute="1" defaultMemberUniqueName="[investment].[Date (Month)].[All]" allUniqueName="[investment].[Date (Month)].[All]" dimensionUniqueName="[investment]" displayFolder="" count="2" memberValueDatatype="130" unbalanced="0"/>
    <cacheHierarchy uniqueName="[investment].[Date (Month Index)]" caption="Date (Month Index)" attribute="1" defaultMemberUniqueName="[investment].[Date (Month Index)].[All]" allUniqueName="[investment].[Date (Month Index)].[All]" dimensionUniqueName="[investment]" displayFolder="" count="0" memberValueDatatype="20" unbalanced="0" hidden="1"/>
    <cacheHierarchy uniqueName="[Measures].[__XL_Count investment]" caption="__XL_Count investment" measure="1" displayFolder="" measureGroup="investment" count="0" hidden="1"/>
    <cacheHierarchy uniqueName="[Measures].[__No measures defined]" caption="__No measures defined" measure="1" displayFolder="" count="0" hidden="1"/>
    <cacheHierarchy uniqueName="[Measures].[Sum of Adj Close]" caption="Sum of Adj Close" measure="1" displayFolder="" measureGroup="investment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name="investment" uniqueName="[investment]" caption="investment"/>
    <dimension measure="1" name="Measures" uniqueName="[Measures]" caption="Measures"/>
  </dimensions>
  <measureGroups count="1">
    <measureGroup name="investment" caption="investment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0C115-79D9-42FC-8CDC-18277F32B6FB}" name="PivotTable3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L511" firstHeaderRow="1" firstDataRow="2" firstDataCol="1"/>
  <pivotFields count="3">
    <pivotField dataField="1" compact="0" outline="0" subtotalTop="0" showAll="0" defaultSubtotal="0"/>
    <pivotField axis="axisRow" compact="0" allDrilled="1" outline="0" showAll="0" dataSourceSort="1" defaultAttributeDrillState="1">
      <items count="5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t="default"/>
      </items>
    </pivotField>
    <pivotField axis="axisCol" compact="0" allDrilled="1" outline="0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"/>
  </rowFields>
  <rowItems count="5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Sum of Adj Close" fld="0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ook1!investment">
        <x15:activeTabTopLevelEntity name="[investmen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EE0DAA-04EB-49C1-BB5A-332853BDA4F7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ate" tableColumnId="2"/>
      <queryTableField id="3" name="Adj Clos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ED39FF-02B2-4440-9AAF-FFC2B5270B7C}" name="Table2" displayName="Table2" ref="M4:W511" totalsRowShown="0" headerRowDxfId="15" dataDxfId="13" headerRowBorderDxfId="14" dataCellStyle="Percent">
  <autoFilter ref="M4:W511" xr:uid="{2FED39FF-02B2-4440-9AAF-FFC2B5270B7C}"/>
  <tableColumns count="11">
    <tableColumn id="1" xr3:uid="{9DE3975C-7601-4C9F-BD2B-AE0B79B432EC}" name="^OMXH25.csv" dataDxfId="12" dataCellStyle="Percent">
      <calculatedColumnFormula>B5/B6-1</calculatedColumnFormula>
    </tableColumn>
    <tableColumn id="2" xr3:uid="{9408A820-DEA0-45BA-9BE9-6C042F1469CD}" name="AKTIA.HE.csv" dataDxfId="11" dataCellStyle="Percent">
      <calculatedColumnFormula>C5/C6-1</calculatedColumnFormula>
    </tableColumn>
    <tableColumn id="3" xr3:uid="{8F68CA2F-0DDD-46A4-B071-08F9C7333154}" name="ASPO.HE.csv" dataDxfId="10" dataCellStyle="Percent">
      <calculatedColumnFormula>D5/D6-1</calculatedColumnFormula>
    </tableColumn>
    <tableColumn id="4" xr3:uid="{79F4DF4A-BEFB-4A4D-B223-B4AA1B753FDD}" name="FIA1S.HE.csv" dataDxfId="9" dataCellStyle="Percent">
      <calculatedColumnFormula>E5/E6-1</calculatedColumnFormula>
    </tableColumn>
    <tableColumn id="5" xr3:uid="{84D3C7CB-9AAD-4DBC-A42B-02075255388E}" name="FORTUM.HE.csv" dataDxfId="8" dataCellStyle="Percent">
      <calculatedColumnFormula>F5/F6-1</calculatedColumnFormula>
    </tableColumn>
    <tableColumn id="6" xr3:uid="{14B1A33A-8208-4190-8BA8-8382D08ECAD7}" name="KESKOA.HE.csv" dataDxfId="7" dataCellStyle="Percent">
      <calculatedColumnFormula>G5/G6-1</calculatedColumnFormula>
    </tableColumn>
    <tableColumn id="7" xr3:uid="{B937BFFE-FC96-4470-9D03-057EBF70DCD7}" name="METSO.HE.csv" dataDxfId="6" dataCellStyle="Percent">
      <calculatedColumnFormula>H5/H6-1</calculatedColumnFormula>
    </tableColumn>
    <tableColumn id="8" xr3:uid="{75281305-BA79-4D80-8B73-367F1908166B}" name="NESTE.HE.csv" dataDxfId="5" dataCellStyle="Percent">
      <calculatedColumnFormula>I5/I6-1</calculatedColumnFormula>
    </tableColumn>
    <tableColumn id="9" xr3:uid="{1F4DEEBA-08DF-4780-855C-9C87A5031C23}" name="NOKIA.HE.csv" dataDxfId="4" dataCellStyle="Percent">
      <calculatedColumnFormula>J5/J6-1</calculatedColumnFormula>
    </tableColumn>
    <tableColumn id="10" xr3:uid="{FE9648F3-84BC-4A6C-9868-04FF8DB82F7F}" name="UPM.HE.csv" dataDxfId="3" dataCellStyle="Percent">
      <calculatedColumnFormula>K5/K6-1</calculatedColumnFormula>
    </tableColumn>
    <tableColumn id="11" xr3:uid="{DA8A68D6-AA28-4881-AF5B-796B88345C7A}" name="VALMT.HE.csv" dataDxfId="2" dataCellStyle="Percent">
      <calculatedColumnFormula>L5/L6-1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4C6017-C4C5-4A50-96B5-AC8847B3C12D}" name="investment" displayName="investment" ref="A1:C5556" tableType="queryTable" totalsRowShown="0">
  <autoFilter ref="A1:C5556" xr:uid="{4F4C6017-C4C5-4A50-96B5-AC8847B3C12D}"/>
  <tableColumns count="3">
    <tableColumn id="1" xr3:uid="{7EC5DD30-A454-4884-BEFE-61496B16FF24}" uniqueName="1" name="Name" queryTableFieldId="1" dataDxfId="1"/>
    <tableColumn id="2" xr3:uid="{63E9B23C-900D-4D12-878C-FF66B782B83B}" uniqueName="2" name="Date" queryTableFieldId="2" dataDxfId="0"/>
    <tableColumn id="3" xr3:uid="{50E8D0A0-57EA-4D98-9214-C19B742326E0}" uniqueName="3" name="Adj Close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17F45-BBC5-489B-A34B-B794FE33D380}">
  <sheetPr codeName="Sheet1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CFE0E-5E70-4585-BAE8-C14E2AC89839}">
  <sheetPr codeName="Sheet2"/>
  <dimension ref="A1:AU511"/>
  <sheetViews>
    <sheetView tabSelected="1" topLeftCell="T1" workbookViewId="0">
      <selection activeCell="AI13" sqref="AI13"/>
    </sheetView>
  </sheetViews>
  <sheetFormatPr defaultRowHeight="15" x14ac:dyDescent="0.25"/>
  <cols>
    <col min="1" max="1" width="16" bestFit="1" customWidth="1"/>
    <col min="2" max="2" width="13.140625" bestFit="1" customWidth="1"/>
    <col min="3" max="3" width="12.42578125" bestFit="1" customWidth="1"/>
    <col min="4" max="5" width="12" bestFit="1" customWidth="1"/>
    <col min="6" max="6" width="15.140625" bestFit="1" customWidth="1"/>
    <col min="7" max="7" width="14.28515625" bestFit="1" customWidth="1"/>
    <col min="8" max="8" width="13.5703125" bestFit="1" customWidth="1"/>
    <col min="9" max="9" width="12.5703125" bestFit="1" customWidth="1"/>
    <col min="10" max="10" width="13.140625" bestFit="1" customWidth="1"/>
    <col min="11" max="11" width="11.5703125" bestFit="1" customWidth="1"/>
    <col min="12" max="12" width="13.5703125" bestFit="1" customWidth="1"/>
    <col min="13" max="13" width="15.140625" customWidth="1"/>
    <col min="14" max="14" width="14.5703125" customWidth="1"/>
    <col min="15" max="16" width="14.140625" customWidth="1"/>
    <col min="17" max="17" width="17.140625" customWidth="1"/>
    <col min="18" max="18" width="16.28515625" customWidth="1"/>
    <col min="19" max="19" width="15.5703125" customWidth="1"/>
    <col min="20" max="20" width="14.7109375" customWidth="1"/>
    <col min="21" max="21" width="15.140625" customWidth="1"/>
    <col min="22" max="22" width="13.7109375" customWidth="1"/>
    <col min="23" max="23" width="15.5703125" customWidth="1"/>
    <col min="25" max="25" width="17.28515625" customWidth="1"/>
    <col min="26" max="26" width="19.5703125" bestFit="1" customWidth="1"/>
    <col min="32" max="33" width="12" bestFit="1" customWidth="1"/>
    <col min="35" max="35" width="12" bestFit="1" customWidth="1"/>
    <col min="37" max="39" width="12" bestFit="1" customWidth="1"/>
    <col min="40" max="40" width="11.5703125" customWidth="1"/>
    <col min="42" max="42" width="12" bestFit="1" customWidth="1"/>
    <col min="44" max="47" width="12" bestFit="1" customWidth="1"/>
  </cols>
  <sheetData>
    <row r="1" spans="1:47" x14ac:dyDescent="0.25">
      <c r="N1">
        <f>AVERAGE(Table2[AKTIA.HE.csv])</f>
        <v>4.3633230182542543E-4</v>
      </c>
      <c r="O1">
        <f>AVERAGE(Table2[ASPO.HE.csv])</f>
        <v>9.662980570791245E-4</v>
      </c>
      <c r="P1">
        <f>AVERAGE(Table2[FIA1S.HE.csv])</f>
        <v>3.0720511607875878E-3</v>
      </c>
      <c r="Q1">
        <f>AVERAGE(Table2[FORTUM.HE.csv])</f>
        <v>1.6042312389026765E-3</v>
      </c>
      <c r="R1">
        <f>AVERAGE(Table2[KESKOA.HE.csv])</f>
        <v>5.3962162281038714E-4</v>
      </c>
      <c r="S1">
        <f>AVERAGE(Table2[METSO.HE.csv])</f>
        <v>6.0026394273657177E-5</v>
      </c>
      <c r="T1">
        <f>AVERAGE(Table2[NESTE.HE.csv])</f>
        <v>9.6086852526025232E-4</v>
      </c>
      <c r="U1">
        <f>AVERAGE(Table2[NOKIA.HE.csv])</f>
        <v>8.5590420212864195E-4</v>
      </c>
      <c r="V1">
        <f>AVERAGE(Table2[UPM.HE.csv])</f>
        <v>3.1760035719209629E-4</v>
      </c>
      <c r="W1">
        <f>AVERAGE(Table2[VALMT.HE.csv])</f>
        <v>5.0295183688007334E-4</v>
      </c>
    </row>
    <row r="3" spans="1:47" x14ac:dyDescent="0.25">
      <c r="A3" s="2" t="s">
        <v>14</v>
      </c>
      <c r="B3" s="2" t="s">
        <v>0</v>
      </c>
      <c r="M3" t="s">
        <v>15</v>
      </c>
    </row>
    <row r="4" spans="1:47" ht="15.75" thickBot="1" x14ac:dyDescent="0.3">
      <c r="A4" s="2" t="s">
        <v>1</v>
      </c>
      <c r="B4" t="s">
        <v>13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I4" t="s">
        <v>9</v>
      </c>
      <c r="J4" t="s">
        <v>10</v>
      </c>
      <c r="K4" t="s">
        <v>11</v>
      </c>
      <c r="L4" t="s">
        <v>12</v>
      </c>
      <c r="M4" s="5" t="s">
        <v>13</v>
      </c>
      <c r="N4" s="5" t="s">
        <v>3</v>
      </c>
      <c r="O4" s="5" t="s">
        <v>4</v>
      </c>
      <c r="P4" s="5" t="s">
        <v>5</v>
      </c>
      <c r="Q4" s="5" t="s">
        <v>6</v>
      </c>
      <c r="R4" s="5" t="s">
        <v>7</v>
      </c>
      <c r="S4" s="5" t="s">
        <v>8</v>
      </c>
      <c r="T4" s="5" t="s">
        <v>9</v>
      </c>
      <c r="U4" s="5" t="s">
        <v>10</v>
      </c>
      <c r="V4" s="5" t="s">
        <v>11</v>
      </c>
      <c r="W4" s="5" t="s">
        <v>12</v>
      </c>
    </row>
    <row r="5" spans="1:47" x14ac:dyDescent="0.25">
      <c r="A5" s="1">
        <v>44603</v>
      </c>
      <c r="B5">
        <v>5269.7299800000001</v>
      </c>
      <c r="C5">
        <v>10.653893</v>
      </c>
      <c r="D5">
        <v>9.1313560000000003</v>
      </c>
      <c r="E5">
        <v>0.106363</v>
      </c>
      <c r="F5">
        <v>21.393097000000001</v>
      </c>
      <c r="G5">
        <v>22.194710000000001</v>
      </c>
      <c r="H5">
        <v>8.4912449999999993</v>
      </c>
      <c r="I5">
        <v>36.747112000000001</v>
      </c>
      <c r="J5">
        <v>4.751112</v>
      </c>
      <c r="K5">
        <v>30.227882000000001</v>
      </c>
      <c r="L5">
        <v>29.764790999999999</v>
      </c>
      <c r="M5" s="4">
        <f>B5/B6-1</f>
        <v>2.3870791414416281E-2</v>
      </c>
      <c r="N5" s="4">
        <f t="shared" ref="N5:W20" si="0">C5/C6-1</f>
        <v>2.9772357516118619E-2</v>
      </c>
      <c r="O5" s="4">
        <f>D5/D6-1</f>
        <v>3.4068107224072941E-2</v>
      </c>
      <c r="P5" s="4">
        <f t="shared" si="0"/>
        <v>3.0918941971252112E-2</v>
      </c>
      <c r="Q5" s="4">
        <f t="shared" si="0"/>
        <v>4.6245217874578248E-2</v>
      </c>
      <c r="R5" s="4">
        <f t="shared" si="0"/>
        <v>1.6426993759391051E-2</v>
      </c>
      <c r="S5" s="4">
        <f t="shared" si="0"/>
        <v>2.0112736564778411E-2</v>
      </c>
      <c r="T5" s="4">
        <f t="shared" si="0"/>
        <v>1.0109225440974923E-2</v>
      </c>
      <c r="U5" s="4">
        <f t="shared" si="0"/>
        <v>2.6561407170549334E-2</v>
      </c>
      <c r="V5" s="4">
        <f t="shared" si="0"/>
        <v>8.5313786672427394E-3</v>
      </c>
      <c r="W5" s="4">
        <f t="shared" si="0"/>
        <v>7.1141023119394298E-3</v>
      </c>
      <c r="X5" s="4"/>
      <c r="AA5" t="s">
        <v>16</v>
      </c>
      <c r="AB5" t="s">
        <v>17</v>
      </c>
      <c r="AK5" s="18"/>
      <c r="AL5" s="18" t="s">
        <v>3</v>
      </c>
      <c r="AM5" s="18" t="s">
        <v>4</v>
      </c>
      <c r="AN5" s="18" t="s">
        <v>5</v>
      </c>
      <c r="AO5" s="18" t="s">
        <v>6</v>
      </c>
      <c r="AP5" s="18" t="s">
        <v>7</v>
      </c>
      <c r="AQ5" s="18" t="s">
        <v>8</v>
      </c>
      <c r="AR5" s="18" t="s">
        <v>9</v>
      </c>
      <c r="AS5" s="18" t="s">
        <v>10</v>
      </c>
      <c r="AT5" s="18" t="s">
        <v>11</v>
      </c>
      <c r="AU5" s="18" t="s">
        <v>12</v>
      </c>
    </row>
    <row r="6" spans="1:47" x14ac:dyDescent="0.25">
      <c r="A6" s="1">
        <v>44606</v>
      </c>
      <c r="B6">
        <v>5146.8701170000004</v>
      </c>
      <c r="C6">
        <v>10.345872</v>
      </c>
      <c r="D6">
        <v>8.8305170000000004</v>
      </c>
      <c r="E6">
        <v>0.103173</v>
      </c>
      <c r="F6">
        <v>20.447498</v>
      </c>
      <c r="G6">
        <v>21.836010000000002</v>
      </c>
      <c r="H6">
        <v>8.3238299999999992</v>
      </c>
      <c r="I6">
        <v>36.379345000000001</v>
      </c>
      <c r="J6">
        <v>4.6281809999999997</v>
      </c>
      <c r="K6">
        <v>29.972178</v>
      </c>
      <c r="L6">
        <v>29.554537</v>
      </c>
      <c r="M6" s="4">
        <f>B6/B7-1</f>
        <v>-1.1976682254781545E-2</v>
      </c>
      <c r="N6" s="4">
        <f t="shared" si="0"/>
        <v>-2.7257254620115079E-2</v>
      </c>
      <c r="O6" s="4">
        <f t="shared" ref="O6:Q69" si="1">D6/D7-1</f>
        <v>-2.1568660474064916E-2</v>
      </c>
      <c r="P6" s="4">
        <f t="shared" si="0"/>
        <v>-3.2429593645375232E-2</v>
      </c>
      <c r="Q6" s="4">
        <f t="shared" si="0"/>
        <v>-4.224843446939297E-3</v>
      </c>
      <c r="R6" s="4">
        <f t="shared" si="0"/>
        <v>-2.5999937552689922E-2</v>
      </c>
      <c r="S6" s="4">
        <f t="shared" si="0"/>
        <v>-1.9064408268923305E-2</v>
      </c>
      <c r="T6" s="4">
        <f t="shared" si="0"/>
        <v>-9.4863402630330773E-3</v>
      </c>
      <c r="U6" s="4">
        <f t="shared" si="0"/>
        <v>-1.1555886447846442E-2</v>
      </c>
      <c r="V6" s="4">
        <f t="shared" si="0"/>
        <v>-1.2635372282548074E-2</v>
      </c>
      <c r="W6" s="4">
        <f t="shared" si="0"/>
        <v>-9.1939392360687044E-3</v>
      </c>
      <c r="Z6" s="6" t="s">
        <v>3</v>
      </c>
      <c r="AA6">
        <f>SLOPE(Table2[^OMXH25.csv],Table2[AKTIA.HE.csv])</f>
        <v>0.4162032675512457</v>
      </c>
      <c r="AB6" s="3">
        <f>504*N1</f>
        <v>0.21991148012001441</v>
      </c>
      <c r="AK6" s="16" t="s">
        <v>3</v>
      </c>
      <c r="AL6" s="16">
        <f>VARP(Sheet4!$N$5:$N$510)</f>
        <v>2.1591816582321174E-4</v>
      </c>
      <c r="AM6" s="16">
        <f>AL7</f>
        <v>7.0634817043624043E-5</v>
      </c>
      <c r="AN6" s="16">
        <f>AL8</f>
        <v>8.1240245603471833E-5</v>
      </c>
      <c r="AO6" s="16">
        <f>AL9</f>
        <v>1.1134693881341567E-4</v>
      </c>
      <c r="AP6" s="16">
        <f>AL10</f>
        <v>7.5380081452513828E-5</v>
      </c>
      <c r="AQ6" s="16">
        <f>AL12</f>
        <v>1.1099929242772713E-4</v>
      </c>
      <c r="AR6" s="16">
        <f>AL12</f>
        <v>1.1099929242772713E-4</v>
      </c>
      <c r="AS6" s="16">
        <f>AL13</f>
        <v>7.8857145888844632E-5</v>
      </c>
      <c r="AT6" s="16">
        <f>AL14</f>
        <v>8.674994050608117E-5</v>
      </c>
      <c r="AU6" s="16">
        <f>AL15</f>
        <v>1.0185789849422036E-4</v>
      </c>
    </row>
    <row r="7" spans="1:47" x14ac:dyDescent="0.25">
      <c r="A7" s="1">
        <v>44607</v>
      </c>
      <c r="B7">
        <v>5209.2597660000001</v>
      </c>
      <c r="C7">
        <v>10.635774</v>
      </c>
      <c r="D7">
        <v>9.0251780000000004</v>
      </c>
      <c r="E7">
        <v>0.106631</v>
      </c>
      <c r="F7">
        <v>20.534251999999999</v>
      </c>
      <c r="G7">
        <v>22.418900000000001</v>
      </c>
      <c r="H7">
        <v>8.4856029999999993</v>
      </c>
      <c r="I7">
        <v>36.727756999999997</v>
      </c>
      <c r="J7">
        <v>4.6822889999999999</v>
      </c>
      <c r="K7">
        <v>30.355734000000002</v>
      </c>
      <c r="L7">
        <v>29.828780999999999</v>
      </c>
      <c r="M7" s="4">
        <f t="shared" ref="M7:N69" si="2">B7/B8-1</f>
        <v>-3.87606913687355E-3</v>
      </c>
      <c r="N7" s="4">
        <f t="shared" si="0"/>
        <v>5.1971316061290684E-2</v>
      </c>
      <c r="O7" s="4">
        <f t="shared" si="1"/>
        <v>-1.3539760504200693E-2</v>
      </c>
      <c r="P7" s="4">
        <f t="shared" si="0"/>
        <v>-9.4629539407098395E-4</v>
      </c>
      <c r="Q7" s="4">
        <f t="shared" si="0"/>
        <v>1.7626820694114587E-2</v>
      </c>
      <c r="R7" s="4">
        <f t="shared" si="0"/>
        <v>8.0645523910829464E-3</v>
      </c>
      <c r="S7" s="4">
        <f t="shared" si="0"/>
        <v>1.9204728485618494E-2</v>
      </c>
      <c r="T7" s="4">
        <f t="shared" si="0"/>
        <v>-1.2490061448486744E-2</v>
      </c>
      <c r="U7" s="4">
        <f t="shared" si="0"/>
        <v>-3.4546941381110585E-2</v>
      </c>
      <c r="V7" s="4">
        <f t="shared" si="0"/>
        <v>-1.7730418999763353E-2</v>
      </c>
      <c r="W7" s="4">
        <f t="shared" si="0"/>
        <v>1.1783022116214736E-2</v>
      </c>
      <c r="Z7" s="6" t="s">
        <v>4</v>
      </c>
      <c r="AA7">
        <f>SLOPE(Table2[^OMXH25.csv],Table2[ASPO.HE.csv])</f>
        <v>0.26386931001923813</v>
      </c>
      <c r="AB7" s="3">
        <f>504*O1</f>
        <v>0.48701422076787876</v>
      </c>
      <c r="AK7" s="16" t="s">
        <v>4</v>
      </c>
      <c r="AL7" s="16">
        <v>7.0634817043624043E-5</v>
      </c>
      <c r="AM7" s="16">
        <f>VARP(Sheet4!$O$5:$O$510)</f>
        <v>3.4808313792760695E-4</v>
      </c>
      <c r="AN7" s="16">
        <f>AM8</f>
        <v>2.158557037961837E-4</v>
      </c>
      <c r="AO7" s="16">
        <f>AM9</f>
        <v>1.3905717484431908E-4</v>
      </c>
      <c r="AP7" s="16">
        <f>AM10</f>
        <v>6.9878691656766553E-5</v>
      </c>
      <c r="AQ7" s="16">
        <f>AM11</f>
        <v>1.3960101582187354E-4</v>
      </c>
      <c r="AR7" s="16">
        <f>AM12</f>
        <v>1.2042609539943502E-4</v>
      </c>
      <c r="AS7" s="16">
        <f>AM13</f>
        <v>8.3226478662058075E-5</v>
      </c>
      <c r="AT7" s="16">
        <f>AM14</f>
        <v>8.9756743345171982E-5</v>
      </c>
      <c r="AU7" s="16">
        <f>AM15</f>
        <v>9.8872584796496206E-5</v>
      </c>
    </row>
    <row r="8" spans="1:47" x14ac:dyDescent="0.25">
      <c r="A8" s="1">
        <v>44608</v>
      </c>
      <c r="B8">
        <v>5229.5297849999997</v>
      </c>
      <c r="C8">
        <v>10.110327</v>
      </c>
      <c r="D8">
        <v>9.1490539999999996</v>
      </c>
      <c r="E8">
        <v>0.10673199999999999</v>
      </c>
      <c r="F8">
        <v>20.178567999999999</v>
      </c>
      <c r="G8">
        <v>22.239547999999999</v>
      </c>
      <c r="H8">
        <v>8.3257100000000008</v>
      </c>
      <c r="I8">
        <v>37.192290999999997</v>
      </c>
      <c r="J8">
        <v>4.8498359999999998</v>
      </c>
      <c r="K8">
        <v>30.903669000000001</v>
      </c>
      <c r="L8">
        <v>29.481401000000002</v>
      </c>
      <c r="M8" s="4">
        <f t="shared" si="2"/>
        <v>1.5070128813967631E-2</v>
      </c>
      <c r="N8" s="4">
        <f t="shared" si="0"/>
        <v>7.1017271422274542E-2</v>
      </c>
      <c r="O8" s="4">
        <f t="shared" si="1"/>
        <v>2.9880542892093187E-2</v>
      </c>
      <c r="P8" s="4">
        <f t="shared" si="0"/>
        <v>3.5499112279646416E-2</v>
      </c>
      <c r="Q8" s="4">
        <f t="shared" si="0"/>
        <v>3.0185146100660809E-3</v>
      </c>
      <c r="R8" s="4">
        <f t="shared" si="0"/>
        <v>8.1302095530075835E-3</v>
      </c>
      <c r="S8" s="4">
        <f t="shared" si="0"/>
        <v>1.2582930463072683E-2</v>
      </c>
      <c r="T8" s="4">
        <f t="shared" si="0"/>
        <v>4.0899251329163722E-2</v>
      </c>
      <c r="U8" s="4">
        <f t="shared" si="0"/>
        <v>3.3386446567409411E-3</v>
      </c>
      <c r="V8" s="4">
        <f t="shared" si="0"/>
        <v>2.3283864480984295E-2</v>
      </c>
      <c r="W8" s="4">
        <f t="shared" si="0"/>
        <v>1.7029255898722395E-2</v>
      </c>
      <c r="Z8" s="6" t="s">
        <v>5</v>
      </c>
      <c r="AA8">
        <f>SLOPE(Table2[^OMXH25.csv],Table2[FIA1S.HE.csv])</f>
        <v>7.623638474290359E-2</v>
      </c>
      <c r="AB8" s="3">
        <f>504*P1</f>
        <v>1.5483137850369442</v>
      </c>
      <c r="AK8" s="16" t="s">
        <v>5</v>
      </c>
      <c r="AL8" s="16">
        <v>8.1240245603471833E-5</v>
      </c>
      <c r="AM8" s="16">
        <v>2.158557037961837E-4</v>
      </c>
      <c r="AN8" s="16">
        <f>VARP(Sheet4!$P$5:$P$510)</f>
        <v>1.5569248630156157E-3</v>
      </c>
      <c r="AO8" s="16">
        <f>AN9</f>
        <v>1.6483597779170741E-4</v>
      </c>
      <c r="AP8" s="16">
        <f>AN10</f>
        <v>7.5270887139842425E-5</v>
      </c>
      <c r="AQ8" s="16">
        <f>AN11</f>
        <v>2.3429475383829199E-4</v>
      </c>
      <c r="AR8" s="16">
        <f>AN12</f>
        <v>1.525067854475146E-4</v>
      </c>
      <c r="AS8" s="16">
        <f>AN13</f>
        <v>1.0595276751496562E-4</v>
      </c>
      <c r="AT8" s="16">
        <f>AN14</f>
        <v>1.0980241480690713E-4</v>
      </c>
      <c r="AU8" s="16">
        <f>AN15</f>
        <v>1.538907654829618E-4</v>
      </c>
    </row>
    <row r="9" spans="1:47" x14ac:dyDescent="0.25">
      <c r="A9" s="1">
        <v>44609</v>
      </c>
      <c r="B9">
        <v>5151.8901370000003</v>
      </c>
      <c r="C9">
        <v>9.4399289999999993</v>
      </c>
      <c r="D9">
        <v>8.8836069999999996</v>
      </c>
      <c r="E9">
        <v>0.103073</v>
      </c>
      <c r="F9">
        <v>20.117842</v>
      </c>
      <c r="G9">
        <v>22.060193999999999</v>
      </c>
      <c r="H9">
        <v>8.2222500000000007</v>
      </c>
      <c r="I9">
        <v>35.730922999999997</v>
      </c>
      <c r="J9">
        <v>4.8336980000000001</v>
      </c>
      <c r="K9">
        <v>30.200485</v>
      </c>
      <c r="L9">
        <v>28.987760999999999</v>
      </c>
      <c r="M9" s="4">
        <f t="shared" si="2"/>
        <v>7.1353306438921571E-3</v>
      </c>
      <c r="N9" s="4">
        <f t="shared" si="0"/>
        <v>1.9569509458090328E-2</v>
      </c>
      <c r="O9" s="4">
        <f t="shared" si="1"/>
        <v>2.4489779443563453E-2</v>
      </c>
      <c r="P9" s="4">
        <f t="shared" si="0"/>
        <v>3.6026211503070726E-3</v>
      </c>
      <c r="Q9" s="4">
        <f t="shared" si="0"/>
        <v>1.8445407166463479E-2</v>
      </c>
      <c r="R9" s="4">
        <f t="shared" si="0"/>
        <v>1.2345736799949103E-2</v>
      </c>
      <c r="S9" s="4">
        <f t="shared" si="0"/>
        <v>1.2508820085042283E-2</v>
      </c>
      <c r="T9" s="4">
        <f t="shared" si="0"/>
        <v>4.6781854421805269E-2</v>
      </c>
      <c r="U9" s="4">
        <f t="shared" si="0"/>
        <v>1.3333271839126137E-2</v>
      </c>
      <c r="V9" s="4">
        <f t="shared" si="0"/>
        <v>6.0525706246150612E-4</v>
      </c>
      <c r="W9" s="4">
        <f t="shared" si="0"/>
        <v>1.3746825239314697E-2</v>
      </c>
      <c r="Z9" s="6" t="s">
        <v>6</v>
      </c>
      <c r="AA9">
        <f>SLOPE(Table2[^OMXH25.csv],Table2[FORTUM.HE.csv])</f>
        <v>0.23404730876566449</v>
      </c>
      <c r="AB9" s="3">
        <f>504*Q1</f>
        <v>0.80853254440694899</v>
      </c>
      <c r="AK9" s="16" t="s">
        <v>6</v>
      </c>
      <c r="AL9" s="16">
        <v>1.1134693881341567E-4</v>
      </c>
      <c r="AM9" s="16">
        <v>1.3905717484431908E-4</v>
      </c>
      <c r="AN9" s="16">
        <v>1.6483597779170741E-4</v>
      </c>
      <c r="AO9" s="16">
        <f>VARP(Sheet4!$Q$5:$Q$510)</f>
        <v>6.7706654769619161E-4</v>
      </c>
      <c r="AP9" s="16">
        <f>AO10</f>
        <v>1.0768531078887103E-4</v>
      </c>
      <c r="AQ9" s="16">
        <f>AO11</f>
        <v>1.9954237591248374E-4</v>
      </c>
      <c r="AR9" s="16">
        <f>AO12</f>
        <v>1.8475062135514333E-4</v>
      </c>
      <c r="AS9" s="16">
        <f>AO13</f>
        <v>1.1309910621201867E-4</v>
      </c>
      <c r="AT9" s="16">
        <f>AO14</f>
        <v>1.4662602888171819E-4</v>
      </c>
      <c r="AU9" s="16">
        <f>AO15</f>
        <v>1.5396179475459879E-4</v>
      </c>
    </row>
    <row r="10" spans="1:47" x14ac:dyDescent="0.25">
      <c r="A10" s="1">
        <v>44610</v>
      </c>
      <c r="B10">
        <v>5115.3901370000003</v>
      </c>
      <c r="C10">
        <v>9.2587399999999995</v>
      </c>
      <c r="D10">
        <v>8.6712500000000006</v>
      </c>
      <c r="E10">
        <v>0.102703</v>
      </c>
      <c r="F10">
        <v>19.753481000000001</v>
      </c>
      <c r="G10">
        <v>21.791166</v>
      </c>
      <c r="H10">
        <v>8.1206700000000005</v>
      </c>
      <c r="I10">
        <v>34.134067999999999</v>
      </c>
      <c r="J10">
        <v>4.7700969999999998</v>
      </c>
      <c r="K10">
        <v>30.182217000000001</v>
      </c>
      <c r="L10">
        <v>28.594674999999999</v>
      </c>
      <c r="M10" s="4">
        <f t="shared" si="2"/>
        <v>1.2082795534626323E-2</v>
      </c>
      <c r="N10" s="4">
        <f t="shared" si="0"/>
        <v>3.9291936256349302E-3</v>
      </c>
      <c r="O10" s="4">
        <f t="shared" si="1"/>
        <v>4.8128260801508116E-2</v>
      </c>
      <c r="P10" s="4">
        <f t="shared" si="0"/>
        <v>1.9323911231093005E-2</v>
      </c>
      <c r="Q10" s="4">
        <f t="shared" si="0"/>
        <v>3.9251477265816126E-2</v>
      </c>
      <c r="R10" s="4">
        <f t="shared" si="0"/>
        <v>1.6736244129059052E-2</v>
      </c>
      <c r="S10" s="4">
        <f t="shared" si="0"/>
        <v>1.5764566200495933E-2</v>
      </c>
      <c r="T10" s="4">
        <f t="shared" si="0"/>
        <v>-1.6982560463101315E-3</v>
      </c>
      <c r="U10" s="4">
        <f t="shared" si="0"/>
        <v>2.3213386705231986E-2</v>
      </c>
      <c r="V10" s="4">
        <f t="shared" si="0"/>
        <v>8.5442619333215841E-3</v>
      </c>
      <c r="W10" s="4">
        <f t="shared" si="0"/>
        <v>7.7319060816316565E-3</v>
      </c>
      <c r="Z10" s="6" t="s">
        <v>7</v>
      </c>
      <c r="AA10">
        <f>SLOPE(Table2[^OMXH25.csv],Table2[KESKOA.HE.csv])</f>
        <v>0.38144977925163692</v>
      </c>
      <c r="AB10" s="3">
        <f>504*R1</f>
        <v>0.27196929789643509</v>
      </c>
      <c r="AK10" s="16" t="s">
        <v>7</v>
      </c>
      <c r="AL10" s="16">
        <v>7.5380081452513828E-5</v>
      </c>
      <c r="AM10" s="16">
        <v>6.9878691656766553E-5</v>
      </c>
      <c r="AN10" s="16">
        <v>7.5270887139842425E-5</v>
      </c>
      <c r="AO10" s="16">
        <v>1.0768531078887103E-4</v>
      </c>
      <c r="AP10" s="16">
        <f>VARP(Sheet4!$R$5:$R$510)</f>
        <v>2.5777940193323639E-4</v>
      </c>
      <c r="AQ10" s="16">
        <f>AP11</f>
        <v>1.4796971581599667E-4</v>
      </c>
      <c r="AR10" s="16">
        <f>AP12</f>
        <v>8.5031727483611945E-5</v>
      </c>
      <c r="AS10" s="16">
        <f>AP13</f>
        <v>8.8521921342170744E-5</v>
      </c>
      <c r="AT10" s="16">
        <f>AP14</f>
        <v>8.3554048920924583E-5</v>
      </c>
      <c r="AU10" s="16">
        <f>AP15</f>
        <v>1.2184784954784413E-4</v>
      </c>
    </row>
    <row r="11" spans="1:47" x14ac:dyDescent="0.25">
      <c r="A11" s="1">
        <v>44613</v>
      </c>
      <c r="B11">
        <v>5054.3198240000002</v>
      </c>
      <c r="C11">
        <v>9.2225029999999997</v>
      </c>
      <c r="D11">
        <v>8.2730809999999995</v>
      </c>
      <c r="E11">
        <v>0.100756</v>
      </c>
      <c r="F11">
        <v>19.007411999999999</v>
      </c>
      <c r="G11">
        <v>21.432466999999999</v>
      </c>
      <c r="H11">
        <v>7.9946380000000001</v>
      </c>
      <c r="I11">
        <v>34.192135</v>
      </c>
      <c r="J11">
        <v>4.6618789999999999</v>
      </c>
      <c r="K11">
        <v>29.926517</v>
      </c>
      <c r="L11">
        <v>28.37528</v>
      </c>
      <c r="M11" s="4">
        <f t="shared" si="2"/>
        <v>1.2044023919777214E-2</v>
      </c>
      <c r="N11" s="4">
        <f t="shared" si="0"/>
        <v>7.9208509439370189E-3</v>
      </c>
      <c r="O11" s="4">
        <f t="shared" si="1"/>
        <v>2.7472607311961328E-2</v>
      </c>
      <c r="P11" s="4">
        <f t="shared" si="0"/>
        <v>-3.9838274399707219E-3</v>
      </c>
      <c r="Q11" s="4">
        <f t="shared" si="0"/>
        <v>1.4351857781420785E-2</v>
      </c>
      <c r="R11" s="4">
        <f t="shared" si="0"/>
        <v>8.4387621825070536E-3</v>
      </c>
      <c r="S11" s="4">
        <f t="shared" si="0"/>
        <v>1.8696183137629552E-2</v>
      </c>
      <c r="T11" s="4">
        <f t="shared" si="0"/>
        <v>2.4057989870036378E-2</v>
      </c>
      <c r="U11" s="4">
        <f t="shared" si="0"/>
        <v>-1.5249521364216756E-3</v>
      </c>
      <c r="V11" s="4">
        <f t="shared" si="0"/>
        <v>2.3742681936450127E-2</v>
      </c>
      <c r="W11" s="4">
        <f t="shared" si="0"/>
        <v>-2.2500577546470391E-3</v>
      </c>
      <c r="Z11" s="6" t="s">
        <v>8</v>
      </c>
      <c r="AA11">
        <f>SLOPE(Table2[^OMXH25.csv],Table2[METSO.HE.csv])</f>
        <v>0.37518405940311633</v>
      </c>
      <c r="AB11" s="3">
        <f>504*S1</f>
        <v>3.0253302713923218E-2</v>
      </c>
      <c r="AK11" s="16" t="s">
        <v>8</v>
      </c>
      <c r="AL11" s="16">
        <v>1.2973923971857621E-4</v>
      </c>
      <c r="AM11" s="16">
        <v>1.3960101582187354E-4</v>
      </c>
      <c r="AN11" s="16">
        <v>2.3429475383829199E-4</v>
      </c>
      <c r="AO11" s="16">
        <v>1.9954237591248374E-4</v>
      </c>
      <c r="AP11" s="16">
        <v>1.4796971581599667E-4</v>
      </c>
      <c r="AQ11" s="16">
        <f>VARP(Sheet4!$S$5:$S$510)</f>
        <v>5.2665189869162312E-4</v>
      </c>
      <c r="AR11" s="16">
        <f>AQ12</f>
        <v>2.0833690809126068E-4</v>
      </c>
      <c r="AS11" s="16">
        <f>AQ13</f>
        <v>1.7051101343767091E-4</v>
      </c>
      <c r="AT11" s="16">
        <f>AQ14</f>
        <v>1.8135817314409244E-4</v>
      </c>
      <c r="AU11" s="16">
        <f>AQ15</f>
        <v>2.9317416952105496E-4</v>
      </c>
    </row>
    <row r="12" spans="1:47" x14ac:dyDescent="0.25">
      <c r="A12" s="1">
        <v>44614</v>
      </c>
      <c r="B12">
        <v>4994.169922</v>
      </c>
      <c r="C12">
        <v>9.1500269999999997</v>
      </c>
      <c r="D12">
        <v>8.0518750000000008</v>
      </c>
      <c r="E12">
        <v>0.101159</v>
      </c>
      <c r="F12">
        <v>18.738479999999999</v>
      </c>
      <c r="G12">
        <v>21.253117</v>
      </c>
      <c r="H12">
        <v>7.847912</v>
      </c>
      <c r="I12">
        <v>33.388866</v>
      </c>
      <c r="J12">
        <v>4.6689990000000003</v>
      </c>
      <c r="K12">
        <v>29.23246</v>
      </c>
      <c r="L12">
        <v>28.43927</v>
      </c>
      <c r="M12" s="4">
        <f t="shared" si="2"/>
        <v>4.9299048799080758E-3</v>
      </c>
      <c r="N12" s="4">
        <f t="shared" si="0"/>
        <v>9.9999635738792225E-3</v>
      </c>
      <c r="O12" s="4">
        <f t="shared" si="1"/>
        <v>7.751874920681523E-3</v>
      </c>
      <c r="P12" s="4">
        <f t="shared" si="0"/>
        <v>2.101395884009416E-2</v>
      </c>
      <c r="Q12" s="4">
        <f t="shared" si="0"/>
        <v>4.701898901166679E-2</v>
      </c>
      <c r="R12" s="4">
        <f t="shared" si="0"/>
        <v>2.1142688771935703E-3</v>
      </c>
      <c r="S12" s="4">
        <f t="shared" si="0"/>
        <v>1.1393902778026543E-2</v>
      </c>
      <c r="T12" s="4">
        <f t="shared" si="0"/>
        <v>2.0408059731013894E-2</v>
      </c>
      <c r="U12" s="4">
        <f t="shared" si="0"/>
        <v>1.3496722903554748E-2</v>
      </c>
      <c r="V12" s="4">
        <f t="shared" si="0"/>
        <v>-1.2480785978606912E-3</v>
      </c>
      <c r="W12" s="4">
        <f t="shared" si="0"/>
        <v>8.4278936045805164E-3</v>
      </c>
      <c r="Z12" s="6" t="s">
        <v>9</v>
      </c>
      <c r="AA12">
        <f>SLOPE(Table2[^OMXH25.csv],Table2[NESTE.HE.csv])</f>
        <v>0.2645456221511101</v>
      </c>
      <c r="AB12" s="3">
        <f>504*T1</f>
        <v>0.48427773673116714</v>
      </c>
      <c r="AK12" s="16" t="s">
        <v>9</v>
      </c>
      <c r="AL12" s="16">
        <v>1.1099929242772713E-4</v>
      </c>
      <c r="AM12" s="16">
        <v>1.2042609539943502E-4</v>
      </c>
      <c r="AN12" s="16">
        <v>1.525067854475146E-4</v>
      </c>
      <c r="AO12" s="16">
        <v>1.8475062135514333E-4</v>
      </c>
      <c r="AP12" s="16">
        <v>8.5031727483611945E-5</v>
      </c>
      <c r="AQ12" s="16">
        <v>2.0833690809126068E-4</v>
      </c>
      <c r="AR12" s="16">
        <f>VARP(Sheet4!$T$5:$T$510)</f>
        <v>6.4161533752901754E-4</v>
      </c>
      <c r="AS12" s="16">
        <f>AR13</f>
        <v>1.2343278784754207E-4</v>
      </c>
      <c r="AT12" s="16">
        <f>AR14</f>
        <v>1.2756634514837173E-4</v>
      </c>
      <c r="AU12" s="16">
        <f>AR15</f>
        <v>2.1069681054680523E-4</v>
      </c>
    </row>
    <row r="13" spans="1:47" x14ac:dyDescent="0.25">
      <c r="A13" s="1">
        <v>44615</v>
      </c>
      <c r="B13">
        <v>4969.669922</v>
      </c>
      <c r="C13">
        <v>9.0594330000000003</v>
      </c>
      <c r="D13">
        <v>7.9899380000000004</v>
      </c>
      <c r="E13">
        <v>9.9076999999999998E-2</v>
      </c>
      <c r="F13">
        <v>17.896982000000001</v>
      </c>
      <c r="G13">
        <v>21.208276999999999</v>
      </c>
      <c r="H13">
        <v>7.7595010000000002</v>
      </c>
      <c r="I13">
        <v>32.721091999999999</v>
      </c>
      <c r="J13">
        <v>4.6068220000000002</v>
      </c>
      <c r="K13">
        <v>29.268989999999999</v>
      </c>
      <c r="L13">
        <v>28.201589999999999</v>
      </c>
      <c r="M13" s="4">
        <f t="shared" si="2"/>
        <v>3.9875671170761073E-2</v>
      </c>
      <c r="N13" s="4">
        <f t="shared" si="0"/>
        <v>4.1666628339520839E-2</v>
      </c>
      <c r="O13" s="4">
        <f t="shared" si="1"/>
        <v>5.7377255281435335E-2</v>
      </c>
      <c r="P13" s="4">
        <f t="shared" si="0"/>
        <v>0.12590058864974196</v>
      </c>
      <c r="Q13" s="4">
        <f t="shared" si="0"/>
        <v>0.10144139602129232</v>
      </c>
      <c r="R13" s="4">
        <f t="shared" si="0"/>
        <v>2.3809338759014365E-2</v>
      </c>
      <c r="S13" s="4">
        <f t="shared" si="0"/>
        <v>4.7752076194838233E-2</v>
      </c>
      <c r="T13" s="4">
        <f t="shared" si="0"/>
        <v>2.1450270502034519E-2</v>
      </c>
      <c r="U13" s="4">
        <f t="shared" si="0"/>
        <v>2.2653300698325829E-2</v>
      </c>
      <c r="V13" s="4">
        <f t="shared" si="0"/>
        <v>5.0819597560621377E-2</v>
      </c>
      <c r="W13" s="4">
        <f t="shared" si="0"/>
        <v>2.9706263638502817E-2</v>
      </c>
      <c r="Z13" s="6" t="s">
        <v>10</v>
      </c>
      <c r="AA13">
        <f>SLOPE(Table2[^OMXH25.csv],Table2[NOKIA.HE.csv])</f>
        <v>0.38997451715398174</v>
      </c>
      <c r="AB13" s="3">
        <f>504*U1</f>
        <v>0.43137571787283552</v>
      </c>
      <c r="AK13" s="16" t="s">
        <v>10</v>
      </c>
      <c r="AL13" s="16">
        <v>7.8857145888844632E-5</v>
      </c>
      <c r="AM13" s="16">
        <v>8.3226478662058075E-5</v>
      </c>
      <c r="AN13" s="16">
        <v>1.0595276751496562E-4</v>
      </c>
      <c r="AO13" s="16">
        <v>1.1309910621201867E-4</v>
      </c>
      <c r="AP13" s="16">
        <v>8.8521921342170744E-5</v>
      </c>
      <c r="AQ13" s="16">
        <v>1.7051101343767091E-4</v>
      </c>
      <c r="AR13" s="16">
        <v>1.2343278784754207E-4</v>
      </c>
      <c r="AS13" s="16">
        <f>VARP(Sheet4!$U$5:$U$510)</f>
        <v>3.4555264416076564E-4</v>
      </c>
      <c r="AT13" s="16">
        <f>AS14</f>
        <v>1.0231662611150819E-4</v>
      </c>
      <c r="AU13" s="16">
        <f>AS15</f>
        <v>1.4246383797294717E-4</v>
      </c>
    </row>
    <row r="14" spans="1:47" x14ac:dyDescent="0.25">
      <c r="A14" s="1">
        <v>44616</v>
      </c>
      <c r="B14">
        <v>4779.1000979999999</v>
      </c>
      <c r="C14">
        <v>8.6970559999999999</v>
      </c>
      <c r="D14">
        <v>7.5563739999999999</v>
      </c>
      <c r="E14">
        <v>8.7998000000000007E-2</v>
      </c>
      <c r="F14">
        <v>16.248691999999998</v>
      </c>
      <c r="G14">
        <v>20.715064999999999</v>
      </c>
      <c r="H14">
        <v>7.405856</v>
      </c>
      <c r="I14">
        <v>32.033954999999999</v>
      </c>
      <c r="J14">
        <v>4.5047740000000003</v>
      </c>
      <c r="K14">
        <v>27.853487000000001</v>
      </c>
      <c r="L14">
        <v>27.387995</v>
      </c>
      <c r="M14" s="4">
        <f t="shared" si="2"/>
        <v>-3.4809907453071665E-2</v>
      </c>
      <c r="N14" s="4">
        <f t="shared" si="0"/>
        <v>-4.3824694186937907E-2</v>
      </c>
      <c r="O14" s="4">
        <f t="shared" si="1"/>
        <v>-5.0055666295893309E-2</v>
      </c>
      <c r="P14" s="4">
        <f t="shared" si="0"/>
        <v>-8.034613214054287E-2</v>
      </c>
      <c r="Q14" s="4">
        <f t="shared" si="0"/>
        <v>-3.7760032973436664E-2</v>
      </c>
      <c r="R14" s="4">
        <f t="shared" si="0"/>
        <v>-4.1493640192602044E-2</v>
      </c>
      <c r="S14" s="4">
        <f t="shared" si="0"/>
        <v>-2.525386536606733E-2</v>
      </c>
      <c r="T14" s="4">
        <f t="shared" si="0"/>
        <v>-3.6670592483602382E-2</v>
      </c>
      <c r="U14" s="4">
        <f t="shared" si="0"/>
        <v>-2.596490530087614E-2</v>
      </c>
      <c r="V14" s="4">
        <f t="shared" si="0"/>
        <v>-3.7854892967934872E-2</v>
      </c>
      <c r="W14" s="4">
        <f t="shared" si="0"/>
        <v>-4.0358759007193656E-2</v>
      </c>
      <c r="Z14" s="6" t="s">
        <v>11</v>
      </c>
      <c r="AA14">
        <f>SLOPE(Table2[^OMXH25.csv],Table2[UPM.HE.csv])</f>
        <v>0.47250922953590691</v>
      </c>
      <c r="AB14" s="3">
        <f>504*V1</f>
        <v>0.16007058002481653</v>
      </c>
      <c r="AK14" s="16" t="s">
        <v>11</v>
      </c>
      <c r="AL14" s="16">
        <v>8.674994050608117E-5</v>
      </c>
      <c r="AM14" s="16">
        <v>8.9756743345171982E-5</v>
      </c>
      <c r="AN14" s="16">
        <v>1.0980241480690713E-4</v>
      </c>
      <c r="AO14" s="16">
        <v>1.4662602888171819E-4</v>
      </c>
      <c r="AP14" s="16">
        <v>8.3554048920924583E-5</v>
      </c>
      <c r="AQ14" s="16">
        <v>1.8135817314409244E-4</v>
      </c>
      <c r="AR14" s="16">
        <v>1.2756634514837173E-4</v>
      </c>
      <c r="AS14" s="16">
        <v>1.0231662611150819E-4</v>
      </c>
      <c r="AT14" s="16">
        <f>VARP(Sheet4!$V$5:$V$510)</f>
        <v>2.9067983796930935E-4</v>
      </c>
      <c r="AU14" s="16">
        <f>AT15</f>
        <v>1.4047748622906349E-4</v>
      </c>
    </row>
    <row r="15" spans="1:47" ht="15.75" thickBot="1" x14ac:dyDescent="0.3">
      <c r="A15" s="1">
        <v>44617</v>
      </c>
      <c r="B15">
        <v>4951.4599609999996</v>
      </c>
      <c r="C15">
        <v>9.0956709999999994</v>
      </c>
      <c r="D15">
        <v>7.9545440000000003</v>
      </c>
      <c r="E15">
        <v>9.5685999999999993E-2</v>
      </c>
      <c r="F15">
        <v>16.886320000000001</v>
      </c>
      <c r="G15">
        <v>21.611818</v>
      </c>
      <c r="H15">
        <v>7.597728</v>
      </c>
      <c r="I15">
        <v>33.253376000000003</v>
      </c>
      <c r="J15">
        <v>4.6248579999999997</v>
      </c>
      <c r="K15">
        <v>28.949362000000001</v>
      </c>
      <c r="L15">
        <v>28.539826999999999</v>
      </c>
      <c r="M15" s="4">
        <f t="shared" si="2"/>
        <v>1.2202115135412583E-2</v>
      </c>
      <c r="N15" s="4">
        <f t="shared" si="0"/>
        <v>-1.5686281724325513E-2</v>
      </c>
      <c r="O15" s="4">
        <f t="shared" si="1"/>
        <v>0.13224174512154474</v>
      </c>
      <c r="P15" s="4">
        <f t="shared" si="0"/>
        <v>0.26722996238809116</v>
      </c>
      <c r="Q15" s="4">
        <f t="shared" si="0"/>
        <v>3.3174009980347696E-2</v>
      </c>
      <c r="R15" s="4">
        <f t="shared" si="0"/>
        <v>0</v>
      </c>
      <c r="S15" s="4">
        <f t="shared" si="0"/>
        <v>6.4295230769683354E-2</v>
      </c>
      <c r="T15" s="4">
        <f t="shared" si="0"/>
        <v>-2.3308713519180735E-2</v>
      </c>
      <c r="U15" s="4">
        <f t="shared" si="0"/>
        <v>7.1320202251383691E-3</v>
      </c>
      <c r="V15" s="4">
        <f t="shared" si="0"/>
        <v>2.2580668292211392E-2</v>
      </c>
      <c r="W15" s="4">
        <f t="shared" si="0"/>
        <v>3.8586181433033495E-3</v>
      </c>
      <c r="Z15" s="7" t="s">
        <v>12</v>
      </c>
      <c r="AA15">
        <f>SLOPE(Table2[^OMXH25.csv],Table2[VALMT.HE.csv])</f>
        <v>0.4261715169653752</v>
      </c>
      <c r="AB15" s="3">
        <f>504*W1</f>
        <v>0.25348772578755696</v>
      </c>
      <c r="AD15" t="s">
        <v>25</v>
      </c>
      <c r="AG15" s="10">
        <f>Z34*80%</f>
        <v>0.65917752154311937</v>
      </c>
      <c r="AK15" s="17" t="s">
        <v>12</v>
      </c>
      <c r="AL15" s="17">
        <v>1.0185789849422036E-4</v>
      </c>
      <c r="AM15" s="17">
        <v>9.8872584796496206E-5</v>
      </c>
      <c r="AN15" s="17">
        <v>1.538907654829618E-4</v>
      </c>
      <c r="AO15" s="17">
        <v>1.5396179475459879E-4</v>
      </c>
      <c r="AP15" s="17">
        <v>1.2184784954784413E-4</v>
      </c>
      <c r="AQ15" s="17">
        <v>2.9317416952105496E-4</v>
      </c>
      <c r="AR15" s="17">
        <v>2.1069681054680523E-4</v>
      </c>
      <c r="AS15" s="17">
        <v>1.4246383797294717E-4</v>
      </c>
      <c r="AT15" s="17">
        <v>1.4047748622906349E-4</v>
      </c>
      <c r="AU15" s="17">
        <f>VARP(Sheet4!$W$5:$W$510)</f>
        <v>3.8616115925060927E-4</v>
      </c>
    </row>
    <row r="16" spans="1:47" x14ac:dyDescent="0.25">
      <c r="A16" s="1">
        <v>44620</v>
      </c>
      <c r="B16">
        <v>4891.7700199999999</v>
      </c>
      <c r="C16">
        <v>9.2406220000000001</v>
      </c>
      <c r="D16">
        <v>7.0254820000000002</v>
      </c>
      <c r="E16">
        <v>7.5508000000000006E-2</v>
      </c>
      <c r="F16">
        <v>16.34412</v>
      </c>
      <c r="G16">
        <v>21.611818</v>
      </c>
      <c r="H16">
        <v>7.1387409999999996</v>
      </c>
      <c r="I16">
        <v>34.046967000000002</v>
      </c>
      <c r="J16">
        <v>4.5921070000000004</v>
      </c>
      <c r="K16">
        <v>28.310101</v>
      </c>
      <c r="L16">
        <v>28.430126000000001</v>
      </c>
      <c r="M16" s="4">
        <f t="shared" si="2"/>
        <v>4.8419884320081374E-2</v>
      </c>
      <c r="N16" s="4">
        <f t="shared" si="0"/>
        <v>4.0816404685430907E-2</v>
      </c>
      <c r="O16" s="4">
        <f t="shared" si="1"/>
        <v>9.5172452495769777E-2</v>
      </c>
      <c r="P16" s="4">
        <f t="shared" si="0"/>
        <v>0.14482382194190069</v>
      </c>
      <c r="Q16" s="4">
        <f t="shared" si="0"/>
        <v>0.10111049384820325</v>
      </c>
      <c r="R16" s="4">
        <f t="shared" si="0"/>
        <v>4.782606018495561E-2</v>
      </c>
      <c r="S16" s="4">
        <f t="shared" si="0"/>
        <v>7.0219853530924192E-2</v>
      </c>
      <c r="T16" s="4">
        <f t="shared" si="0"/>
        <v>0.11434918664900584</v>
      </c>
      <c r="U16" s="4">
        <f t="shared" si="0"/>
        <v>2.0461645913837589E-2</v>
      </c>
      <c r="V16" s="4">
        <f t="shared" si="0"/>
        <v>5.2274279609130669E-2</v>
      </c>
      <c r="W16" s="4">
        <f t="shared" si="0"/>
        <v>2.5387256898548038E-2</v>
      </c>
    </row>
    <row r="17" spans="1:40" x14ac:dyDescent="0.25">
      <c r="A17" s="1">
        <v>44621</v>
      </c>
      <c r="B17">
        <v>4665.8500979999999</v>
      </c>
      <c r="C17">
        <v>8.8782440000000005</v>
      </c>
      <c r="D17">
        <v>6.414955</v>
      </c>
      <c r="E17">
        <v>6.5956000000000001E-2</v>
      </c>
      <c r="F17">
        <v>14.843306</v>
      </c>
      <c r="G17">
        <v>20.625387</v>
      </c>
      <c r="H17">
        <v>6.67035</v>
      </c>
      <c r="I17">
        <v>30.553229999999999</v>
      </c>
      <c r="J17">
        <v>4.5000289999999996</v>
      </c>
      <c r="K17">
        <v>26.903728000000001</v>
      </c>
      <c r="L17">
        <v>27.726233000000001</v>
      </c>
      <c r="M17" s="4">
        <f t="shared" si="2"/>
        <v>-1.1518555178256729E-2</v>
      </c>
      <c r="N17" s="4">
        <f t="shared" si="0"/>
        <v>-2.5845010692587711E-2</v>
      </c>
      <c r="O17" s="4">
        <f t="shared" si="1"/>
        <v>-1.3773772327700939E-3</v>
      </c>
      <c r="P17" s="4">
        <f t="shared" si="0"/>
        <v>-4.8665801240444284E-2</v>
      </c>
      <c r="Q17" s="4">
        <f t="shared" si="0"/>
        <v>2.9240579886735674E-4</v>
      </c>
      <c r="R17" s="4">
        <f t="shared" si="0"/>
        <v>2.4498846920242956E-2</v>
      </c>
      <c r="S17" s="4">
        <f t="shared" si="0"/>
        <v>-2.0982890408821619E-2</v>
      </c>
      <c r="T17" s="4">
        <f t="shared" si="0"/>
        <v>-0.12475748605589576</v>
      </c>
      <c r="U17" s="4">
        <f t="shared" si="0"/>
        <v>-1.9139302464320496E-2</v>
      </c>
      <c r="V17" s="4">
        <f t="shared" si="0"/>
        <v>-1.1741020339959496E-2</v>
      </c>
      <c r="W17" s="4">
        <f t="shared" si="0"/>
        <v>-1.7492637192236815E-2</v>
      </c>
    </row>
    <row r="18" spans="1:40" x14ac:dyDescent="0.25">
      <c r="A18" s="1">
        <v>44622</v>
      </c>
      <c r="B18">
        <v>4720.2202150000003</v>
      </c>
      <c r="C18">
        <v>9.1137899999999998</v>
      </c>
      <c r="D18">
        <v>6.4238030000000004</v>
      </c>
      <c r="E18">
        <v>6.9330000000000003E-2</v>
      </c>
      <c r="F18">
        <v>14.838967</v>
      </c>
      <c r="G18">
        <v>20.132172000000001</v>
      </c>
      <c r="H18">
        <v>6.813313</v>
      </c>
      <c r="I18">
        <v>34.908301999999999</v>
      </c>
      <c r="J18">
        <v>4.5878370000000004</v>
      </c>
      <c r="K18">
        <v>27.223358000000001</v>
      </c>
      <c r="L18">
        <v>28.219873</v>
      </c>
      <c r="M18" s="4">
        <f t="shared" si="2"/>
        <v>3.0438019383756343E-2</v>
      </c>
      <c r="N18" s="4">
        <f t="shared" si="0"/>
        <v>3.6045411983049558E-2</v>
      </c>
      <c r="O18" s="4">
        <f t="shared" si="1"/>
        <v>3.4188013547892249E-2</v>
      </c>
      <c r="P18" s="4">
        <f t="shared" si="0"/>
        <v>-5.6863011835124544E-2</v>
      </c>
      <c r="Q18" s="4">
        <f t="shared" si="0"/>
        <v>6.7061655576554635E-2</v>
      </c>
      <c r="R18" s="4">
        <f t="shared" si="0"/>
        <v>2.9816545673293504E-2</v>
      </c>
      <c r="S18" s="4">
        <f t="shared" si="0"/>
        <v>1.2580508193083872E-2</v>
      </c>
      <c r="T18" s="4">
        <f t="shared" si="0"/>
        <v>1.0364189608418339E-2</v>
      </c>
      <c r="U18" s="4">
        <f t="shared" si="0"/>
        <v>5.7665326018246477E-2</v>
      </c>
      <c r="V18" s="4">
        <f t="shared" si="0"/>
        <v>6.7693413689380755E-2</v>
      </c>
      <c r="W18" s="4">
        <f t="shared" si="0"/>
        <v>1.7804077459783185E-2</v>
      </c>
    </row>
    <row r="19" spans="1:40" x14ac:dyDescent="0.25">
      <c r="A19" s="1">
        <v>44623</v>
      </c>
      <c r="B19">
        <v>4580.7900390000004</v>
      </c>
      <c r="C19">
        <v>8.7967089999999999</v>
      </c>
      <c r="D19">
        <v>6.2114459999999996</v>
      </c>
      <c r="E19">
        <v>7.3510000000000006E-2</v>
      </c>
      <c r="F19">
        <v>13.906382000000001</v>
      </c>
      <c r="G19">
        <v>19.54928</v>
      </c>
      <c r="H19">
        <v>6.7286630000000001</v>
      </c>
      <c r="I19">
        <v>34.550217000000004</v>
      </c>
      <c r="J19">
        <v>4.3377020000000002</v>
      </c>
      <c r="K19">
        <v>25.497354999999999</v>
      </c>
      <c r="L19">
        <v>27.726233000000001</v>
      </c>
      <c r="M19" s="4">
        <f t="shared" si="2"/>
        <v>4.465704768760892E-2</v>
      </c>
      <c r="N19" s="4">
        <f t="shared" si="0"/>
        <v>2.7513317991959552E-2</v>
      </c>
      <c r="O19" s="4">
        <f t="shared" si="1"/>
        <v>5.2473677762849835E-2</v>
      </c>
      <c r="P19" s="4">
        <f t="shared" si="0"/>
        <v>6.8040158658666083E-2</v>
      </c>
      <c r="Q19" s="4">
        <f t="shared" si="0"/>
        <v>5.0803034475004338E-2</v>
      </c>
      <c r="R19" s="4">
        <f t="shared" si="0"/>
        <v>2.1077220254885898E-2</v>
      </c>
      <c r="S19" s="4">
        <f t="shared" si="0"/>
        <v>9.3215017357627605E-2</v>
      </c>
      <c r="T19" s="4">
        <f t="shared" si="0"/>
        <v>4.2640122030678462E-2</v>
      </c>
      <c r="U19" s="4">
        <f t="shared" si="0"/>
        <v>3.2771928387655525E-2</v>
      </c>
      <c r="V19" s="4">
        <f t="shared" si="0"/>
        <v>5.2790361418720622E-2</v>
      </c>
      <c r="W19" s="4">
        <f t="shared" si="0"/>
        <v>6.7581877674611546E-2</v>
      </c>
    </row>
    <row r="20" spans="1:40" ht="15.75" thickBot="1" x14ac:dyDescent="0.3">
      <c r="A20" s="1">
        <v>44624</v>
      </c>
      <c r="B20">
        <v>4384.9702150000003</v>
      </c>
      <c r="C20">
        <v>8.5611630000000005</v>
      </c>
      <c r="D20">
        <v>5.9017590000000002</v>
      </c>
      <c r="E20">
        <v>6.8826999999999999E-2</v>
      </c>
      <c r="F20">
        <v>13.234052</v>
      </c>
      <c r="G20">
        <v>19.145741000000001</v>
      </c>
      <c r="H20">
        <v>6.1549310000000004</v>
      </c>
      <c r="I20">
        <v>33.137241000000003</v>
      </c>
      <c r="J20">
        <v>4.2000580000000003</v>
      </c>
      <c r="K20">
        <v>24.218834000000001</v>
      </c>
      <c r="L20">
        <v>25.971060000000001</v>
      </c>
      <c r="M20" s="4">
        <f t="shared" si="2"/>
        <v>1.1186602536695345E-2</v>
      </c>
      <c r="N20" s="4">
        <f t="shared" si="0"/>
        <v>2.2727264582187212E-2</v>
      </c>
      <c r="O20" s="4">
        <f t="shared" si="1"/>
        <v>2.1439509689014091E-2</v>
      </c>
      <c r="P20" s="4">
        <f t="shared" si="0"/>
        <v>1.4354560594225685E-2</v>
      </c>
      <c r="Q20" s="4">
        <f t="shared" si="0"/>
        <v>-1.9601521515565379E-2</v>
      </c>
      <c r="R20" s="4">
        <f t="shared" si="0"/>
        <v>1.9093165143604152E-2</v>
      </c>
      <c r="S20" s="4">
        <f t="shared" si="0"/>
        <v>-1.7417370339943727E-2</v>
      </c>
      <c r="T20" s="4">
        <f t="shared" si="0"/>
        <v>7.4364605836334752E-2</v>
      </c>
      <c r="U20" s="4">
        <f t="shared" si="0"/>
        <v>2.2060382006826806E-2</v>
      </c>
      <c r="V20" s="4">
        <f t="shared" si="0"/>
        <v>1.2213728142998592E-2</v>
      </c>
      <c r="W20" s="4">
        <f t="shared" si="0"/>
        <v>-3.1578685153257346E-3</v>
      </c>
      <c r="Z20" t="s">
        <v>23</v>
      </c>
      <c r="AA20" t="s">
        <v>24</v>
      </c>
    </row>
    <row r="21" spans="1:40" x14ac:dyDescent="0.25">
      <c r="A21" s="1">
        <v>44627</v>
      </c>
      <c r="B21">
        <v>4336.4599609999996</v>
      </c>
      <c r="C21">
        <v>8.3709150000000001</v>
      </c>
      <c r="D21">
        <v>5.7778840000000002</v>
      </c>
      <c r="E21">
        <v>6.7852999999999997E-2</v>
      </c>
      <c r="F21">
        <v>13.498646000000001</v>
      </c>
      <c r="G21">
        <v>18.787037000000002</v>
      </c>
      <c r="H21">
        <v>6.2640339999999997</v>
      </c>
      <c r="I21">
        <v>30.843571000000001</v>
      </c>
      <c r="J21">
        <v>4.1094030000000004</v>
      </c>
      <c r="K21">
        <v>23.926601000000002</v>
      </c>
      <c r="L21">
        <v>26.053332999999999</v>
      </c>
      <c r="M21" s="4">
        <f t="shared" si="2"/>
        <v>-1.2407361688393514E-2</v>
      </c>
      <c r="N21" s="4">
        <f t="shared" si="2"/>
        <v>-6.4517790699483157E-3</v>
      </c>
      <c r="O21" s="4">
        <f t="shared" si="1"/>
        <v>-3.4023679768241166E-2</v>
      </c>
      <c r="P21" s="4">
        <f t="shared" si="1"/>
        <v>-3.8541651906536467E-2</v>
      </c>
      <c r="Q21" s="4">
        <f t="shared" si="1"/>
        <v>3.8710174487310844E-3</v>
      </c>
      <c r="R21" s="4">
        <f t="shared" ref="R21:R84" si="3">G21/G22-1</f>
        <v>-1.4117606559130302E-2</v>
      </c>
      <c r="S21" s="4">
        <f t="shared" ref="S21:S84" si="4">H21/H22-1</f>
        <v>-5.290088353102762E-2</v>
      </c>
      <c r="T21" s="4">
        <f t="shared" ref="T21:T84" si="5">I21/I22-1</f>
        <v>-6.5669809770405263E-2</v>
      </c>
      <c r="U21" s="4">
        <f t="shared" ref="U21:U84" si="6">J21/J22-1</f>
        <v>3.0119136561972404E-3</v>
      </c>
      <c r="V21" s="4">
        <f t="shared" ref="V21:V84" si="7">K21/K22-1</f>
        <v>-1.1437756175909364E-3</v>
      </c>
      <c r="W21" s="4">
        <f t="shared" ref="W21:W84" si="8">L21/L22-1</f>
        <v>-4.9999928895848478E-2</v>
      </c>
      <c r="Y21" s="6" t="s">
        <v>3</v>
      </c>
      <c r="Z21" s="3">
        <v>0.05</v>
      </c>
      <c r="AA21" s="3">
        <v>0.05</v>
      </c>
      <c r="AD21" s="9"/>
      <c r="AE21" s="9" t="s">
        <v>3</v>
      </c>
      <c r="AF21" s="9" t="s">
        <v>4</v>
      </c>
      <c r="AG21" s="9" t="s">
        <v>5</v>
      </c>
      <c r="AH21" s="9" t="s">
        <v>6</v>
      </c>
      <c r="AI21" s="9" t="s">
        <v>7</v>
      </c>
      <c r="AJ21" s="9" t="s">
        <v>8</v>
      </c>
      <c r="AK21" s="9" t="s">
        <v>9</v>
      </c>
      <c r="AL21" s="9" t="s">
        <v>10</v>
      </c>
      <c r="AM21" s="9" t="s">
        <v>11</v>
      </c>
      <c r="AN21" s="9" t="s">
        <v>12</v>
      </c>
    </row>
    <row r="22" spans="1:40" x14ac:dyDescent="0.25">
      <c r="A22" s="1">
        <v>44628</v>
      </c>
      <c r="B22">
        <v>4390.9399409999996</v>
      </c>
      <c r="C22">
        <v>8.4252730000000007</v>
      </c>
      <c r="D22">
        <v>5.9813929999999997</v>
      </c>
      <c r="E22">
        <v>7.0572999999999997E-2</v>
      </c>
      <c r="F22">
        <v>13.446593999999999</v>
      </c>
      <c r="G22">
        <v>19.056063000000002</v>
      </c>
      <c r="H22">
        <v>6.6139159999999997</v>
      </c>
      <c r="I22">
        <v>33.011425000000003</v>
      </c>
      <c r="J22">
        <v>4.0970630000000003</v>
      </c>
      <c r="K22">
        <v>23.953999</v>
      </c>
      <c r="L22">
        <v>27.424558999999999</v>
      </c>
      <c r="M22" s="4">
        <f t="shared" si="2"/>
        <v>-3.9162742568368381E-2</v>
      </c>
      <c r="N22" s="4">
        <f t="shared" si="2"/>
        <v>-3.426787956398214E-2</v>
      </c>
      <c r="O22" s="4">
        <f t="shared" si="1"/>
        <v>-2.7337959394475142E-2</v>
      </c>
      <c r="P22" s="4">
        <f t="shared" si="1"/>
        <v>-6.7222670138384122E-2</v>
      </c>
      <c r="Q22" s="4">
        <f t="shared" si="1"/>
        <v>-5.689076526714254E-2</v>
      </c>
      <c r="R22" s="4">
        <f t="shared" si="3"/>
        <v>-5.9734584121675427E-2</v>
      </c>
      <c r="S22" s="4">
        <f t="shared" si="4"/>
        <v>-5.2546653430228685E-2</v>
      </c>
      <c r="T22" s="4">
        <f t="shared" si="5"/>
        <v>-1.7002911999443482E-2</v>
      </c>
      <c r="U22" s="4">
        <f t="shared" si="6"/>
        <v>-3.3695147653450608E-2</v>
      </c>
      <c r="V22" s="4">
        <f t="shared" si="7"/>
        <v>-2.52693459566804E-2</v>
      </c>
      <c r="W22" s="4">
        <f t="shared" si="8"/>
        <v>2.6737177059377171E-3</v>
      </c>
      <c r="Y22" s="6" t="s">
        <v>4</v>
      </c>
      <c r="Z22" s="3">
        <v>0.05</v>
      </c>
      <c r="AA22" s="3">
        <v>0.05</v>
      </c>
      <c r="AD22" t="s">
        <v>3</v>
      </c>
      <c r="AE22">
        <f>VARP(Sheet4!$N$5:$N$510)</f>
        <v>2.1591816582321174E-4</v>
      </c>
      <c r="AF22">
        <f>_xlfn.COVARIANCE.P(Table2[AKTIA.HE.csv],Table2[ASPO.HE.csv])</f>
        <v>7.0634817043624043E-5</v>
      </c>
      <c r="AG22">
        <f>_xlfn.COVARIANCE.P(Table2[FIA1S.HE.csv],Table2[AKTIA.HE.csv])</f>
        <v>8.1240245603471833E-5</v>
      </c>
      <c r="AH22">
        <f>_xlfn.COVARIANCE.P(Table2[FORTUM.HE.csv],Table2[AKTIA.HE.csv])</f>
        <v>1.1134693881341567E-4</v>
      </c>
      <c r="AI22">
        <f>_xlfn.COVARIANCE.P(Table2[KESKOA.HE.csv],Table2[AKTIA.HE.csv])</f>
        <v>7.5380081452513828E-5</v>
      </c>
      <c r="AJ22">
        <f>_xlfn.COVARIANCE.P(Table2[METSO.HE.csv],Table2[AKTIA.HE.csv])</f>
        <v>1.2973923971857621E-4</v>
      </c>
      <c r="AK22">
        <f>_xlfn.COVARIANCE.P(Table2[NESTE.HE.csv],Table2[AKTIA.HE.csv])</f>
        <v>1.1099929242772713E-4</v>
      </c>
      <c r="AL22">
        <f>_xlfn.COVARIANCE.P(Table2[NOKIA.HE.csv],Table2[AKTIA.HE.csv])</f>
        <v>7.8857145888844632E-5</v>
      </c>
      <c r="AM22">
        <f>_xlfn.COVARIANCE.P(Table2[UPM.HE.csv],Table2[AKTIA.HE.csv])</f>
        <v>8.674994050608117E-5</v>
      </c>
      <c r="AN22">
        <f>_xlfn.COVARIANCE.P(Table2[VALMT.HE.csv],Table2[AKTIA.HE.csv])</f>
        <v>1.0185789849422036E-4</v>
      </c>
    </row>
    <row r="23" spans="1:40" x14ac:dyDescent="0.25">
      <c r="A23" s="1">
        <v>44629</v>
      </c>
      <c r="B23">
        <v>4569.9101559999999</v>
      </c>
      <c r="C23">
        <v>8.7242339999999992</v>
      </c>
      <c r="D23">
        <v>6.149508</v>
      </c>
      <c r="E23">
        <v>7.5659000000000004E-2</v>
      </c>
      <c r="F23">
        <v>14.257726999999999</v>
      </c>
      <c r="G23">
        <v>20.266684999999999</v>
      </c>
      <c r="H23">
        <v>6.9807300000000003</v>
      </c>
      <c r="I23">
        <v>33.582424000000003</v>
      </c>
      <c r="J23">
        <v>4.2399279999999999</v>
      </c>
      <c r="K23">
        <v>24.574992999999999</v>
      </c>
      <c r="L23">
        <v>27.351429</v>
      </c>
      <c r="M23" s="4">
        <f t="shared" si="2"/>
        <v>-3.3215955336024505E-3</v>
      </c>
      <c r="N23" s="4">
        <f t="shared" si="2"/>
        <v>-3.1055559948498512E-3</v>
      </c>
      <c r="O23" s="4">
        <f t="shared" si="1"/>
        <v>0</v>
      </c>
      <c r="P23" s="4">
        <f t="shared" si="1"/>
        <v>1.7742469381001325E-3</v>
      </c>
      <c r="Q23" s="4">
        <f t="shared" si="1"/>
        <v>1.0451835399928111E-2</v>
      </c>
      <c r="R23" s="4">
        <f t="shared" si="3"/>
        <v>4.444514270896871E-3</v>
      </c>
      <c r="S23" s="4">
        <f t="shared" si="4"/>
        <v>1.6194981435389E-3</v>
      </c>
      <c r="T23" s="4">
        <f t="shared" si="5"/>
        <v>-1.6161097470128505E-2</v>
      </c>
      <c r="U23" s="4">
        <f t="shared" si="6"/>
        <v>1.1664643700693755E-2</v>
      </c>
      <c r="V23" s="4">
        <f t="shared" si="7"/>
        <v>-3.1317523248287626E-2</v>
      </c>
      <c r="W23" s="4">
        <f t="shared" si="8"/>
        <v>-1.5141507229347817E-2</v>
      </c>
      <c r="Y23" s="6" t="s">
        <v>5</v>
      </c>
      <c r="Z23" s="3">
        <v>0.3</v>
      </c>
      <c r="AA23" s="3">
        <v>0.2543853033661212</v>
      </c>
      <c r="AD23" t="s">
        <v>4</v>
      </c>
      <c r="AE23">
        <v>7.0634817043624043E-5</v>
      </c>
      <c r="AF23">
        <f>VARP(Sheet4!$O$5:$O$510)</f>
        <v>3.4808313792760695E-4</v>
      </c>
      <c r="AG23">
        <f>_xlfn.COVARIANCE.P(Table2[FIA1S.HE.csv],Table2[ASPO.HE.csv])</f>
        <v>2.158557037961837E-4</v>
      </c>
      <c r="AH23">
        <f>_xlfn.COVARIANCE.P(Table2[FORTUM.HE.csv],Table2[ASPO.HE.csv])</f>
        <v>1.3905717484431908E-4</v>
      </c>
      <c r="AI23">
        <f>_xlfn.COVARIANCE.P(Table2[KESKOA.HE.csv],Table2[ASPO.HE.csv])</f>
        <v>6.9878691656766553E-5</v>
      </c>
      <c r="AJ23">
        <f>_xlfn.COVARIANCE.P(Table2[METSO.HE.csv],Table2[ASPO.HE.csv])</f>
        <v>1.3960101582187354E-4</v>
      </c>
      <c r="AK23">
        <f>_xlfn.COVARIANCE.P(Table2[NESTE.HE.csv],Table2[ASPO.HE.csv])</f>
        <v>1.2042609539943502E-4</v>
      </c>
      <c r="AL23">
        <f>_xlfn.COVARIANCE.P(Table2[NOKIA.HE.csv],Table2[ASPO.HE.csv])</f>
        <v>8.3226478662058075E-5</v>
      </c>
      <c r="AM23">
        <f>_xlfn.COVARIANCE.P(Table2[UPM.HE.csv],Table2[ASPO.HE.csv])</f>
        <v>8.9756743345171982E-5</v>
      </c>
      <c r="AN23">
        <f>_xlfn.COVARIANCE.P(Table2[VALMT.HE.csv],Table2[ASPO.HE.csv])</f>
        <v>9.8872584796496206E-5</v>
      </c>
    </row>
    <row r="24" spans="1:40" x14ac:dyDescent="0.25">
      <c r="A24" s="1">
        <v>44630</v>
      </c>
      <c r="B24">
        <v>4585.1401370000003</v>
      </c>
      <c r="C24">
        <v>8.7514120000000002</v>
      </c>
      <c r="D24">
        <v>6.149508</v>
      </c>
      <c r="E24">
        <v>7.5524999999999995E-2</v>
      </c>
      <c r="F24">
        <v>14.110249</v>
      </c>
      <c r="G24">
        <v>20.177008000000001</v>
      </c>
      <c r="H24">
        <v>6.9694430000000001</v>
      </c>
      <c r="I24">
        <v>34.134067999999999</v>
      </c>
      <c r="J24">
        <v>4.1910410000000002</v>
      </c>
      <c r="K24">
        <v>25.369503000000002</v>
      </c>
      <c r="L24">
        <v>27.771937999999999</v>
      </c>
      <c r="M24" s="4">
        <f t="shared" si="2"/>
        <v>-1.9135305980868322E-2</v>
      </c>
      <c r="N24" s="4">
        <f t="shared" si="2"/>
        <v>-3.5928188568900565E-2</v>
      </c>
      <c r="O24" s="4">
        <f t="shared" si="1"/>
        <v>-2.1126886113088439E-2</v>
      </c>
      <c r="P24" s="4">
        <f t="shared" si="1"/>
        <v>3.1889166700823646E-2</v>
      </c>
      <c r="Q24" s="4">
        <f t="shared" si="1"/>
        <v>-3.2996377466869453E-2</v>
      </c>
      <c r="R24" s="4">
        <f t="shared" si="3"/>
        <v>-2.1739179972720013E-2</v>
      </c>
      <c r="S24" s="4">
        <f t="shared" si="4"/>
        <v>0</v>
      </c>
      <c r="T24" s="4">
        <f t="shared" si="5"/>
        <v>-1.3150565042019835E-2</v>
      </c>
      <c r="U24" s="4">
        <f t="shared" si="6"/>
        <v>-1.9433555867407915E-2</v>
      </c>
      <c r="V24" s="4">
        <f t="shared" si="7"/>
        <v>-3.1718389642473643E-2</v>
      </c>
      <c r="W24" s="4">
        <f t="shared" si="8"/>
        <v>-2.1578105171780826E-2</v>
      </c>
      <c r="Y24" s="6" t="s">
        <v>6</v>
      </c>
      <c r="Z24" s="3">
        <v>0.3</v>
      </c>
      <c r="AA24" s="3">
        <v>0.10325525780571719</v>
      </c>
      <c r="AD24" t="s">
        <v>5</v>
      </c>
      <c r="AE24">
        <v>8.1240245603471833E-5</v>
      </c>
      <c r="AF24">
        <v>2.158557037961837E-4</v>
      </c>
      <c r="AG24">
        <f>VARP(Sheet4!$P$5:$P$510)</f>
        <v>1.5569248630156157E-3</v>
      </c>
      <c r="AH24">
        <f>_xlfn.COVARIANCE.P(Table2[FORTUM.HE.csv],Table2[FIA1S.HE.csv])</f>
        <v>1.6483597779170741E-4</v>
      </c>
      <c r="AI24">
        <f>_xlfn.COVARIANCE.P(Table2[KESKOA.HE.csv],Table2[FIA1S.HE.csv])</f>
        <v>7.5270887139842425E-5</v>
      </c>
      <c r="AJ24">
        <f>_xlfn.COVARIANCE.P(Table2[METSO.HE.csv],Table2[FIA1S.HE.csv])</f>
        <v>2.3429475383829199E-4</v>
      </c>
      <c r="AK24">
        <f>_xlfn.COVARIANCE.P(Table2[NESTE.HE.csv],Table2[FIA1S.HE.csv])</f>
        <v>1.525067854475146E-4</v>
      </c>
      <c r="AL24">
        <f>_xlfn.COVARIANCE.P(Table2[NOKIA.HE.csv],Table2[FIA1S.HE.csv])</f>
        <v>1.0595276751496562E-4</v>
      </c>
      <c r="AM24">
        <f>_xlfn.COVARIANCE.P(Table2[UPM.HE.csv],Table2[FIA1S.HE.csv])</f>
        <v>1.0980241480690713E-4</v>
      </c>
      <c r="AN24">
        <f>_xlfn.COVARIANCE.P(Table2[VALMT.HE.csv],Table2[FIA1S.HE.csv])</f>
        <v>1.538907654829618E-4</v>
      </c>
    </row>
    <row r="25" spans="1:40" x14ac:dyDescent="0.25">
      <c r="A25" s="1">
        <v>44631</v>
      </c>
      <c r="B25">
        <v>4674.5898440000001</v>
      </c>
      <c r="C25">
        <v>9.0775520000000007</v>
      </c>
      <c r="D25">
        <v>6.2822319999999996</v>
      </c>
      <c r="E25">
        <v>7.3191000000000006E-2</v>
      </c>
      <c r="F25">
        <v>14.591723</v>
      </c>
      <c r="G25">
        <v>20.625387</v>
      </c>
      <c r="H25">
        <v>6.9694430000000001</v>
      </c>
      <c r="I25">
        <v>34.588932</v>
      </c>
      <c r="J25">
        <v>4.2741020000000001</v>
      </c>
      <c r="K25">
        <v>26.200541999999999</v>
      </c>
      <c r="L25">
        <v>28.384419999999999</v>
      </c>
      <c r="M25" s="4">
        <f t="shared" si="2"/>
        <v>-3.7510562626969945E-2</v>
      </c>
      <c r="N25" s="4">
        <f t="shared" si="2"/>
        <v>-3.8387682788715738E-2</v>
      </c>
      <c r="O25" s="4">
        <f t="shared" si="1"/>
        <v>-2.203850273739727E-2</v>
      </c>
      <c r="P25" s="4">
        <f t="shared" si="1"/>
        <v>-5.7715580503128416E-2</v>
      </c>
      <c r="Q25" s="4">
        <f t="shared" si="1"/>
        <v>-3.1385060689604338E-2</v>
      </c>
      <c r="R25" s="4">
        <f t="shared" si="3"/>
        <v>-4.1666624074871317E-2</v>
      </c>
      <c r="S25" s="4">
        <f t="shared" si="4"/>
        <v>-3.99067050863251E-2</v>
      </c>
      <c r="T25" s="4">
        <f t="shared" si="5"/>
        <v>-4.1822962752716242E-2</v>
      </c>
      <c r="U25" s="4">
        <f t="shared" si="6"/>
        <v>-3.4108882754599779E-2</v>
      </c>
      <c r="V25" s="4">
        <f t="shared" si="7"/>
        <v>-5.3135251880147227E-2</v>
      </c>
      <c r="W25" s="4">
        <f t="shared" si="8"/>
        <v>-4.0778444896554911E-2</v>
      </c>
      <c r="Y25" s="6" t="s">
        <v>7</v>
      </c>
      <c r="Z25" s="3">
        <v>0.05</v>
      </c>
      <c r="AA25" s="3">
        <v>0.05</v>
      </c>
      <c r="AD25" t="s">
        <v>6</v>
      </c>
      <c r="AE25">
        <v>1.1134693881341567E-4</v>
      </c>
      <c r="AF25">
        <v>1.3905717484431908E-4</v>
      </c>
      <c r="AG25">
        <v>1.6483597779170741E-4</v>
      </c>
      <c r="AH25">
        <f>VARP(Sheet4!$Q$5:$Q$510)</f>
        <v>6.7706654769619161E-4</v>
      </c>
      <c r="AI25">
        <f>_xlfn.COVARIANCE.P(Table2[KESKOA.HE.csv],Table2[FORTUM.HE.csv])</f>
        <v>1.0768531078887103E-4</v>
      </c>
      <c r="AJ25">
        <f>_xlfn.COVARIANCE.P(Table2[METSO.HE.csv],Table2[FORTUM.HE.csv])</f>
        <v>1.9954237591248374E-4</v>
      </c>
      <c r="AK25">
        <f>_xlfn.COVARIANCE.P(Table2[NESTE.HE.csv],Table2[FORTUM.HE.csv])</f>
        <v>1.8475062135514333E-4</v>
      </c>
      <c r="AL25">
        <f>_xlfn.COVARIANCE.P(Table2[NOKIA.HE.csv],Table2[FORTUM.HE.csv])</f>
        <v>1.1309910621201867E-4</v>
      </c>
      <c r="AM25">
        <f>_xlfn.COVARIANCE.P(Table2[UPM.HE.csv],Table2[FORTUM.HE.csv])</f>
        <v>1.4662602888171819E-4</v>
      </c>
      <c r="AN25">
        <f>_xlfn.COVARIANCE.P(Table2[VALMT.HE.csv],Table2[FORTUM.HE.csv])</f>
        <v>1.5396179475459879E-4</v>
      </c>
    </row>
    <row r="26" spans="1:40" x14ac:dyDescent="0.25">
      <c r="A26" s="1">
        <v>44634</v>
      </c>
      <c r="B26">
        <v>4856.7700199999999</v>
      </c>
      <c r="C26">
        <v>9.4399289999999993</v>
      </c>
      <c r="D26">
        <v>6.4238030000000004</v>
      </c>
      <c r="E26">
        <v>7.7674000000000007E-2</v>
      </c>
      <c r="F26">
        <v>15.064524</v>
      </c>
      <c r="G26">
        <v>21.522141999999999</v>
      </c>
      <c r="H26">
        <v>7.259131</v>
      </c>
      <c r="I26">
        <v>36.098686000000001</v>
      </c>
      <c r="J26">
        <v>4.4250350000000003</v>
      </c>
      <c r="K26">
        <v>27.670839000000001</v>
      </c>
      <c r="L26">
        <v>29.591099</v>
      </c>
      <c r="M26" s="4">
        <f t="shared" si="2"/>
        <v>1.6013865796348004E-2</v>
      </c>
      <c r="N26" s="4">
        <f t="shared" si="2"/>
        <v>9.6898870347461585E-3</v>
      </c>
      <c r="O26" s="4">
        <f t="shared" si="1"/>
        <v>5.3701033344328852E-2</v>
      </c>
      <c r="P26" s="4">
        <f t="shared" si="1"/>
        <v>-1.9280059595206955E-2</v>
      </c>
      <c r="Q26" s="4">
        <f t="shared" si="1"/>
        <v>-1.3632404112742691E-2</v>
      </c>
      <c r="R26" s="4">
        <f t="shared" si="3"/>
        <v>2.5640901004480021E-2</v>
      </c>
      <c r="S26" s="4">
        <f t="shared" si="4"/>
        <v>1.2595065951404472E-2</v>
      </c>
      <c r="T26" s="4">
        <f t="shared" si="5"/>
        <v>5.1889315886021192E-2</v>
      </c>
      <c r="U26" s="4">
        <f t="shared" si="6"/>
        <v>4.2888103423410762E-4</v>
      </c>
      <c r="V26" s="4">
        <f t="shared" si="7"/>
        <v>2.53806818800828E-2</v>
      </c>
      <c r="W26" s="4">
        <f t="shared" si="8"/>
        <v>2.0170106616400396E-2</v>
      </c>
      <c r="Y26" s="6" t="s">
        <v>8</v>
      </c>
      <c r="Z26" s="3">
        <v>0.05</v>
      </c>
      <c r="AA26" s="3">
        <v>0.05</v>
      </c>
      <c r="AD26" t="s">
        <v>7</v>
      </c>
      <c r="AE26">
        <v>7.5380081452513828E-5</v>
      </c>
      <c r="AF26">
        <v>6.9878691656766553E-5</v>
      </c>
      <c r="AG26">
        <v>7.5270887139842425E-5</v>
      </c>
      <c r="AH26">
        <v>1.0768531078887103E-4</v>
      </c>
      <c r="AI26">
        <f>VARP(Sheet4!$R$5:$R$510)</f>
        <v>2.5777940193323639E-4</v>
      </c>
      <c r="AJ26">
        <f>_xlfn.COVARIANCE.P(Table2[METSO.HE.csv],Table2[KESKOA.HE.csv])</f>
        <v>1.4796971581599667E-4</v>
      </c>
      <c r="AK26">
        <f>_xlfn.COVARIANCE.P(Table2[NESTE.HE.csv],Table2[KESKOA.HE.csv])</f>
        <v>8.5031727483611945E-5</v>
      </c>
      <c r="AL26">
        <f>_xlfn.COVARIANCE.P(Table2[NOKIA.HE.csv],Table2[KESKOA.HE.csv])</f>
        <v>8.8521921342170744E-5</v>
      </c>
      <c r="AM26">
        <f>_xlfn.COVARIANCE.P(Table2[UPM.HE.csv],Table2[KESKOA.HE.csv])</f>
        <v>8.3554048920924583E-5</v>
      </c>
      <c r="AN26">
        <f>_xlfn.COVARIANCE.P(Table2[VALMT.HE.csv],Table2[KESKOA.HE.csv])</f>
        <v>1.2184784954784413E-4</v>
      </c>
    </row>
    <row r="27" spans="1:40" x14ac:dyDescent="0.25">
      <c r="A27" s="1">
        <v>44635</v>
      </c>
      <c r="B27">
        <v>4780.2202150000003</v>
      </c>
      <c r="C27">
        <v>9.349335</v>
      </c>
      <c r="D27">
        <v>6.096419</v>
      </c>
      <c r="E27">
        <v>7.9200999999999994E-2</v>
      </c>
      <c r="F27">
        <v>15.272728000000001</v>
      </c>
      <c r="G27">
        <v>20.984090999999999</v>
      </c>
      <c r="H27">
        <v>7.1688390000000002</v>
      </c>
      <c r="I27">
        <v>34.317951000000001</v>
      </c>
      <c r="J27">
        <v>4.4231379999999998</v>
      </c>
      <c r="K27">
        <v>26.985918000000002</v>
      </c>
      <c r="L27">
        <v>29.006043999999999</v>
      </c>
      <c r="M27" s="4">
        <f t="shared" si="2"/>
        <v>-3.3109408511670324E-2</v>
      </c>
      <c r="N27" s="4">
        <f t="shared" si="2"/>
        <v>-4.089218758815949E-2</v>
      </c>
      <c r="O27" s="4">
        <f t="shared" si="1"/>
        <v>-3.5014107358382285E-2</v>
      </c>
      <c r="P27" s="4">
        <f t="shared" si="1"/>
        <v>-5.5455510369584182E-2</v>
      </c>
      <c r="Q27" s="4">
        <f t="shared" si="1"/>
        <v>-3.4019280617747838E-2</v>
      </c>
      <c r="R27" s="4">
        <f t="shared" si="3"/>
        <v>-3.9014407851984068E-2</v>
      </c>
      <c r="S27" s="4">
        <f t="shared" si="4"/>
        <v>-5.9476800737636504E-2</v>
      </c>
      <c r="T27" s="4">
        <f t="shared" si="5"/>
        <v>-1.3080824533928892E-2</v>
      </c>
      <c r="U27" s="4">
        <f t="shared" si="6"/>
        <v>-2.3472575956141273E-2</v>
      </c>
      <c r="V27" s="4">
        <f t="shared" si="7"/>
        <v>-2.3140519741066568E-2</v>
      </c>
      <c r="W27" s="4">
        <f t="shared" si="8"/>
        <v>-3.5855350334885738E-2</v>
      </c>
      <c r="Y27" s="6" t="s">
        <v>9</v>
      </c>
      <c r="Z27" s="3">
        <v>0.05</v>
      </c>
      <c r="AA27" s="3">
        <v>6.1460882359169404E-2</v>
      </c>
      <c r="AD27" t="s">
        <v>8</v>
      </c>
      <c r="AE27">
        <v>1.2973923971857621E-4</v>
      </c>
      <c r="AF27">
        <v>1.3960101582187354E-4</v>
      </c>
      <c r="AG27">
        <v>2.3429475383829199E-4</v>
      </c>
      <c r="AH27">
        <v>1.9954237591248374E-4</v>
      </c>
      <c r="AI27">
        <v>1.4796971581599667E-4</v>
      </c>
      <c r="AJ27">
        <f>VARP(Sheet4!$S$5:$S$510)</f>
        <v>5.2665189869162312E-4</v>
      </c>
      <c r="AK27">
        <f>_xlfn.COVARIANCE.P(Table2[NESTE.HE.csv],Table2[METSO.HE.csv])</f>
        <v>2.0833690809126068E-4</v>
      </c>
      <c r="AL27">
        <f>_xlfn.COVARIANCE.P(Table2[NOKIA.HE.csv],Table2[METSO.HE.csv])</f>
        <v>1.7051101343767091E-4</v>
      </c>
      <c r="AM27">
        <f>_xlfn.COVARIANCE.P(Table2[UPM.HE.csv],Table2[METSO.HE.csv])</f>
        <v>1.8135817314409244E-4</v>
      </c>
      <c r="AN27">
        <f>_xlfn.COVARIANCE.P(Table2[VALMT.HE.csv],Table2[METSO.HE.csv])</f>
        <v>2.9317416952105496E-4</v>
      </c>
    </row>
    <row r="28" spans="1:40" x14ac:dyDescent="0.25">
      <c r="A28" s="1">
        <v>44636</v>
      </c>
      <c r="B28">
        <v>4943.9101559999999</v>
      </c>
      <c r="C28">
        <v>9.7479499999999994</v>
      </c>
      <c r="D28">
        <v>6.3176249999999996</v>
      </c>
      <c r="E28">
        <v>8.3850999999999995E-2</v>
      </c>
      <c r="F28">
        <v>15.810593000000001</v>
      </c>
      <c r="G28">
        <v>21.836010000000002</v>
      </c>
      <c r="H28">
        <v>7.6221819999999996</v>
      </c>
      <c r="I28">
        <v>34.772807999999998</v>
      </c>
      <c r="J28">
        <v>4.5294559999999997</v>
      </c>
      <c r="K28">
        <v>27.625178999999999</v>
      </c>
      <c r="L28">
        <v>30.084743</v>
      </c>
      <c r="M28" s="4">
        <f t="shared" si="2"/>
        <v>3.9782818135656317E-3</v>
      </c>
      <c r="N28" s="4">
        <f t="shared" si="2"/>
        <v>3.7313709467494682E-3</v>
      </c>
      <c r="O28" s="4">
        <f t="shared" si="1"/>
        <v>1.4204522195107705E-2</v>
      </c>
      <c r="P28" s="4">
        <f t="shared" si="1"/>
        <v>1.6474324783009253E-2</v>
      </c>
      <c r="Q28" s="4">
        <f t="shared" si="1"/>
        <v>-8.1632443099656227E-3</v>
      </c>
      <c r="R28" s="4">
        <f t="shared" si="3"/>
        <v>2.5263416184965415E-2</v>
      </c>
      <c r="S28" s="4">
        <f t="shared" si="4"/>
        <v>3.1568322649326852E-2</v>
      </c>
      <c r="T28" s="4">
        <f t="shared" si="5"/>
        <v>-2.8919009113796079E-2</v>
      </c>
      <c r="U28" s="4">
        <f t="shared" si="6"/>
        <v>-1.1600361016502414E-2</v>
      </c>
      <c r="V28" s="4">
        <f t="shared" si="7"/>
        <v>7.9973351824658145E-3</v>
      </c>
      <c r="W28" s="4">
        <f t="shared" si="8"/>
        <v>2.0148832118825455E-2</v>
      </c>
      <c r="Y28" s="6" t="s">
        <v>10</v>
      </c>
      <c r="Z28" s="3">
        <v>0.05</v>
      </c>
      <c r="AA28" s="3">
        <v>5.4642146140151795E-2</v>
      </c>
      <c r="AD28" t="s">
        <v>9</v>
      </c>
      <c r="AE28">
        <v>1.1099929242772713E-4</v>
      </c>
      <c r="AF28">
        <v>1.2042609539943502E-4</v>
      </c>
      <c r="AG28">
        <v>1.525067854475146E-4</v>
      </c>
      <c r="AH28">
        <v>1.8475062135514333E-4</v>
      </c>
      <c r="AI28">
        <v>8.5031727483611945E-5</v>
      </c>
      <c r="AJ28">
        <v>2.0833690809126068E-4</v>
      </c>
      <c r="AK28">
        <f>VARP(Sheet4!$T$5:$T$510)</f>
        <v>6.4161533752901754E-4</v>
      </c>
      <c r="AL28">
        <f>_xlfn.COVARIANCE.P(Table2[NOKIA.HE.csv],Table2[NESTE.HE.csv])</f>
        <v>1.2343278784754207E-4</v>
      </c>
      <c r="AM28">
        <f>_xlfn.COVARIANCE.P(Table2[UPM.HE.csv],Table2[NESTE.HE.csv])</f>
        <v>1.2756634514837173E-4</v>
      </c>
      <c r="AN28">
        <f>_xlfn.COVARIANCE.P(Table2[VALMT.HE.csv],Table2[NESTE.HE.csv])</f>
        <v>2.1069681054680523E-4</v>
      </c>
    </row>
    <row r="29" spans="1:40" x14ac:dyDescent="0.25">
      <c r="A29" s="1">
        <v>44637</v>
      </c>
      <c r="B29">
        <v>4924.3198240000002</v>
      </c>
      <c r="C29">
        <v>9.7117120000000003</v>
      </c>
      <c r="D29">
        <v>6.2291429999999997</v>
      </c>
      <c r="E29">
        <v>8.2491999999999996E-2</v>
      </c>
      <c r="F29">
        <v>15.940721</v>
      </c>
      <c r="G29">
        <v>21.297951000000001</v>
      </c>
      <c r="H29">
        <v>7.3889259999999997</v>
      </c>
      <c r="I29">
        <v>35.808349999999997</v>
      </c>
      <c r="J29">
        <v>4.5826159999999998</v>
      </c>
      <c r="K29">
        <v>27.406003999999999</v>
      </c>
      <c r="L29">
        <v>29.490542999999999</v>
      </c>
      <c r="M29" s="4">
        <f t="shared" si="2"/>
        <v>-1.4008946840327052E-4</v>
      </c>
      <c r="N29" s="4">
        <f t="shared" si="2"/>
        <v>-1.8622111730409729E-3</v>
      </c>
      <c r="O29" s="4">
        <f t="shared" si="1"/>
        <v>-9.8452094076056929E-3</v>
      </c>
      <c r="P29" s="4">
        <f t="shared" si="1"/>
        <v>6.7612096951352729E-3</v>
      </c>
      <c r="Q29" s="4">
        <f t="shared" si="1"/>
        <v>2.7214454671775634E-4</v>
      </c>
      <c r="R29" s="4">
        <f t="shared" si="3"/>
        <v>1.4957045315901585E-2</v>
      </c>
      <c r="S29" s="4">
        <f t="shared" si="4"/>
        <v>-1.5785551256854102E-2</v>
      </c>
      <c r="T29" s="4">
        <f t="shared" si="5"/>
        <v>2.7099056818411515E-3</v>
      </c>
      <c r="U29" s="4">
        <f t="shared" si="6"/>
        <v>-4.7417182816010817E-3</v>
      </c>
      <c r="V29" s="4">
        <f t="shared" si="7"/>
        <v>3.34333015482291E-3</v>
      </c>
      <c r="W29" s="4">
        <f t="shared" si="8"/>
        <v>4.3586455432600424E-3</v>
      </c>
      <c r="Y29" s="6" t="s">
        <v>11</v>
      </c>
      <c r="Z29" s="3">
        <v>0.05</v>
      </c>
      <c r="AA29" s="3">
        <v>5.000000000000001E-2</v>
      </c>
      <c r="AD29" t="s">
        <v>10</v>
      </c>
      <c r="AE29">
        <v>7.8857145888844632E-5</v>
      </c>
      <c r="AF29">
        <v>8.3226478662058075E-5</v>
      </c>
      <c r="AG29">
        <v>1.0595276751496562E-4</v>
      </c>
      <c r="AH29">
        <v>1.1309910621201867E-4</v>
      </c>
      <c r="AI29">
        <v>8.8521921342170744E-5</v>
      </c>
      <c r="AJ29">
        <v>1.7051101343767091E-4</v>
      </c>
      <c r="AK29">
        <v>1.2343278784754207E-4</v>
      </c>
      <c r="AL29">
        <f>VARP(Sheet4!$U$5:$U$510)</f>
        <v>3.4555264416076564E-4</v>
      </c>
      <c r="AM29">
        <f>_xlfn.COVARIANCE.P(Table2[UPM.HE.csv],Table2[NOKIA.HE.csv])</f>
        <v>1.0231662611150819E-4</v>
      </c>
      <c r="AN29">
        <f>_xlfn.COVARIANCE.P(Table2[VALMT.HE.csv],Table2[NOKIA.HE.csv])</f>
        <v>1.4246383797294717E-4</v>
      </c>
    </row>
    <row r="30" spans="1:40" x14ac:dyDescent="0.25">
      <c r="A30" s="1">
        <v>44638</v>
      </c>
      <c r="B30">
        <v>4925.0097660000001</v>
      </c>
      <c r="C30">
        <v>9.7298310000000008</v>
      </c>
      <c r="D30">
        <v>6.29108</v>
      </c>
      <c r="E30">
        <v>8.1937999999999997E-2</v>
      </c>
      <c r="F30">
        <v>15.936384</v>
      </c>
      <c r="G30">
        <v>20.984090999999999</v>
      </c>
      <c r="H30">
        <v>7.5074350000000001</v>
      </c>
      <c r="I30">
        <v>35.711575000000003</v>
      </c>
      <c r="J30">
        <v>4.6044489999999998</v>
      </c>
      <c r="K30">
        <v>27.314682000000001</v>
      </c>
      <c r="L30">
        <v>29.362562</v>
      </c>
      <c r="M30" s="4">
        <f t="shared" si="2"/>
        <v>-4.1915804347114616E-3</v>
      </c>
      <c r="N30" s="4">
        <f t="shared" si="2"/>
        <v>-1.1049704102558233E-2</v>
      </c>
      <c r="O30" s="4">
        <f t="shared" si="1"/>
        <v>3.7956280009358245E-2</v>
      </c>
      <c r="P30" s="4">
        <f t="shared" si="1"/>
        <v>1.3507161764342079E-2</v>
      </c>
      <c r="Q30" s="4">
        <f t="shared" si="1"/>
        <v>3.3474064258670611E-2</v>
      </c>
      <c r="R30" s="4">
        <f t="shared" si="3"/>
        <v>-8.4745198098928887E-3</v>
      </c>
      <c r="S30" s="4">
        <f t="shared" si="4"/>
        <v>-1.4324487056980528E-2</v>
      </c>
      <c r="T30" s="4">
        <f t="shared" si="5"/>
        <v>-6.7293275723393498E-3</v>
      </c>
      <c r="U30" s="4">
        <f t="shared" si="6"/>
        <v>-2.5702324408608535E-3</v>
      </c>
      <c r="V30" s="4">
        <f t="shared" si="7"/>
        <v>-1.1892946479461708E-2</v>
      </c>
      <c r="W30" s="4">
        <f t="shared" si="8"/>
        <v>-3.0193236954314084E-2</v>
      </c>
      <c r="Y30" s="7" t="s">
        <v>12</v>
      </c>
      <c r="Z30" s="3">
        <v>0.05</v>
      </c>
      <c r="AA30" s="3">
        <v>0.27625671032885285</v>
      </c>
      <c r="AD30" t="s">
        <v>11</v>
      </c>
      <c r="AE30">
        <v>8.674994050608117E-5</v>
      </c>
      <c r="AF30">
        <v>8.9756743345171982E-5</v>
      </c>
      <c r="AG30">
        <v>1.0980241480690713E-4</v>
      </c>
      <c r="AH30">
        <v>1.4662602888171819E-4</v>
      </c>
      <c r="AI30">
        <v>8.3554048920924583E-5</v>
      </c>
      <c r="AJ30">
        <v>1.8135817314409244E-4</v>
      </c>
      <c r="AK30">
        <v>1.2756634514837173E-4</v>
      </c>
      <c r="AL30">
        <v>1.0231662611150819E-4</v>
      </c>
      <c r="AM30">
        <f>VARP(Sheet4!$V$5:$V$510)</f>
        <v>2.9067983796930935E-4</v>
      </c>
      <c r="AN30">
        <f>_xlfn.COVARIANCE.P(Table2[VALMT.HE.csv],Table2[UPM.HE.csv])</f>
        <v>1.4047748622906349E-4</v>
      </c>
    </row>
    <row r="31" spans="1:40" ht="15.75" thickBot="1" x14ac:dyDescent="0.3">
      <c r="A31" s="1">
        <v>44641</v>
      </c>
      <c r="B31">
        <v>4945.7402339999999</v>
      </c>
      <c r="C31">
        <v>9.8385440000000006</v>
      </c>
      <c r="D31">
        <v>6.061026</v>
      </c>
      <c r="E31">
        <v>8.0846000000000001E-2</v>
      </c>
      <c r="F31">
        <v>15.420207</v>
      </c>
      <c r="G31">
        <v>21.163440999999999</v>
      </c>
      <c r="H31">
        <v>7.6165380000000003</v>
      </c>
      <c r="I31">
        <v>35.953518000000003</v>
      </c>
      <c r="J31">
        <v>4.616314</v>
      </c>
      <c r="K31">
        <v>27.643443999999999</v>
      </c>
      <c r="L31">
        <v>30.276713999999998</v>
      </c>
      <c r="M31" s="4">
        <f t="shared" si="2"/>
        <v>-3.0880144198633941E-3</v>
      </c>
      <c r="N31" s="4">
        <f t="shared" si="2"/>
        <v>1.1173164261537583E-2</v>
      </c>
      <c r="O31" s="4">
        <f t="shared" si="1"/>
        <v>-2.9113022587144988E-3</v>
      </c>
      <c r="P31" s="4">
        <f t="shared" si="1"/>
        <v>-4.2037586547960526E-4</v>
      </c>
      <c r="Q31" s="4">
        <f t="shared" si="1"/>
        <v>-5.6225720048930228E-4</v>
      </c>
      <c r="R31" s="4">
        <f t="shared" si="3"/>
        <v>8.5469511164433243E-3</v>
      </c>
      <c r="S31" s="4">
        <f t="shared" si="4"/>
        <v>5.2135168967808454E-3</v>
      </c>
      <c r="T31" s="4">
        <f t="shared" si="5"/>
        <v>1.5027257379006231E-2</v>
      </c>
      <c r="U31" s="4">
        <f t="shared" si="6"/>
        <v>-7.5512131947151895E-3</v>
      </c>
      <c r="V31" s="4">
        <f t="shared" si="7"/>
        <v>-2.1970963444845837E-2</v>
      </c>
      <c r="W31" s="4">
        <f t="shared" si="8"/>
        <v>2.538694015814813E-2</v>
      </c>
      <c r="Z31" s="10">
        <f>SUM(Z21:Z30)</f>
        <v>1.0000000000000002</v>
      </c>
      <c r="AA31" s="10">
        <f>SUM(AA21:AA30)</f>
        <v>1.0000003000000126</v>
      </c>
      <c r="AD31" s="8" t="s">
        <v>12</v>
      </c>
      <c r="AE31" s="8">
        <v>1.0185789849422036E-4</v>
      </c>
      <c r="AF31" s="8">
        <v>9.8872584796496206E-5</v>
      </c>
      <c r="AG31" s="8">
        <v>1.538907654829618E-4</v>
      </c>
      <c r="AH31" s="8">
        <v>1.5396179475459879E-4</v>
      </c>
      <c r="AI31" s="8">
        <v>1.2184784954784413E-4</v>
      </c>
      <c r="AJ31" s="8">
        <v>2.9317416952105496E-4</v>
      </c>
      <c r="AK31" s="8">
        <v>2.1069681054680523E-4</v>
      </c>
      <c r="AL31" s="8">
        <v>1.4246383797294717E-4</v>
      </c>
      <c r="AM31" s="8">
        <v>1.4047748622906349E-4</v>
      </c>
      <c r="AN31" s="8">
        <f>VARP(Sheet4!$W$5:$W$510)</f>
        <v>3.8616115925060927E-4</v>
      </c>
    </row>
    <row r="32" spans="1:40" x14ac:dyDescent="0.25">
      <c r="A32" s="1">
        <v>44642</v>
      </c>
      <c r="B32">
        <v>4961.0600590000004</v>
      </c>
      <c r="C32">
        <v>9.7298310000000008</v>
      </c>
      <c r="D32">
        <v>6.0787230000000001</v>
      </c>
      <c r="E32">
        <v>8.0879999999999994E-2</v>
      </c>
      <c r="F32">
        <v>15.428882</v>
      </c>
      <c r="G32">
        <v>20.984090999999999</v>
      </c>
      <c r="H32">
        <v>7.5770350000000004</v>
      </c>
      <c r="I32">
        <v>35.421233999999998</v>
      </c>
      <c r="J32">
        <v>4.6514379999999997</v>
      </c>
      <c r="K32">
        <v>28.264441000000001</v>
      </c>
      <c r="L32">
        <v>29.527111000000001</v>
      </c>
      <c r="M32" s="4">
        <f t="shared" si="2"/>
        <v>1.3406356671524566E-2</v>
      </c>
      <c r="N32" s="4">
        <f t="shared" si="2"/>
        <v>1.1299519588006346E-2</v>
      </c>
      <c r="O32" s="4">
        <f t="shared" si="1"/>
        <v>2.5373197017763749E-2</v>
      </c>
      <c r="P32" s="4">
        <f t="shared" si="1"/>
        <v>1.5378821166279533E-2</v>
      </c>
      <c r="Q32" s="4">
        <f t="shared" si="1"/>
        <v>4.8334722267991514E-2</v>
      </c>
      <c r="R32" s="4">
        <f t="shared" si="3"/>
        <v>-8.4745198098928887E-3</v>
      </c>
      <c r="S32" s="4">
        <f t="shared" si="4"/>
        <v>1.3333356514491745E-2</v>
      </c>
      <c r="T32" s="4">
        <f t="shared" si="5"/>
        <v>1.9498627926991752E-2</v>
      </c>
      <c r="U32" s="4">
        <f t="shared" si="6"/>
        <v>4.9221642140102606E-3</v>
      </c>
      <c r="V32" s="4">
        <f t="shared" si="7"/>
        <v>4.5440479330347561E-3</v>
      </c>
      <c r="W32" s="4">
        <f t="shared" si="8"/>
        <v>1.9337899939831482E-2</v>
      </c>
      <c r="Z32">
        <v>0</v>
      </c>
    </row>
    <row r="33" spans="1:27" x14ac:dyDescent="0.25">
      <c r="A33" s="1">
        <v>44643</v>
      </c>
      <c r="B33">
        <v>4895.4301759999998</v>
      </c>
      <c r="C33">
        <v>9.6211169999999999</v>
      </c>
      <c r="D33">
        <v>5.9283029999999997</v>
      </c>
      <c r="E33">
        <v>7.9655000000000004E-2</v>
      </c>
      <c r="F33">
        <v>14.717515000000001</v>
      </c>
      <c r="G33">
        <v>21.163440999999999</v>
      </c>
      <c r="H33">
        <v>7.4773370000000003</v>
      </c>
      <c r="I33">
        <v>34.743777999999999</v>
      </c>
      <c r="J33">
        <v>4.6286550000000002</v>
      </c>
      <c r="K33">
        <v>28.136586999999999</v>
      </c>
      <c r="L33">
        <v>28.966951000000002</v>
      </c>
      <c r="M33" s="4">
        <f t="shared" si="2"/>
        <v>8.8283439106171535E-3</v>
      </c>
      <c r="N33" s="4">
        <f t="shared" si="2"/>
        <v>5.6817558210140451E-3</v>
      </c>
      <c r="O33" s="4">
        <f t="shared" si="1"/>
        <v>-3.8737483187278543E-2</v>
      </c>
      <c r="P33" s="4">
        <f t="shared" si="1"/>
        <v>-1.4536681925027772E-2</v>
      </c>
      <c r="Q33" s="4">
        <f t="shared" si="1"/>
        <v>1.5564217370474198E-2</v>
      </c>
      <c r="R33" s="4">
        <f t="shared" si="3"/>
        <v>1.2875595021501596E-2</v>
      </c>
      <c r="S33" s="4">
        <f t="shared" si="4"/>
        <v>6.9698357800191735E-2</v>
      </c>
      <c r="T33" s="4">
        <f t="shared" si="5"/>
        <v>1.8151127249718346E-2</v>
      </c>
      <c r="U33" s="4">
        <f t="shared" si="6"/>
        <v>-9.2209525425268613E-4</v>
      </c>
      <c r="V33" s="4">
        <f t="shared" si="7"/>
        <v>-1.0279462883088453E-2</v>
      </c>
      <c r="W33" s="4">
        <f t="shared" si="8"/>
        <v>4.8453608844450713E-2</v>
      </c>
      <c r="Y33" s="11" t="s">
        <v>18</v>
      </c>
    </row>
    <row r="34" spans="1:27" x14ac:dyDescent="0.25">
      <c r="A34" s="1">
        <v>44644</v>
      </c>
      <c r="B34">
        <v>4852.5898440000001</v>
      </c>
      <c r="C34">
        <v>9.5667609999999996</v>
      </c>
      <c r="D34">
        <v>6.167205</v>
      </c>
      <c r="E34">
        <v>8.0829999999999999E-2</v>
      </c>
      <c r="F34">
        <v>14.491959</v>
      </c>
      <c r="G34">
        <v>20.894413</v>
      </c>
      <c r="H34">
        <v>6.9901359999999997</v>
      </c>
      <c r="I34">
        <v>34.124381999999997</v>
      </c>
      <c r="J34">
        <v>4.6329269999999996</v>
      </c>
      <c r="K34">
        <v>28.428820000000002</v>
      </c>
      <c r="L34">
        <v>27.628261999999999</v>
      </c>
      <c r="M34" s="4">
        <f t="shared" si="2"/>
        <v>1.222149436795994E-2</v>
      </c>
      <c r="N34" s="4">
        <f t="shared" si="2"/>
        <v>-7.5187494112605169E-3</v>
      </c>
      <c r="O34" s="4">
        <f t="shared" si="1"/>
        <v>2.9542050144560017E-2</v>
      </c>
      <c r="P34" s="4">
        <f t="shared" si="1"/>
        <v>1.2831115454978281E-2</v>
      </c>
      <c r="Q34" s="4">
        <f t="shared" si="1"/>
        <v>6.6286112000599751E-3</v>
      </c>
      <c r="R34" s="4">
        <f t="shared" si="3"/>
        <v>8.6578535959216385E-3</v>
      </c>
      <c r="S34" s="4">
        <f t="shared" si="4"/>
        <v>4.0313677492366029E-2</v>
      </c>
      <c r="T34" s="4">
        <f t="shared" si="5"/>
        <v>-2.5967060963292599E-2</v>
      </c>
      <c r="U34" s="4">
        <f t="shared" si="6"/>
        <v>-5.1215659997061458E-4</v>
      </c>
      <c r="V34" s="4">
        <f t="shared" si="7"/>
        <v>1.6087709478980194E-3</v>
      </c>
      <c r="W34" s="4">
        <f t="shared" si="8"/>
        <v>4.638623140270437E-2</v>
      </c>
      <c r="Y34" s="11" t="s">
        <v>19</v>
      </c>
      <c r="Z34" s="3">
        <f>SUMPRODUCT(Z21:Z30,$AB$6:$AB$15)</f>
        <v>0.82397190192889913</v>
      </c>
      <c r="AA34" s="3">
        <f>SUMPRODUCT(AA21:AA30,$AB$6:$AB$15)</f>
        <v>0.65917756956430806</v>
      </c>
    </row>
    <row r="35" spans="1:27" x14ac:dyDescent="0.25">
      <c r="A35" s="1">
        <v>44645</v>
      </c>
      <c r="B35">
        <v>4794</v>
      </c>
      <c r="C35">
        <v>9.6392360000000004</v>
      </c>
      <c r="D35">
        <v>5.9902410000000001</v>
      </c>
      <c r="E35">
        <v>7.9806000000000002E-2</v>
      </c>
      <c r="F35">
        <v>14.39653</v>
      </c>
      <c r="G35">
        <v>20.715064999999999</v>
      </c>
      <c r="H35">
        <v>6.719258</v>
      </c>
      <c r="I35">
        <v>35.034115</v>
      </c>
      <c r="J35">
        <v>4.6353010000000001</v>
      </c>
      <c r="K35">
        <v>28.383158000000002</v>
      </c>
      <c r="L35">
        <v>26.403503000000001</v>
      </c>
      <c r="M35" s="4">
        <f t="shared" si="2"/>
        <v>-8.8590915847729379E-3</v>
      </c>
      <c r="N35" s="4">
        <f t="shared" si="2"/>
        <v>1.8832532646677613E-3</v>
      </c>
      <c r="O35" s="4">
        <f t="shared" si="1"/>
        <v>-3.147357872444867E-2</v>
      </c>
      <c r="P35" s="4">
        <f t="shared" si="1"/>
        <v>-2.300287535942025E-3</v>
      </c>
      <c r="Q35" s="4">
        <f t="shared" si="1"/>
        <v>-2.094406189342557E-2</v>
      </c>
      <c r="R35" s="4">
        <f t="shared" si="3"/>
        <v>-6.4515457555806011E-3</v>
      </c>
      <c r="S35" s="4">
        <f t="shared" si="4"/>
        <v>-3.4855337279180776E-2</v>
      </c>
      <c r="T35" s="4">
        <f t="shared" si="5"/>
        <v>-3.9787723454729029E-2</v>
      </c>
      <c r="U35" s="4">
        <f t="shared" si="6"/>
        <v>-6.7125584951525097E-3</v>
      </c>
      <c r="V35" s="4">
        <f t="shared" si="7"/>
        <v>-5.4400371597461694E-3</v>
      </c>
      <c r="W35" s="4">
        <f t="shared" si="8"/>
        <v>-7.8487539839074971E-3</v>
      </c>
      <c r="Y35" s="11" t="s">
        <v>20</v>
      </c>
      <c r="Z35" s="13">
        <f t="array" ref="Z35">MMULT(MMULT(TRANSPOSE(Z21:Z30),$AE$22:$AN$31),Z21:Z30)</f>
        <v>3.2422351441243594E-4</v>
      </c>
      <c r="AA35" s="13" cm="1">
        <f t="array" ref="AA35">MMULT(MMULT(TRANSPOSE(AA21:AA30),$AE$22:$AN$31),AA21:AA30)</f>
        <v>2.6631888826680281E-4</v>
      </c>
    </row>
    <row r="36" spans="1:27" x14ac:dyDescent="0.25">
      <c r="A36" s="1">
        <v>44648</v>
      </c>
      <c r="B36">
        <v>4836.8500979999999</v>
      </c>
      <c r="C36">
        <v>9.6211169999999999</v>
      </c>
      <c r="D36">
        <v>6.1849020000000001</v>
      </c>
      <c r="E36">
        <v>7.9990000000000006E-2</v>
      </c>
      <c r="F36">
        <v>14.704502</v>
      </c>
      <c r="G36">
        <v>20.849577</v>
      </c>
      <c r="H36">
        <v>6.9619179999999998</v>
      </c>
      <c r="I36">
        <v>36.485802</v>
      </c>
      <c r="J36">
        <v>4.6666259999999999</v>
      </c>
      <c r="K36">
        <v>28.538408</v>
      </c>
      <c r="L36">
        <v>26.612376999999999</v>
      </c>
      <c r="M36" s="4">
        <f t="shared" si="2"/>
        <v>-2.4944563024025812E-2</v>
      </c>
      <c r="N36" s="4">
        <f t="shared" si="2"/>
        <v>-2.5688063360595037E-2</v>
      </c>
      <c r="O36" s="4">
        <f t="shared" si="1"/>
        <v>-1.5492901249110069E-2</v>
      </c>
      <c r="P36" s="4">
        <f t="shared" si="1"/>
        <v>-5.1936661451666422E-2</v>
      </c>
      <c r="Q36" s="4">
        <f t="shared" si="1"/>
        <v>-6.4220154294035381E-2</v>
      </c>
      <c r="R36" s="4">
        <f t="shared" si="3"/>
        <v>-3.9256056680342488E-2</v>
      </c>
      <c r="S36" s="4">
        <f t="shared" si="4"/>
        <v>-6.4695563015031432E-2</v>
      </c>
      <c r="T36" s="4">
        <f t="shared" si="5"/>
        <v>-6.2189153767756467E-2</v>
      </c>
      <c r="U36" s="4">
        <f t="shared" si="6"/>
        <v>-1.9349591958316426E-2</v>
      </c>
      <c r="V36" s="4">
        <f t="shared" si="7"/>
        <v>-1.1701463307127624E-2</v>
      </c>
      <c r="W36" s="4">
        <f t="shared" si="8"/>
        <v>-3.3781479263520486E-2</v>
      </c>
      <c r="Y36" s="11" t="s">
        <v>21</v>
      </c>
      <c r="Z36" s="12">
        <f>SQRT(Z35)</f>
        <v>1.8006207663259801E-2</v>
      </c>
      <c r="AA36" s="12">
        <f>SQRT(AA35)</f>
        <v>1.6319279649139016E-2</v>
      </c>
    </row>
    <row r="37" spans="1:27" x14ac:dyDescent="0.25">
      <c r="A37" s="1">
        <v>44649</v>
      </c>
      <c r="B37">
        <v>4960.5898440000001</v>
      </c>
      <c r="C37">
        <v>9.8747810000000005</v>
      </c>
      <c r="D37">
        <v>6.2822319999999996</v>
      </c>
      <c r="E37">
        <v>8.4372000000000003E-2</v>
      </c>
      <c r="F37">
        <v>15.713634000000001</v>
      </c>
      <c r="G37">
        <v>21.701491999999998</v>
      </c>
      <c r="H37">
        <v>7.4434779999999998</v>
      </c>
      <c r="I37">
        <v>38.905289000000003</v>
      </c>
      <c r="J37">
        <v>4.758705</v>
      </c>
      <c r="K37">
        <v>28.876303</v>
      </c>
      <c r="L37">
        <v>27.542814</v>
      </c>
      <c r="M37" s="4">
        <f t="shared" si="2"/>
        <v>9.6269108122155611E-3</v>
      </c>
      <c r="N37" s="4">
        <f t="shared" si="2"/>
        <v>-5.474493354810761E-3</v>
      </c>
      <c r="O37" s="4">
        <f t="shared" si="1"/>
        <v>1.4104030615691432E-3</v>
      </c>
      <c r="P37" s="4">
        <f t="shared" si="1"/>
        <v>2.5924124513618807E-2</v>
      </c>
      <c r="Q37" s="4">
        <f t="shared" si="1"/>
        <v>1.1852158058678341E-3</v>
      </c>
      <c r="R37" s="4">
        <f t="shared" si="3"/>
        <v>-6.1603745372896812E-3</v>
      </c>
      <c r="S37" s="4">
        <f t="shared" si="4"/>
        <v>1.4875568811248518E-2</v>
      </c>
      <c r="T37" s="4">
        <f t="shared" si="5"/>
        <v>1.4947787384844702E-3</v>
      </c>
      <c r="U37" s="4">
        <f t="shared" si="6"/>
        <v>-4.3694133533238588E-3</v>
      </c>
      <c r="V37" s="4">
        <f t="shared" si="7"/>
        <v>2.9772579134026422E-3</v>
      </c>
      <c r="W37" s="4">
        <f t="shared" si="8"/>
        <v>2.2198783247524778E-2</v>
      </c>
      <c r="Y37" s="11" t="s">
        <v>22</v>
      </c>
      <c r="Z37" s="14">
        <f>Z34/Z36</f>
        <v>45.760435364196461</v>
      </c>
      <c r="AA37" s="14">
        <f>AA34/AA36</f>
        <v>40.392565342128037</v>
      </c>
    </row>
    <row r="38" spans="1:27" x14ac:dyDescent="0.25">
      <c r="A38" s="1">
        <v>44650</v>
      </c>
      <c r="B38">
        <v>4913.2900390000004</v>
      </c>
      <c r="C38">
        <v>9.929138</v>
      </c>
      <c r="D38">
        <v>6.2733840000000001</v>
      </c>
      <c r="E38">
        <v>8.2239999999999994E-2</v>
      </c>
      <c r="F38">
        <v>15.695031999999999</v>
      </c>
      <c r="G38">
        <v>21.836010000000002</v>
      </c>
      <c r="H38">
        <v>7.3343749999999996</v>
      </c>
      <c r="I38">
        <v>38.847220999999998</v>
      </c>
      <c r="J38">
        <v>4.7795889999999996</v>
      </c>
      <c r="K38">
        <v>28.790586000000001</v>
      </c>
      <c r="L38">
        <v>26.944675</v>
      </c>
      <c r="M38" s="4">
        <f t="shared" si="2"/>
        <v>9.8658044258890243E-3</v>
      </c>
      <c r="N38" s="4">
        <f t="shared" si="2"/>
        <v>5.5046284064426132E-3</v>
      </c>
      <c r="O38" s="4">
        <f t="shared" si="1"/>
        <v>1.4125549621799571E-3</v>
      </c>
      <c r="P38" s="4">
        <f t="shared" si="1"/>
        <v>-1.9610180604399008E-2</v>
      </c>
      <c r="Q38" s="4">
        <f t="shared" si="1"/>
        <v>2.0871129446065284E-2</v>
      </c>
      <c r="R38" s="4">
        <f t="shared" si="3"/>
        <v>4.0598327561579994E-2</v>
      </c>
      <c r="S38" s="4">
        <f t="shared" si="4"/>
        <v>1.4836134621217134E-2</v>
      </c>
      <c r="T38" s="4">
        <f t="shared" si="5"/>
        <v>-4.2188937050520958E-2</v>
      </c>
      <c r="U38" s="4">
        <f t="shared" si="6"/>
        <v>9.9285783863882759E-3</v>
      </c>
      <c r="V38" s="4">
        <f t="shared" si="7"/>
        <v>1.9217757973313931E-2</v>
      </c>
      <c r="W38" s="4">
        <f t="shared" si="8"/>
        <v>6.0262614664854386E-3</v>
      </c>
      <c r="Y38" s="11" t="s">
        <v>16</v>
      </c>
      <c r="Z38" s="15">
        <f>SUMPRODUCT(AA6:AA15,Z21:Z30)</f>
        <v>0.24258047315415096</v>
      </c>
      <c r="AA38" s="15">
        <f>SUMPRODUCT(AB6:AB15,AA21:AA30)</f>
        <v>0.65917756956430806</v>
      </c>
    </row>
    <row r="39" spans="1:27" x14ac:dyDescent="0.25">
      <c r="A39" s="1">
        <v>44651</v>
      </c>
      <c r="B39">
        <v>4865.2900390000004</v>
      </c>
      <c r="C39">
        <v>9.8747810000000005</v>
      </c>
      <c r="D39">
        <v>6.2645350000000004</v>
      </c>
      <c r="E39">
        <v>8.3885000000000001E-2</v>
      </c>
      <c r="F39">
        <v>15.374155999999999</v>
      </c>
      <c r="G39">
        <v>20.984090999999999</v>
      </c>
      <c r="H39">
        <v>7.2271520000000002</v>
      </c>
      <c r="I39">
        <v>40.558334000000002</v>
      </c>
      <c r="J39">
        <v>4.7326009999999998</v>
      </c>
      <c r="K39">
        <v>28.247727999999999</v>
      </c>
      <c r="L39">
        <v>26.783272</v>
      </c>
      <c r="M39" s="4">
        <f t="shared" si="2"/>
        <v>-1.0083737654616787E-2</v>
      </c>
      <c r="N39" s="4">
        <f t="shared" si="2"/>
        <v>-9.0909765973705703E-3</v>
      </c>
      <c r="O39" s="4">
        <f t="shared" si="1"/>
        <v>-1.2552313786092339E-2</v>
      </c>
      <c r="P39" s="4">
        <f t="shared" si="1"/>
        <v>-5.9569905283840541E-4</v>
      </c>
      <c r="Q39" s="4">
        <f t="shared" si="1"/>
        <v>1.3799441591692441E-2</v>
      </c>
      <c r="R39" s="4">
        <f t="shared" si="3"/>
        <v>2.1414328525886095E-3</v>
      </c>
      <c r="S39" s="4">
        <f t="shared" si="4"/>
        <v>-1.5376801528279582E-2</v>
      </c>
      <c r="T39" s="4">
        <f t="shared" si="5"/>
        <v>-2.331074462033067E-2</v>
      </c>
      <c r="U39" s="4">
        <f t="shared" si="6"/>
        <v>-1.1793700755176051E-2</v>
      </c>
      <c r="V39" s="4">
        <f t="shared" si="7"/>
        <v>-1.1333341196636315E-2</v>
      </c>
      <c r="W39" s="4">
        <f t="shared" si="8"/>
        <v>-1.7693879998715856E-3</v>
      </c>
    </row>
    <row r="40" spans="1:27" x14ac:dyDescent="0.25">
      <c r="A40" s="1">
        <v>44652</v>
      </c>
      <c r="B40">
        <v>4914.8500979999999</v>
      </c>
      <c r="C40">
        <v>9.9653759999999991</v>
      </c>
      <c r="D40">
        <v>6.3441689999999999</v>
      </c>
      <c r="E40">
        <v>8.3934999999999996E-2</v>
      </c>
      <c r="F40">
        <v>15.164889000000001</v>
      </c>
      <c r="G40">
        <v>20.939250999999999</v>
      </c>
      <c r="H40">
        <v>7.3400179999999997</v>
      </c>
      <c r="I40">
        <v>41.526344000000002</v>
      </c>
      <c r="J40">
        <v>4.7890819999999996</v>
      </c>
      <c r="K40">
        <v>28.571539000000001</v>
      </c>
      <c r="L40">
        <v>26.830746000000001</v>
      </c>
      <c r="M40" s="4">
        <f t="shared" si="2"/>
        <v>-1.3958771933159086E-3</v>
      </c>
      <c r="N40" s="4">
        <f t="shared" si="2"/>
        <v>-1.4336925007470191E-2</v>
      </c>
      <c r="O40" s="4">
        <f t="shared" si="1"/>
        <v>-3.6290503886331482E-2</v>
      </c>
      <c r="P40" s="4">
        <f t="shared" si="1"/>
        <v>-1.4778036011925844E-2</v>
      </c>
      <c r="Q40" s="4">
        <f t="shared" si="1"/>
        <v>-7.6080666447266854E-3</v>
      </c>
      <c r="R40" s="4">
        <f t="shared" si="3"/>
        <v>-2.1368569169853968E-3</v>
      </c>
      <c r="S40" s="4">
        <f t="shared" si="4"/>
        <v>-2.2055264400833829E-2</v>
      </c>
      <c r="T40" s="4">
        <f t="shared" si="5"/>
        <v>2.5350232500671366E-2</v>
      </c>
      <c r="U40" s="4">
        <f t="shared" si="6"/>
        <v>-1.2140215518477326E-2</v>
      </c>
      <c r="V40" s="4">
        <f t="shared" si="7"/>
        <v>3.6801849285637012E-3</v>
      </c>
      <c r="W40" s="4">
        <f t="shared" si="8"/>
        <v>7.486774146708175E-3</v>
      </c>
    </row>
    <row r="41" spans="1:27" x14ac:dyDescent="0.25">
      <c r="A41" s="1">
        <v>44655</v>
      </c>
      <c r="B41">
        <v>4921.7202150000003</v>
      </c>
      <c r="C41">
        <v>10.110327</v>
      </c>
      <c r="D41">
        <v>6.5830719999999996</v>
      </c>
      <c r="E41">
        <v>8.5194000000000006E-2</v>
      </c>
      <c r="F41">
        <v>15.281148999999999</v>
      </c>
      <c r="G41">
        <v>20.984090999999999</v>
      </c>
      <c r="H41">
        <v>7.5055550000000002</v>
      </c>
      <c r="I41">
        <v>40.499668</v>
      </c>
      <c r="J41">
        <v>4.8479369999999999</v>
      </c>
      <c r="K41">
        <v>28.466775999999999</v>
      </c>
      <c r="L41">
        <v>26.631363</v>
      </c>
      <c r="M41" s="4">
        <f t="shared" si="2"/>
        <v>-2.0397443597534037E-3</v>
      </c>
      <c r="N41" s="4">
        <f t="shared" si="2"/>
        <v>5.4054457203034367E-3</v>
      </c>
      <c r="O41" s="4">
        <f t="shared" si="1"/>
        <v>-7.9998071173691399E-3</v>
      </c>
      <c r="P41" s="4">
        <f t="shared" si="1"/>
        <v>3.2341714631929808E-2</v>
      </c>
      <c r="Q41" s="4">
        <f t="shared" si="1"/>
        <v>2.816018580848656E-2</v>
      </c>
      <c r="R41" s="4">
        <f t="shared" si="3"/>
        <v>1.5184646550223002E-2</v>
      </c>
      <c r="S41" s="4">
        <f t="shared" si="4"/>
        <v>2.5443462963666397E-2</v>
      </c>
      <c r="T41" s="4">
        <f t="shared" si="5"/>
        <v>-1.4982147073904994E-2</v>
      </c>
      <c r="U41" s="4">
        <f t="shared" si="6"/>
        <v>-9.7822153678250867E-4</v>
      </c>
      <c r="V41" s="4">
        <f t="shared" si="7"/>
        <v>-2.8599336165080591E-2</v>
      </c>
      <c r="W41" s="4">
        <f t="shared" si="8"/>
        <v>3.3149121759567413E-2</v>
      </c>
    </row>
    <row r="42" spans="1:27" x14ac:dyDescent="0.25">
      <c r="A42" s="1">
        <v>44656</v>
      </c>
      <c r="B42">
        <v>4931.7797849999997</v>
      </c>
      <c r="C42">
        <v>10.05597</v>
      </c>
      <c r="D42">
        <v>6.6361600000000003</v>
      </c>
      <c r="E42">
        <v>8.2525000000000001E-2</v>
      </c>
      <c r="F42">
        <v>14.862615</v>
      </c>
      <c r="G42">
        <v>20.670221000000002</v>
      </c>
      <c r="H42">
        <v>7.3193260000000002</v>
      </c>
      <c r="I42">
        <v>41.115668999999997</v>
      </c>
      <c r="J42">
        <v>4.852684</v>
      </c>
      <c r="K42">
        <v>29.304876</v>
      </c>
      <c r="L42">
        <v>25.776882000000001</v>
      </c>
      <c r="M42" s="4">
        <f t="shared" si="2"/>
        <v>1.2371938453381581E-2</v>
      </c>
      <c r="N42" s="4">
        <f t="shared" si="2"/>
        <v>5.434722835734318E-3</v>
      </c>
      <c r="O42" s="4">
        <f t="shared" si="1"/>
        <v>-9.2471026849710869E-3</v>
      </c>
      <c r="P42" s="4">
        <f t="shared" si="1"/>
        <v>2.7593420413652314E-2</v>
      </c>
      <c r="Q42" s="4">
        <f t="shared" si="1"/>
        <v>5.6639502729161073E-3</v>
      </c>
      <c r="R42" s="4">
        <f t="shared" si="3"/>
        <v>1.7659827872090084E-2</v>
      </c>
      <c r="S42" s="4">
        <f t="shared" si="4"/>
        <v>4.9919068458158078E-2</v>
      </c>
      <c r="T42" s="4">
        <f t="shared" si="5"/>
        <v>4.778896521212106E-3</v>
      </c>
      <c r="U42" s="4">
        <f t="shared" si="6"/>
        <v>2.3936091086238287E-2</v>
      </c>
      <c r="V42" s="4">
        <f t="shared" si="7"/>
        <v>2.0902514388498217E-2</v>
      </c>
      <c r="W42" s="4">
        <f t="shared" si="8"/>
        <v>7.3713321682533639E-4</v>
      </c>
    </row>
    <row r="43" spans="1:27" x14ac:dyDescent="0.25">
      <c r="A43" s="1">
        <v>44657</v>
      </c>
      <c r="B43">
        <v>4871.5097660000001</v>
      </c>
      <c r="C43">
        <v>10.001614</v>
      </c>
      <c r="D43">
        <v>6.6980979999999999</v>
      </c>
      <c r="E43">
        <v>8.0309000000000005E-2</v>
      </c>
      <c r="F43">
        <v>14.778907999999999</v>
      </c>
      <c r="G43">
        <v>20.311523000000001</v>
      </c>
      <c r="H43">
        <v>6.9713240000000001</v>
      </c>
      <c r="I43">
        <v>40.920116</v>
      </c>
      <c r="J43">
        <v>4.7392450000000004</v>
      </c>
      <c r="K43">
        <v>28.704872000000002</v>
      </c>
      <c r="L43">
        <v>25.757895000000001</v>
      </c>
      <c r="M43" s="4">
        <f t="shared" si="2"/>
        <v>4.4205429567027998E-3</v>
      </c>
      <c r="N43" s="4">
        <f t="shared" si="2"/>
        <v>4.1749498426483012E-2</v>
      </c>
      <c r="O43" s="4">
        <f t="shared" si="1"/>
        <v>7.3099465797177077E-2</v>
      </c>
      <c r="P43" s="4">
        <f t="shared" si="1"/>
        <v>2.0042930992874686E-2</v>
      </c>
      <c r="Q43" s="4">
        <f t="shared" si="1"/>
        <v>-2.3355941428218285E-2</v>
      </c>
      <c r="R43" s="4">
        <f t="shared" si="3"/>
        <v>-2.789693110785163E-2</v>
      </c>
      <c r="S43" s="4">
        <f t="shared" si="4"/>
        <v>8.4353993412420447E-3</v>
      </c>
      <c r="T43" s="4">
        <f t="shared" si="5"/>
        <v>3.2568511433064717E-2</v>
      </c>
      <c r="U43" s="4">
        <f t="shared" si="6"/>
        <v>1.9064624171314382E-3</v>
      </c>
      <c r="V43" s="4">
        <f t="shared" si="7"/>
        <v>-1.8560755411735741E-2</v>
      </c>
      <c r="W43" s="4">
        <f t="shared" si="8"/>
        <v>3.8270195622704728E-2</v>
      </c>
    </row>
    <row r="44" spans="1:27" x14ac:dyDescent="0.25">
      <c r="A44" s="1">
        <v>44658</v>
      </c>
      <c r="B44">
        <v>4850.0698240000002</v>
      </c>
      <c r="C44">
        <v>9.6007859999999994</v>
      </c>
      <c r="D44">
        <v>6.2418240000000003</v>
      </c>
      <c r="E44">
        <v>7.8730999999999995E-2</v>
      </c>
      <c r="F44">
        <v>15.132338000000001</v>
      </c>
      <c r="G44">
        <v>20.894413</v>
      </c>
      <c r="H44">
        <v>6.9130099999999999</v>
      </c>
      <c r="I44">
        <v>39.629443999999999</v>
      </c>
      <c r="J44">
        <v>4.7302270000000002</v>
      </c>
      <c r="K44">
        <v>29.247731999999999</v>
      </c>
      <c r="L44">
        <v>24.80847</v>
      </c>
      <c r="M44" s="4">
        <f t="shared" si="2"/>
        <v>-2.0413543184669591E-2</v>
      </c>
      <c r="N44" s="4">
        <f t="shared" si="2"/>
        <v>-1.3725454946095783E-2</v>
      </c>
      <c r="O44" s="4">
        <f t="shared" si="1"/>
        <v>-4.3669041716798418E-3</v>
      </c>
      <c r="P44" s="4">
        <f t="shared" si="1"/>
        <v>-2.5763181666316082E-2</v>
      </c>
      <c r="Q44" s="4">
        <f t="shared" si="1"/>
        <v>-1.8401129734607058E-2</v>
      </c>
      <c r="R44" s="4">
        <f t="shared" si="3"/>
        <v>3.4856678097776594E-3</v>
      </c>
      <c r="S44" s="4">
        <f t="shared" si="4"/>
        <v>-1.6327684636791018E-2</v>
      </c>
      <c r="T44" s="4">
        <f t="shared" si="5"/>
        <v>-4.252315094564918E-2</v>
      </c>
      <c r="U44" s="4">
        <f t="shared" si="6"/>
        <v>-8.3583205959961715E-3</v>
      </c>
      <c r="V44" s="4">
        <f t="shared" si="7"/>
        <v>-3.2755936999319335E-2</v>
      </c>
      <c r="W44" s="4">
        <f t="shared" si="8"/>
        <v>-1.1724711270176158E-2</v>
      </c>
    </row>
    <row r="45" spans="1:27" x14ac:dyDescent="0.25">
      <c r="A45" s="1">
        <v>44659</v>
      </c>
      <c r="B45">
        <v>4951.1401370000003</v>
      </c>
      <c r="C45">
        <v>9.7343949999999992</v>
      </c>
      <c r="D45">
        <v>6.2692009999999998</v>
      </c>
      <c r="E45">
        <v>8.0812999999999996E-2</v>
      </c>
      <c r="F45">
        <v>15.41601</v>
      </c>
      <c r="G45">
        <v>20.821835</v>
      </c>
      <c r="H45">
        <v>7.0277570000000003</v>
      </c>
      <c r="I45">
        <v>41.389454000000001</v>
      </c>
      <c r="J45">
        <v>4.7700969999999998</v>
      </c>
      <c r="K45">
        <v>30.238212999999998</v>
      </c>
      <c r="L45">
        <v>25.102792999999998</v>
      </c>
      <c r="M45" s="4">
        <f t="shared" si="2"/>
        <v>1.4765025835303147E-2</v>
      </c>
      <c r="N45" s="4">
        <f t="shared" si="2"/>
        <v>2.4096429905263728E-2</v>
      </c>
      <c r="O45" s="4">
        <f t="shared" si="1"/>
        <v>2.0802436690784853E-2</v>
      </c>
      <c r="P45" s="4">
        <f t="shared" si="1"/>
        <v>-1.3525225522149409E-2</v>
      </c>
      <c r="Q45" s="4">
        <f t="shared" si="1"/>
        <v>6.4547250405920575E-2</v>
      </c>
      <c r="R45" s="4">
        <f t="shared" si="3"/>
        <v>3.1460743175782069E-2</v>
      </c>
      <c r="S45" s="4">
        <f t="shared" si="4"/>
        <v>1.5217521630818132E-2</v>
      </c>
      <c r="T45" s="4">
        <f t="shared" si="5"/>
        <v>1.7059125038957346E-2</v>
      </c>
      <c r="U45" s="4">
        <f t="shared" si="6"/>
        <v>1.7721434185698604E-2</v>
      </c>
      <c r="V45" s="4">
        <f t="shared" si="7"/>
        <v>-3.148334804298214E-4</v>
      </c>
      <c r="W45" s="4">
        <f t="shared" si="8"/>
        <v>3.7269662915776935E-2</v>
      </c>
    </row>
    <row r="46" spans="1:27" x14ac:dyDescent="0.25">
      <c r="A46" s="1">
        <v>44662</v>
      </c>
      <c r="B46">
        <v>4879.1000979999999</v>
      </c>
      <c r="C46">
        <v>9.50535</v>
      </c>
      <c r="D46">
        <v>6.1414439999999999</v>
      </c>
      <c r="E46">
        <v>8.1920999999999994E-2</v>
      </c>
      <c r="F46">
        <v>14.481282999999999</v>
      </c>
      <c r="G46">
        <v>20.186744999999998</v>
      </c>
      <c r="H46">
        <v>6.922415</v>
      </c>
      <c r="I46">
        <v>40.695228999999998</v>
      </c>
      <c r="J46">
        <v>4.687036</v>
      </c>
      <c r="K46">
        <v>30.247736</v>
      </c>
      <c r="L46">
        <v>24.200835999999999</v>
      </c>
      <c r="M46" s="4">
        <f t="shared" si="2"/>
        <v>-1.3488049957282033E-3</v>
      </c>
      <c r="N46" s="4">
        <f t="shared" si="2"/>
        <v>-4.0000943047774351E-3</v>
      </c>
      <c r="O46" s="4">
        <f t="shared" si="1"/>
        <v>-2.0378513944599996E-2</v>
      </c>
      <c r="P46" s="4">
        <f t="shared" si="1"/>
        <v>2.3922906745659667E-2</v>
      </c>
      <c r="Q46" s="4">
        <f t="shared" si="1"/>
        <v>3.212763852806777E-4</v>
      </c>
      <c r="R46" s="4">
        <f t="shared" si="3"/>
        <v>1.3667638150177464E-2</v>
      </c>
      <c r="S46" s="4">
        <f t="shared" si="4"/>
        <v>-6.4795978851712732E-3</v>
      </c>
      <c r="T46" s="4">
        <f t="shared" si="5"/>
        <v>-6.1767360745111355E-2</v>
      </c>
      <c r="U46" s="4">
        <f t="shared" si="6"/>
        <v>1.4381292762433162E-2</v>
      </c>
      <c r="V46" s="4">
        <f t="shared" si="7"/>
        <v>2.4516117843955909E-2</v>
      </c>
      <c r="W46" s="4">
        <f t="shared" si="8"/>
        <v>1.5716268036305436E-3</v>
      </c>
    </row>
    <row r="47" spans="1:27" x14ac:dyDescent="0.25">
      <c r="A47" s="1">
        <v>44663</v>
      </c>
      <c r="B47">
        <v>4885.6899409999996</v>
      </c>
      <c r="C47">
        <v>9.5435250000000007</v>
      </c>
      <c r="D47">
        <v>6.2692009999999998</v>
      </c>
      <c r="E47">
        <v>8.0006999999999995E-2</v>
      </c>
      <c r="F47">
        <v>14.476632</v>
      </c>
      <c r="G47">
        <v>19.914560000000002</v>
      </c>
      <c r="H47">
        <v>6.967562</v>
      </c>
      <c r="I47">
        <v>43.374347999999998</v>
      </c>
      <c r="J47">
        <v>4.6205860000000003</v>
      </c>
      <c r="K47">
        <v>29.523924000000001</v>
      </c>
      <c r="L47">
        <v>24.162860999999999</v>
      </c>
      <c r="M47" s="4">
        <f t="shared" si="2"/>
        <v>7.4151274572176185E-4</v>
      </c>
      <c r="N47" s="4">
        <f t="shared" si="2"/>
        <v>1.6260227532651994E-2</v>
      </c>
      <c r="O47" s="4">
        <f t="shared" si="1"/>
        <v>1.3274291942941607E-2</v>
      </c>
      <c r="P47" s="4">
        <f t="shared" si="1"/>
        <v>-2.8144890918808563E-2</v>
      </c>
      <c r="Q47" s="4">
        <f t="shared" si="1"/>
        <v>-2.0453202631750544E-2</v>
      </c>
      <c r="R47" s="4">
        <f t="shared" si="3"/>
        <v>1.1520772671645307E-2</v>
      </c>
      <c r="S47" s="4">
        <f t="shared" si="4"/>
        <v>-8.0938380423589695E-4</v>
      </c>
      <c r="T47" s="4">
        <f t="shared" si="5"/>
        <v>7.0375511896199061E-3</v>
      </c>
      <c r="U47" s="4">
        <f t="shared" si="6"/>
        <v>-1.3337635842987083E-3</v>
      </c>
      <c r="V47" s="4">
        <f t="shared" si="7"/>
        <v>-8.951416608303675E-3</v>
      </c>
      <c r="W47" s="4">
        <f t="shared" si="8"/>
        <v>1.5741837349352306E-3</v>
      </c>
    </row>
    <row r="48" spans="1:27" x14ac:dyDescent="0.25">
      <c r="A48" s="1">
        <v>44664</v>
      </c>
      <c r="B48">
        <v>4882.0698240000002</v>
      </c>
      <c r="C48">
        <v>9.3908280000000008</v>
      </c>
      <c r="D48">
        <v>6.1870719999999997</v>
      </c>
      <c r="E48">
        <v>8.2323999999999994E-2</v>
      </c>
      <c r="F48">
        <v>14.778907999999999</v>
      </c>
      <c r="G48">
        <v>19.687742</v>
      </c>
      <c r="H48">
        <v>6.9732060000000002</v>
      </c>
      <c r="I48">
        <v>43.071232000000002</v>
      </c>
      <c r="J48">
        <v>4.6267569999999996</v>
      </c>
      <c r="K48">
        <v>29.790592</v>
      </c>
      <c r="L48">
        <v>24.124884000000002</v>
      </c>
      <c r="M48" s="4">
        <f t="shared" si="2"/>
        <v>-4.8817974452537438E-3</v>
      </c>
      <c r="N48" s="4">
        <f t="shared" si="2"/>
        <v>-7.0635017306657222E-3</v>
      </c>
      <c r="O48" s="4">
        <f t="shared" si="1"/>
        <v>-2.8653219104992966E-2</v>
      </c>
      <c r="P48" s="4">
        <f t="shared" si="1"/>
        <v>2.8627465312038858E-3</v>
      </c>
      <c r="Q48" s="4">
        <f t="shared" si="1"/>
        <v>1.4687136757388863E-2</v>
      </c>
      <c r="R48" s="4">
        <f t="shared" si="3"/>
        <v>-9.1325276440448189E-3</v>
      </c>
      <c r="S48" s="4">
        <f t="shared" si="4"/>
        <v>-6.9648541735437552E-3</v>
      </c>
      <c r="T48" s="4">
        <f t="shared" si="5"/>
        <v>0</v>
      </c>
      <c r="U48" s="4">
        <f t="shared" si="6"/>
        <v>4.9485509692277496E-3</v>
      </c>
      <c r="V48" s="4">
        <f t="shared" si="7"/>
        <v>2.155454399623502E-2</v>
      </c>
      <c r="W48" s="4">
        <f t="shared" si="8"/>
        <v>-2.1186375692749726E-2</v>
      </c>
    </row>
    <row r="49" spans="1:23" x14ac:dyDescent="0.25">
      <c r="A49" s="1">
        <v>44665</v>
      </c>
      <c r="B49">
        <v>4906.0200199999999</v>
      </c>
      <c r="C49">
        <v>9.4576320000000003</v>
      </c>
      <c r="D49">
        <v>6.3695810000000002</v>
      </c>
      <c r="E49">
        <v>8.2088999999999995E-2</v>
      </c>
      <c r="F49">
        <v>14.56499</v>
      </c>
      <c r="G49">
        <v>19.869198000000001</v>
      </c>
      <c r="H49">
        <v>7.0221140000000002</v>
      </c>
      <c r="I49">
        <v>43.071232000000002</v>
      </c>
      <c r="J49">
        <v>4.603974</v>
      </c>
      <c r="K49">
        <v>29.162018</v>
      </c>
      <c r="L49">
        <v>24.647065999999999</v>
      </c>
      <c r="M49" s="4">
        <f t="shared" si="2"/>
        <v>-2.9609913571166935E-3</v>
      </c>
      <c r="N49" s="4">
        <f t="shared" si="2"/>
        <v>-2.6522679466260857E-2</v>
      </c>
      <c r="O49" s="4">
        <f t="shared" si="1"/>
        <v>5.7637051424750396E-3</v>
      </c>
      <c r="P49" s="4">
        <f t="shared" si="1"/>
        <v>-1.370899915895718E-2</v>
      </c>
      <c r="Q49" s="4">
        <f t="shared" si="1"/>
        <v>-1.011370209506024E-2</v>
      </c>
      <c r="R49" s="4">
        <f t="shared" si="3"/>
        <v>-1.7937378648958502E-2</v>
      </c>
      <c r="S49" s="4">
        <f t="shared" si="4"/>
        <v>-3.1144434124133924E-2</v>
      </c>
      <c r="T49" s="4">
        <f t="shared" si="5"/>
        <v>9.6263134611804801E-3</v>
      </c>
      <c r="U49" s="4">
        <f t="shared" si="6"/>
        <v>-2.262908242343209E-3</v>
      </c>
      <c r="V49" s="4">
        <f t="shared" si="7"/>
        <v>-9.7874013363496992E-4</v>
      </c>
      <c r="W49" s="4">
        <f t="shared" si="8"/>
        <v>-1.142424237805606E-2</v>
      </c>
    </row>
    <row r="50" spans="1:23" x14ac:dyDescent="0.25">
      <c r="A50" s="1">
        <v>44670</v>
      </c>
      <c r="B50">
        <v>4920.5898440000001</v>
      </c>
      <c r="C50">
        <v>9.7153080000000003</v>
      </c>
      <c r="D50">
        <v>6.3330789999999997</v>
      </c>
      <c r="E50">
        <v>8.3229999999999998E-2</v>
      </c>
      <c r="F50">
        <v>14.713801</v>
      </c>
      <c r="G50">
        <v>20.232109000000001</v>
      </c>
      <c r="H50">
        <v>7.2478439999999997</v>
      </c>
      <c r="I50">
        <v>42.660567999999998</v>
      </c>
      <c r="J50">
        <v>4.6144160000000003</v>
      </c>
      <c r="K50">
        <v>29.190588000000002</v>
      </c>
      <c r="L50">
        <v>24.931894</v>
      </c>
      <c r="M50" s="4">
        <f t="shared" si="2"/>
        <v>-1.0465295070101521E-2</v>
      </c>
      <c r="N50" s="4">
        <f t="shared" si="2"/>
        <v>3.944659240570747E-3</v>
      </c>
      <c r="O50" s="4">
        <f t="shared" si="1"/>
        <v>0</v>
      </c>
      <c r="P50" s="4">
        <f t="shared" si="1"/>
        <v>2.2682591172711986E-2</v>
      </c>
      <c r="Q50" s="4">
        <f t="shared" si="1"/>
        <v>-2.4660953403166652E-2</v>
      </c>
      <c r="R50" s="4">
        <f t="shared" si="3"/>
        <v>-1.5452379967542007E-2</v>
      </c>
      <c r="S50" s="4">
        <f t="shared" si="4"/>
        <v>-1.6590240913440302E-2</v>
      </c>
      <c r="T50" s="4">
        <f t="shared" si="5"/>
        <v>-1.4901733599769762E-2</v>
      </c>
      <c r="U50" s="4">
        <f t="shared" si="6"/>
        <v>-1.6290709986904073E-2</v>
      </c>
      <c r="V50" s="4">
        <f t="shared" si="7"/>
        <v>-1.6682674867033231E-2</v>
      </c>
      <c r="W50" s="4">
        <f t="shared" si="8"/>
        <v>-2.4517074818982021E-2</v>
      </c>
    </row>
    <row r="51" spans="1:23" x14ac:dyDescent="0.25">
      <c r="A51" s="1">
        <v>44671</v>
      </c>
      <c r="B51">
        <v>4972.6298829999996</v>
      </c>
      <c r="C51">
        <v>9.6771349999999998</v>
      </c>
      <c r="D51">
        <v>6.3330789999999997</v>
      </c>
      <c r="E51">
        <v>8.1383999999999998E-2</v>
      </c>
      <c r="F51">
        <v>15.085832</v>
      </c>
      <c r="G51">
        <v>20.54965</v>
      </c>
      <c r="H51">
        <v>7.3701160000000003</v>
      </c>
      <c r="I51">
        <v>43.305900999999999</v>
      </c>
      <c r="J51">
        <v>4.6908329999999996</v>
      </c>
      <c r="K51">
        <v>29.685827</v>
      </c>
      <c r="L51">
        <v>25.558513999999999</v>
      </c>
      <c r="M51" s="4">
        <f t="shared" si="2"/>
        <v>-1.2804911030323773E-2</v>
      </c>
      <c r="N51" s="4">
        <f t="shared" si="2"/>
        <v>0</v>
      </c>
      <c r="O51" s="4">
        <f t="shared" si="1"/>
        <v>-2.1156693037764351E-2</v>
      </c>
      <c r="P51" s="4">
        <f t="shared" si="1"/>
        <v>1.0843238812087819E-2</v>
      </c>
      <c r="Q51" s="4">
        <f t="shared" si="1"/>
        <v>-6.736110759045455E-3</v>
      </c>
      <c r="R51" s="4">
        <f t="shared" si="3"/>
        <v>-2.2027175022694134E-3</v>
      </c>
      <c r="S51" s="4">
        <f t="shared" si="4"/>
        <v>-0.10240540604067994</v>
      </c>
      <c r="T51" s="4">
        <f t="shared" si="5"/>
        <v>-4.9426015132738588E-3</v>
      </c>
      <c r="U51" s="4">
        <f t="shared" si="6"/>
        <v>-8.4277132653886033E-3</v>
      </c>
      <c r="V51" s="4">
        <f t="shared" si="7"/>
        <v>-4.4158271260357762E-2</v>
      </c>
      <c r="W51" s="4">
        <f t="shared" si="8"/>
        <v>-3.8571511059609542E-2</v>
      </c>
    </row>
    <row r="52" spans="1:23" x14ac:dyDescent="0.25">
      <c r="A52" s="1">
        <v>44672</v>
      </c>
      <c r="B52">
        <v>5037.1298829999996</v>
      </c>
      <c r="C52">
        <v>9.6771349999999998</v>
      </c>
      <c r="D52">
        <v>6.4699619999999998</v>
      </c>
      <c r="E52">
        <v>8.0510999999999999E-2</v>
      </c>
      <c r="F52">
        <v>15.188141</v>
      </c>
      <c r="G52">
        <v>20.595015</v>
      </c>
      <c r="H52">
        <v>8.2109629999999996</v>
      </c>
      <c r="I52">
        <v>43.521008000000002</v>
      </c>
      <c r="J52">
        <v>4.730702</v>
      </c>
      <c r="K52">
        <v>31.057262000000001</v>
      </c>
      <c r="L52">
        <v>26.583894999999998</v>
      </c>
      <c r="M52" s="4">
        <f t="shared" si="2"/>
        <v>1.6648988366276374E-2</v>
      </c>
      <c r="N52" s="4">
        <f t="shared" si="2"/>
        <v>1.1976121168567833E-2</v>
      </c>
      <c r="O52" s="4">
        <f t="shared" si="1"/>
        <v>-1.1157479827570538E-2</v>
      </c>
      <c r="P52" s="4">
        <f t="shared" si="1"/>
        <v>1.9991638478203066E-2</v>
      </c>
      <c r="Q52" s="4">
        <f t="shared" si="1"/>
        <v>-3.0600041203754369E-4</v>
      </c>
      <c r="R52" s="4">
        <f t="shared" si="3"/>
        <v>-4.3858716197727743E-3</v>
      </c>
      <c r="S52" s="4">
        <f t="shared" si="4"/>
        <v>5.2824566273688145E-2</v>
      </c>
      <c r="T52" s="4">
        <f t="shared" si="5"/>
        <v>1.4357251052965703E-2</v>
      </c>
      <c r="U52" s="4">
        <f t="shared" si="6"/>
        <v>2.3831609237442875E-2</v>
      </c>
      <c r="V52" s="4">
        <f t="shared" si="7"/>
        <v>0</v>
      </c>
      <c r="W52" s="4">
        <f t="shared" si="8"/>
        <v>4.790428367256272E-2</v>
      </c>
    </row>
    <row r="53" spans="1:23" x14ac:dyDescent="0.25">
      <c r="A53" s="1">
        <v>44673</v>
      </c>
      <c r="B53">
        <v>4954.6401370000003</v>
      </c>
      <c r="C53">
        <v>9.5626119999999997</v>
      </c>
      <c r="D53">
        <v>6.5429649999999997</v>
      </c>
      <c r="E53">
        <v>7.8933000000000003E-2</v>
      </c>
      <c r="F53">
        <v>15.19279</v>
      </c>
      <c r="G53">
        <v>20.685739999999999</v>
      </c>
      <c r="H53">
        <v>7.7989850000000001</v>
      </c>
      <c r="I53">
        <v>42.905009999999997</v>
      </c>
      <c r="J53">
        <v>4.6205860000000003</v>
      </c>
      <c r="K53">
        <v>31.057262000000001</v>
      </c>
      <c r="L53">
        <v>25.368628999999999</v>
      </c>
      <c r="M53" s="4">
        <f t="shared" si="2"/>
        <v>2.5703482369054509E-2</v>
      </c>
      <c r="N53" s="4">
        <f t="shared" si="2"/>
        <v>3.1925930546182091E-2</v>
      </c>
      <c r="O53" s="4">
        <f t="shared" si="1"/>
        <v>2.8694326318741803E-2</v>
      </c>
      <c r="P53" s="4">
        <f t="shared" si="1"/>
        <v>6.4261943923804576E-3</v>
      </c>
      <c r="Q53" s="4">
        <f t="shared" si="1"/>
        <v>1.5858116767059283E-2</v>
      </c>
      <c r="R53" s="4">
        <f t="shared" si="3"/>
        <v>3.6363509746303091E-2</v>
      </c>
      <c r="S53" s="4">
        <f t="shared" si="4"/>
        <v>4.4711291289215582E-2</v>
      </c>
      <c r="T53" s="4">
        <f t="shared" si="5"/>
        <v>2.9322057055448436E-2</v>
      </c>
      <c r="U53" s="4">
        <f t="shared" si="6"/>
        <v>1.0903464618162273E-2</v>
      </c>
      <c r="V53" s="4">
        <f t="shared" si="7"/>
        <v>3.1962009817196435E-2</v>
      </c>
      <c r="W53" s="4">
        <f t="shared" si="8"/>
        <v>4.2528245843829193E-2</v>
      </c>
    </row>
    <row r="54" spans="1:23" x14ac:dyDescent="0.25">
      <c r="A54" s="1">
        <v>44676</v>
      </c>
      <c r="B54">
        <v>4830.4799800000001</v>
      </c>
      <c r="C54">
        <v>9.2667619999999999</v>
      </c>
      <c r="D54">
        <v>6.3604560000000001</v>
      </c>
      <c r="E54">
        <v>7.8428999999999999E-2</v>
      </c>
      <c r="F54">
        <v>14.955622</v>
      </c>
      <c r="G54">
        <v>19.959927</v>
      </c>
      <c r="H54">
        <v>7.4652060000000002</v>
      </c>
      <c r="I54">
        <v>41.682785000000003</v>
      </c>
      <c r="J54">
        <v>4.5707490000000002</v>
      </c>
      <c r="K54">
        <v>30.095354</v>
      </c>
      <c r="L54">
        <v>24.333756999999999</v>
      </c>
      <c r="M54" s="4">
        <f t="shared" si="2"/>
        <v>-2.2163841449633903E-3</v>
      </c>
      <c r="N54" s="4">
        <f t="shared" si="2"/>
        <v>1.7819716400268026E-2</v>
      </c>
      <c r="O54" s="4">
        <f t="shared" si="1"/>
        <v>1.0145035945720915E-2</v>
      </c>
      <c r="P54" s="4">
        <f t="shared" si="1"/>
        <v>5.5902452784222234E-3</v>
      </c>
      <c r="Q54" s="4">
        <f t="shared" si="1"/>
        <v>2.9120029902761635E-2</v>
      </c>
      <c r="R54" s="4">
        <f t="shared" si="3"/>
        <v>-6.1833660337514473E-2</v>
      </c>
      <c r="S54" s="4">
        <f t="shared" si="4"/>
        <v>-4.3245665630339269E-3</v>
      </c>
      <c r="T54" s="4">
        <f t="shared" si="5"/>
        <v>4.6943075244754162E-4</v>
      </c>
      <c r="U54" s="4">
        <f t="shared" si="6"/>
        <v>-8.2391622317775637E-3</v>
      </c>
      <c r="V54" s="4">
        <f t="shared" si="7"/>
        <v>-2.2103292677129183E-3</v>
      </c>
      <c r="W54" s="4">
        <f t="shared" si="8"/>
        <v>2.1115489382269148E-2</v>
      </c>
    </row>
    <row r="55" spans="1:23" x14ac:dyDescent="0.25">
      <c r="A55" s="1">
        <v>44677</v>
      </c>
      <c r="B55">
        <v>4841.2099609999996</v>
      </c>
      <c r="C55">
        <v>9.1045219999999993</v>
      </c>
      <c r="D55">
        <v>6.2965770000000001</v>
      </c>
      <c r="E55">
        <v>7.7993000000000007E-2</v>
      </c>
      <c r="F55">
        <v>14.532437</v>
      </c>
      <c r="G55">
        <v>21.275466999999999</v>
      </c>
      <c r="H55">
        <v>7.49763</v>
      </c>
      <c r="I55">
        <v>41.663226999999999</v>
      </c>
      <c r="J55">
        <v>4.6087210000000001</v>
      </c>
      <c r="K55">
        <v>30.162022</v>
      </c>
      <c r="L55">
        <v>23.830563000000001</v>
      </c>
      <c r="M55" s="4">
        <f t="shared" si="2"/>
        <v>-1.6168213242365725E-2</v>
      </c>
      <c r="N55" s="4">
        <f t="shared" si="2"/>
        <v>-6.2500927766908632E-3</v>
      </c>
      <c r="O55" s="4">
        <f t="shared" si="1"/>
        <v>1.1730076640849685E-2</v>
      </c>
      <c r="P55" s="4">
        <f t="shared" si="1"/>
        <v>7.3751646818733807E-3</v>
      </c>
      <c r="Q55" s="4">
        <f t="shared" si="1"/>
        <v>2.257851899590757E-2</v>
      </c>
      <c r="R55" s="4">
        <f t="shared" si="3"/>
        <v>6.4377964609740879E-3</v>
      </c>
      <c r="S55" s="4">
        <f t="shared" si="4"/>
        <v>-4.1219493949141706E-2</v>
      </c>
      <c r="T55" s="4">
        <f t="shared" si="5"/>
        <v>-2.9384969408192463E-2</v>
      </c>
      <c r="U55" s="4">
        <f t="shared" si="6"/>
        <v>9.2506741519393643E-3</v>
      </c>
      <c r="V55" s="4">
        <f t="shared" si="7"/>
        <v>-4.6371533594511738E-2</v>
      </c>
      <c r="W55" s="4">
        <f t="shared" si="8"/>
        <v>-8.2971070009240089E-3</v>
      </c>
    </row>
    <row r="56" spans="1:23" x14ac:dyDescent="0.25">
      <c r="A56" s="1">
        <v>44678</v>
      </c>
      <c r="B56">
        <v>4920.7700199999999</v>
      </c>
      <c r="C56">
        <v>9.1617840000000008</v>
      </c>
      <c r="D56">
        <v>6.2235740000000002</v>
      </c>
      <c r="E56">
        <v>7.7422000000000005E-2</v>
      </c>
      <c r="F56">
        <v>14.211561</v>
      </c>
      <c r="G56">
        <v>21.139375999999999</v>
      </c>
      <c r="H56">
        <v>7.8199649999999998</v>
      </c>
      <c r="I56">
        <v>42.924563999999997</v>
      </c>
      <c r="J56">
        <v>4.566478</v>
      </c>
      <c r="K56">
        <v>31.628692999999998</v>
      </c>
      <c r="L56">
        <v>24.029941999999998</v>
      </c>
      <c r="M56" s="4">
        <f t="shared" si="2"/>
        <v>1.0362855885829969E-2</v>
      </c>
      <c r="N56" s="4">
        <f t="shared" si="2"/>
        <v>-6.2111639546177377E-3</v>
      </c>
      <c r="O56" s="4">
        <f t="shared" si="1"/>
        <v>-2.0114842088192475E-2</v>
      </c>
      <c r="P56" s="4">
        <f t="shared" si="1"/>
        <v>-6.4499758337360991E-2</v>
      </c>
      <c r="Q56" s="4">
        <f t="shared" si="1"/>
        <v>-4.2906354599063889E-2</v>
      </c>
      <c r="R56" s="4">
        <f t="shared" si="3"/>
        <v>0</v>
      </c>
      <c r="S56" s="4">
        <f t="shared" si="4"/>
        <v>7.3212456636873036E-4</v>
      </c>
      <c r="T56" s="4">
        <f t="shared" si="5"/>
        <v>-4.1484759988807296E-2</v>
      </c>
      <c r="U56" s="4">
        <f t="shared" si="6"/>
        <v>3.2517738746994818E-2</v>
      </c>
      <c r="V56" s="4">
        <f t="shared" si="7"/>
        <v>2.3420603903292703E-2</v>
      </c>
      <c r="W56" s="4">
        <f t="shared" si="8"/>
        <v>7.162776213381461E-3</v>
      </c>
    </row>
    <row r="57" spans="1:23" x14ac:dyDescent="0.25">
      <c r="A57" s="1">
        <v>44679</v>
      </c>
      <c r="B57">
        <v>4870.2998049999997</v>
      </c>
      <c r="C57">
        <v>9.2190449999999995</v>
      </c>
      <c r="D57">
        <v>6.3513299999999999</v>
      </c>
      <c r="E57">
        <v>8.276E-2</v>
      </c>
      <c r="F57">
        <v>14.848663</v>
      </c>
      <c r="G57">
        <v>21.139375999999999</v>
      </c>
      <c r="H57">
        <v>7.8142440000000004</v>
      </c>
      <c r="I57">
        <v>44.782349000000004</v>
      </c>
      <c r="J57">
        <v>4.422663</v>
      </c>
      <c r="K57">
        <v>30.904882000000001</v>
      </c>
      <c r="L57">
        <v>23.859044999999998</v>
      </c>
      <c r="M57" s="4">
        <f t="shared" si="2"/>
        <v>-2.5355686945980338E-3</v>
      </c>
      <c r="N57" s="4">
        <f t="shared" si="2"/>
        <v>-1.0340693505875853E-3</v>
      </c>
      <c r="O57" s="4">
        <f t="shared" si="1"/>
        <v>-1.9718364639956243E-2</v>
      </c>
      <c r="P57" s="4">
        <f t="shared" si="1"/>
        <v>4.7594936708860835E-2</v>
      </c>
      <c r="Q57" s="4">
        <f t="shared" si="1"/>
        <v>4.088054482328074E-3</v>
      </c>
      <c r="R57" s="4">
        <f t="shared" si="3"/>
        <v>4.0178652266573911E-2</v>
      </c>
      <c r="S57" s="4">
        <f t="shared" si="4"/>
        <v>-1.7056324452145999E-3</v>
      </c>
      <c r="T57" s="4">
        <f t="shared" si="5"/>
        <v>0.11165052652806895</v>
      </c>
      <c r="U57" s="4">
        <f t="shared" si="6"/>
        <v>-4.3424649297470141E-2</v>
      </c>
      <c r="V57" s="4">
        <f t="shared" si="7"/>
        <v>-1.7857206983705409E-2</v>
      </c>
      <c r="W57" s="4">
        <f t="shared" si="8"/>
        <v>-2.065470991173235E-2</v>
      </c>
    </row>
    <row r="58" spans="1:23" x14ac:dyDescent="0.25">
      <c r="A58" s="1">
        <v>44680</v>
      </c>
      <c r="B58">
        <v>4882.6801759999998</v>
      </c>
      <c r="C58">
        <v>9.2285880000000002</v>
      </c>
      <c r="D58">
        <v>6.4790869999999998</v>
      </c>
      <c r="E58">
        <v>7.9000000000000001E-2</v>
      </c>
      <c r="F58">
        <v>14.788207999999999</v>
      </c>
      <c r="G58">
        <v>20.322831999999998</v>
      </c>
      <c r="H58">
        <v>7.8275949999999996</v>
      </c>
      <c r="I58">
        <v>40.284557</v>
      </c>
      <c r="J58">
        <v>4.6234339999999996</v>
      </c>
      <c r="K58">
        <v>31.466791000000001</v>
      </c>
      <c r="L58">
        <v>24.36224</v>
      </c>
      <c r="M58" s="4">
        <f t="shared" si="2"/>
        <v>1.4994205220581813E-2</v>
      </c>
      <c r="N58" s="4">
        <f t="shared" si="2"/>
        <v>-2.4217901478932546E-2</v>
      </c>
      <c r="O58" s="4">
        <f t="shared" si="1"/>
        <v>3.3478907439719929E-2</v>
      </c>
      <c r="P58" s="4">
        <f t="shared" si="1"/>
        <v>-2.1623362147970115E-2</v>
      </c>
      <c r="Q58" s="4">
        <f t="shared" si="1"/>
        <v>5.3746813803188243E-3</v>
      </c>
      <c r="R58" s="4">
        <f t="shared" si="3"/>
        <v>-1.9693787683107811E-2</v>
      </c>
      <c r="S58" s="4">
        <f t="shared" si="4"/>
        <v>2.9087287235252335E-2</v>
      </c>
      <c r="T58" s="4">
        <f t="shared" si="5"/>
        <v>1.803803301517104E-2</v>
      </c>
      <c r="U58" s="4">
        <f t="shared" si="6"/>
        <v>1.9623442287683979E-3</v>
      </c>
      <c r="V58" s="4">
        <f t="shared" si="7"/>
        <v>8.5471468874847023E-3</v>
      </c>
      <c r="W58" s="4">
        <f t="shared" si="8"/>
        <v>3.1350467784077685E-2</v>
      </c>
    </row>
    <row r="59" spans="1:23" x14ac:dyDescent="0.25">
      <c r="A59" s="1">
        <v>44683</v>
      </c>
      <c r="B59">
        <v>4810.5498049999997</v>
      </c>
      <c r="C59">
        <v>9.4576320000000003</v>
      </c>
      <c r="D59">
        <v>6.2692009999999998</v>
      </c>
      <c r="E59">
        <v>8.0745999999999998E-2</v>
      </c>
      <c r="F59">
        <v>14.709151</v>
      </c>
      <c r="G59">
        <v>20.731106</v>
      </c>
      <c r="H59">
        <v>7.6063470000000004</v>
      </c>
      <c r="I59">
        <v>39.570777999999997</v>
      </c>
      <c r="J59">
        <v>4.6143789999999996</v>
      </c>
      <c r="K59">
        <v>31.200119000000001</v>
      </c>
      <c r="L59">
        <v>23.621689</v>
      </c>
      <c r="M59" s="4">
        <f t="shared" si="2"/>
        <v>-1.2406163697679662E-2</v>
      </c>
      <c r="N59" s="4">
        <f t="shared" si="2"/>
        <v>2.694304793962754E-2</v>
      </c>
      <c r="O59" s="4">
        <f t="shared" si="1"/>
        <v>-2.4147717101881683E-2</v>
      </c>
      <c r="P59" s="4">
        <f t="shared" si="1"/>
        <v>-8.24152204085149E-3</v>
      </c>
      <c r="Q59" s="4">
        <f t="shared" si="1"/>
        <v>5.4036559571213338E-3</v>
      </c>
      <c r="R59" s="4">
        <f t="shared" si="3"/>
        <v>4.395801917358666E-3</v>
      </c>
      <c r="S59" s="4">
        <f t="shared" si="4"/>
        <v>-1.0667293068054362E-2</v>
      </c>
      <c r="T59" s="4">
        <f t="shared" si="5"/>
        <v>-5.1113794733307905E-2</v>
      </c>
      <c r="U59" s="4">
        <f t="shared" si="6"/>
        <v>-2.5759719381038826E-2</v>
      </c>
      <c r="V59" s="4">
        <f t="shared" si="7"/>
        <v>7.0703817824762094E-3</v>
      </c>
      <c r="W59" s="4">
        <f t="shared" si="8"/>
        <v>-2.0857924125148197E-2</v>
      </c>
    </row>
    <row r="60" spans="1:23" x14ac:dyDescent="0.25">
      <c r="A60" s="1">
        <v>44684</v>
      </c>
      <c r="B60">
        <v>4870.9799800000001</v>
      </c>
      <c r="C60">
        <v>9.2095000000000002</v>
      </c>
      <c r="D60">
        <v>6.424334</v>
      </c>
      <c r="E60">
        <v>8.1417000000000003E-2</v>
      </c>
      <c r="F60">
        <v>14.630095000000001</v>
      </c>
      <c r="G60">
        <v>20.640374999999999</v>
      </c>
      <c r="H60">
        <v>7.6883609999999996</v>
      </c>
      <c r="I60">
        <v>41.702342999999999</v>
      </c>
      <c r="J60">
        <v>4.7363869999999997</v>
      </c>
      <c r="K60">
        <v>30.981071</v>
      </c>
      <c r="L60">
        <v>24.124884000000002</v>
      </c>
      <c r="M60" s="4">
        <f t="shared" si="2"/>
        <v>1.0966854740115606E-2</v>
      </c>
      <c r="N60" s="4">
        <f t="shared" si="2"/>
        <v>1.3655261013340469E-2</v>
      </c>
      <c r="O60" s="4">
        <f t="shared" si="1"/>
        <v>-2.6279389328249581E-2</v>
      </c>
      <c r="P60" s="4">
        <f t="shared" si="1"/>
        <v>2.4748817966904202E-3</v>
      </c>
      <c r="Q60" s="4">
        <f t="shared" si="1"/>
        <v>1.6478164342677903E-2</v>
      </c>
      <c r="R60" s="4">
        <f t="shared" si="3"/>
        <v>2.941166202475598E-2</v>
      </c>
      <c r="S60" s="4">
        <f t="shared" si="4"/>
        <v>1.1289528278210392E-2</v>
      </c>
      <c r="T60" s="4">
        <f t="shared" si="5"/>
        <v>-1.7959845904185312E-2</v>
      </c>
      <c r="U60" s="4">
        <f t="shared" si="6"/>
        <v>1.088404361557016E-2</v>
      </c>
      <c r="V60" s="4">
        <f t="shared" si="7"/>
        <v>4.012248137099883E-3</v>
      </c>
      <c r="W60" s="4">
        <f t="shared" si="8"/>
        <v>-3.9200116466567847E-3</v>
      </c>
    </row>
    <row r="61" spans="1:23" x14ac:dyDescent="0.25">
      <c r="A61" s="1">
        <v>44685</v>
      </c>
      <c r="B61">
        <v>4818.1401370000003</v>
      </c>
      <c r="C61">
        <v>9.0854359999999996</v>
      </c>
      <c r="D61">
        <v>6.5977180000000004</v>
      </c>
      <c r="E61">
        <v>8.1215999999999997E-2</v>
      </c>
      <c r="F61">
        <v>14.392925999999999</v>
      </c>
      <c r="G61">
        <v>20.050651999999999</v>
      </c>
      <c r="H61">
        <v>7.6025320000000001</v>
      </c>
      <c r="I61">
        <v>42.465007999999997</v>
      </c>
      <c r="J61">
        <v>4.6853910000000001</v>
      </c>
      <c r="K61">
        <v>30.857264000000001</v>
      </c>
      <c r="L61">
        <v>24.219826000000001</v>
      </c>
      <c r="M61" s="4">
        <f t="shared" si="2"/>
        <v>1.3127414521064029E-2</v>
      </c>
      <c r="N61" s="4">
        <f t="shared" si="2"/>
        <v>-6.2629228840159756E-3</v>
      </c>
      <c r="O61" s="4">
        <f t="shared" si="1"/>
        <v>4.4797736375400854E-2</v>
      </c>
      <c r="P61" s="4">
        <f t="shared" si="1"/>
        <v>6.6560071394041742E-3</v>
      </c>
      <c r="Q61" s="4">
        <f t="shared" si="1"/>
        <v>-7.376541262223868E-3</v>
      </c>
      <c r="R61" s="4">
        <f t="shared" si="3"/>
        <v>2.2675503463107649E-3</v>
      </c>
      <c r="S61" s="4">
        <f t="shared" si="4"/>
        <v>1.3475670354178293E-2</v>
      </c>
      <c r="T61" s="4">
        <f t="shared" si="5"/>
        <v>2.0681554601669871E-2</v>
      </c>
      <c r="U61" s="4">
        <f t="shared" si="6"/>
        <v>1.1523715499071496E-2</v>
      </c>
      <c r="V61" s="4">
        <f t="shared" si="7"/>
        <v>6.2112149607069789E-3</v>
      </c>
      <c r="W61" s="4">
        <f t="shared" si="8"/>
        <v>1.0697361151218443E-2</v>
      </c>
    </row>
    <row r="62" spans="1:23" x14ac:dyDescent="0.25">
      <c r="A62" s="1">
        <v>44686</v>
      </c>
      <c r="B62">
        <v>4755.7099609999996</v>
      </c>
      <c r="C62">
        <v>9.1426960000000008</v>
      </c>
      <c r="D62">
        <v>6.3148280000000003</v>
      </c>
      <c r="E62">
        <v>8.0679000000000001E-2</v>
      </c>
      <c r="F62">
        <v>14.499885000000001</v>
      </c>
      <c r="G62">
        <v>20.005289000000001</v>
      </c>
      <c r="H62">
        <v>7.5014450000000004</v>
      </c>
      <c r="I62">
        <v>41.604560999999997</v>
      </c>
      <c r="J62">
        <v>4.6320129999999997</v>
      </c>
      <c r="K62">
        <v>30.666785999999998</v>
      </c>
      <c r="L62">
        <v>23.963480000000001</v>
      </c>
      <c r="M62" s="4">
        <f t="shared" si="2"/>
        <v>1.0103740036572217E-2</v>
      </c>
      <c r="N62" s="4">
        <f t="shared" si="2"/>
        <v>1.2684957113143991E-2</v>
      </c>
      <c r="O62" s="4">
        <f t="shared" si="1"/>
        <v>-1.001425681008028E-2</v>
      </c>
      <c r="P62" s="4">
        <f t="shared" si="1"/>
        <v>-2.8689412727841757E-2</v>
      </c>
      <c r="Q62" s="4">
        <f t="shared" si="1"/>
        <v>1.4313617625077102E-2</v>
      </c>
      <c r="R62" s="4">
        <f t="shared" si="3"/>
        <v>2.0833374793725046E-2</v>
      </c>
      <c r="S62" s="4">
        <f t="shared" si="4"/>
        <v>2.8235387648885668E-2</v>
      </c>
      <c r="T62" s="4">
        <f t="shared" si="5"/>
        <v>-1.4818209249989778E-2</v>
      </c>
      <c r="U62" s="4">
        <f t="shared" si="6"/>
        <v>1.9297276600239277E-2</v>
      </c>
      <c r="V62" s="4">
        <f t="shared" si="7"/>
        <v>2.0925812761425133E-2</v>
      </c>
      <c r="W62" s="4">
        <f t="shared" si="8"/>
        <v>1.5694094308336126E-2</v>
      </c>
    </row>
    <row r="63" spans="1:23" x14ac:dyDescent="0.25">
      <c r="A63" s="1">
        <v>44687</v>
      </c>
      <c r="B63">
        <v>4708.1401370000003</v>
      </c>
      <c r="C63">
        <v>9.0281739999999999</v>
      </c>
      <c r="D63">
        <v>6.3787060000000002</v>
      </c>
      <c r="E63">
        <v>8.3061999999999997E-2</v>
      </c>
      <c r="F63">
        <v>14.295268</v>
      </c>
      <c r="G63">
        <v>19.597017000000001</v>
      </c>
      <c r="H63">
        <v>7.2954549999999996</v>
      </c>
      <c r="I63">
        <v>42.230339000000001</v>
      </c>
      <c r="J63">
        <v>4.5443199999999999</v>
      </c>
      <c r="K63">
        <v>30.038212000000001</v>
      </c>
      <c r="L63">
        <v>23.593205999999999</v>
      </c>
      <c r="M63" s="4">
        <f t="shared" si="2"/>
        <v>3.5532189738468167E-2</v>
      </c>
      <c r="N63" s="4">
        <f t="shared" si="2"/>
        <v>4.7618981311129849E-2</v>
      </c>
      <c r="O63" s="4">
        <f t="shared" si="1"/>
        <v>1.746713815684009E-2</v>
      </c>
      <c r="P63" s="4">
        <f t="shared" si="1"/>
        <v>4.4765606329320917E-2</v>
      </c>
      <c r="Q63" s="4">
        <f t="shared" si="1"/>
        <v>2.5350316077406676E-2</v>
      </c>
      <c r="R63" s="4">
        <f t="shared" si="3"/>
        <v>0</v>
      </c>
      <c r="S63" s="4">
        <f t="shared" si="4"/>
        <v>3.8555406144504811E-2</v>
      </c>
      <c r="T63" s="4">
        <f t="shared" si="5"/>
        <v>0.10942715216434418</v>
      </c>
      <c r="U63" s="4">
        <f t="shared" si="6"/>
        <v>4.561905193604221E-2</v>
      </c>
      <c r="V63" s="4">
        <f t="shared" si="7"/>
        <v>1.0249870785251858E-2</v>
      </c>
      <c r="W63" s="4">
        <f t="shared" si="8"/>
        <v>2.6859499096451467E-2</v>
      </c>
    </row>
    <row r="64" spans="1:23" x14ac:dyDescent="0.25">
      <c r="A64" s="1">
        <v>44690</v>
      </c>
      <c r="B64">
        <v>4546.5898440000001</v>
      </c>
      <c r="C64">
        <v>8.6178030000000003</v>
      </c>
      <c r="D64">
        <v>6.2692009999999998</v>
      </c>
      <c r="E64">
        <v>7.9503000000000004E-2</v>
      </c>
      <c r="F64">
        <v>13.941838000000001</v>
      </c>
      <c r="G64">
        <v>19.597017000000001</v>
      </c>
      <c r="H64">
        <v>7.0246180000000003</v>
      </c>
      <c r="I64">
        <v>38.064995000000003</v>
      </c>
      <c r="J64">
        <v>4.3460570000000001</v>
      </c>
      <c r="K64">
        <v>29.733447999999999</v>
      </c>
      <c r="L64">
        <v>22.97608</v>
      </c>
      <c r="M64" s="4">
        <f t="shared" si="2"/>
        <v>-6.4053101308421123E-3</v>
      </c>
      <c r="N64" s="4">
        <f t="shared" si="2"/>
        <v>-2.2098234676860562E-3</v>
      </c>
      <c r="O64" s="4">
        <f t="shared" si="1"/>
        <v>-2.9026071137572274E-3</v>
      </c>
      <c r="P64" s="4">
        <f t="shared" si="1"/>
        <v>2.7329818576523612E-2</v>
      </c>
      <c r="Q64" s="4">
        <f t="shared" si="1"/>
        <v>-5.3086967794372386E-3</v>
      </c>
      <c r="R64" s="4">
        <f t="shared" si="3"/>
        <v>-4.608197323999863E-3</v>
      </c>
      <c r="S64" s="4">
        <f t="shared" si="4"/>
        <v>-7.5450457769132839E-3</v>
      </c>
      <c r="T64" s="4">
        <f t="shared" si="5"/>
        <v>-1.7949336962553852E-3</v>
      </c>
      <c r="U64" s="4">
        <f t="shared" si="6"/>
        <v>6.1791461572957562E-3</v>
      </c>
      <c r="V64" s="4">
        <f t="shared" si="7"/>
        <v>-9.517819699515373E-3</v>
      </c>
      <c r="W64" s="4">
        <f t="shared" si="8"/>
        <v>-1.9846127128023139E-2</v>
      </c>
    </row>
    <row r="65" spans="1:23" x14ac:dyDescent="0.25">
      <c r="A65" s="1">
        <v>44691</v>
      </c>
      <c r="B65">
        <v>4575.8999020000001</v>
      </c>
      <c r="C65">
        <v>8.636889</v>
      </c>
      <c r="D65">
        <v>6.2874509999999999</v>
      </c>
      <c r="E65">
        <v>7.7387999999999998E-2</v>
      </c>
      <c r="F65">
        <v>14.016246000000001</v>
      </c>
      <c r="G65">
        <v>19.687742</v>
      </c>
      <c r="H65">
        <v>7.0780219999999998</v>
      </c>
      <c r="I65">
        <v>38.133442000000002</v>
      </c>
      <c r="J65">
        <v>4.3193669999999997</v>
      </c>
      <c r="K65">
        <v>30.019165000000001</v>
      </c>
      <c r="L65">
        <v>23.441299000000001</v>
      </c>
      <c r="M65" s="4">
        <f t="shared" si="2"/>
        <v>-1.8838848570314592E-2</v>
      </c>
      <c r="N65" s="4">
        <f t="shared" si="2"/>
        <v>2.2147176026185988E-3</v>
      </c>
      <c r="O65" s="4">
        <f t="shared" si="1"/>
        <v>-1.8518648603210397E-2</v>
      </c>
      <c r="P65" s="4">
        <f t="shared" si="1"/>
        <v>1.7345380174489389E-3</v>
      </c>
      <c r="Q65" s="4">
        <f t="shared" si="1"/>
        <v>-6.6872994895653237E-2</v>
      </c>
      <c r="R65" s="4">
        <f t="shared" si="3"/>
        <v>-2.2522687124715501E-2</v>
      </c>
      <c r="S65" s="4">
        <f t="shared" si="4"/>
        <v>-5.6270823745069309E-3</v>
      </c>
      <c r="T65" s="4">
        <f t="shared" si="5"/>
        <v>-1.0152201384514559E-2</v>
      </c>
      <c r="U65" s="4">
        <f t="shared" si="6"/>
        <v>-1.7880379854047557E-2</v>
      </c>
      <c r="V65" s="4">
        <f t="shared" si="7"/>
        <v>-1.3767103460843977E-2</v>
      </c>
      <c r="W65" s="4">
        <f t="shared" si="8"/>
        <v>-2.2178221753601957E-2</v>
      </c>
    </row>
    <row r="66" spans="1:23" x14ac:dyDescent="0.25">
      <c r="A66" s="1">
        <v>44692</v>
      </c>
      <c r="B66">
        <v>4663.7597660000001</v>
      </c>
      <c r="C66">
        <v>8.6178030000000003</v>
      </c>
      <c r="D66">
        <v>6.4060829999999997</v>
      </c>
      <c r="E66">
        <v>7.7254000000000003E-2</v>
      </c>
      <c r="F66">
        <v>15.020727000000001</v>
      </c>
      <c r="G66">
        <v>20.141380000000002</v>
      </c>
      <c r="H66">
        <v>7.1180760000000003</v>
      </c>
      <c r="I66">
        <v>38.524551000000002</v>
      </c>
      <c r="J66">
        <v>4.3980050000000004</v>
      </c>
      <c r="K66">
        <v>30.438210999999999</v>
      </c>
      <c r="L66">
        <v>23.972977</v>
      </c>
      <c r="M66" s="4">
        <f t="shared" si="2"/>
        <v>2.4503484974718326E-3</v>
      </c>
      <c r="N66" s="4">
        <f t="shared" si="2"/>
        <v>-2.5890011900283505E-2</v>
      </c>
      <c r="O66" s="4">
        <f t="shared" si="1"/>
        <v>-1.5427888327669281E-2</v>
      </c>
      <c r="P66" s="4">
        <f t="shared" si="1"/>
        <v>4.7993756909672225E-3</v>
      </c>
      <c r="Q66" s="4">
        <f t="shared" si="1"/>
        <v>5.5210700695541348E-2</v>
      </c>
      <c r="R66" s="4">
        <f t="shared" si="3"/>
        <v>-2.2472667089219467E-3</v>
      </c>
      <c r="S66" s="4">
        <f t="shared" si="4"/>
        <v>1.2754480657990452E-2</v>
      </c>
      <c r="T66" s="4">
        <f t="shared" si="5"/>
        <v>-6.0545336051653909E-3</v>
      </c>
      <c r="U66" s="4">
        <f t="shared" si="6"/>
        <v>1.8880307878498259E-2</v>
      </c>
      <c r="V66" s="4">
        <f t="shared" si="7"/>
        <v>7.2486121720640728E-3</v>
      </c>
      <c r="W66" s="4">
        <f t="shared" si="8"/>
        <v>-7.4685650464978437E-3</v>
      </c>
    </row>
    <row r="67" spans="1:23" x14ac:dyDescent="0.25">
      <c r="A67" s="1">
        <v>44693</v>
      </c>
      <c r="B67">
        <v>4652.3598629999997</v>
      </c>
      <c r="C67">
        <v>8.8468479999999996</v>
      </c>
      <c r="D67">
        <v>6.5064640000000002</v>
      </c>
      <c r="E67">
        <v>7.6884999999999995E-2</v>
      </c>
      <c r="F67">
        <v>14.234813000000001</v>
      </c>
      <c r="G67">
        <v>20.186744999999998</v>
      </c>
      <c r="H67">
        <v>7.0284319999999996</v>
      </c>
      <c r="I67">
        <v>38.759219999999999</v>
      </c>
      <c r="J67">
        <v>4.3165079999999998</v>
      </c>
      <c r="K67">
        <v>30.219163999999999</v>
      </c>
      <c r="L67">
        <v>24.153368</v>
      </c>
      <c r="M67" s="4">
        <f t="shared" si="2"/>
        <v>-1.9874929556194743E-2</v>
      </c>
      <c r="N67" s="4">
        <f t="shared" si="2"/>
        <v>-2.421040974822497E-2</v>
      </c>
      <c r="O67" s="4">
        <f t="shared" si="1"/>
        <v>-1.1095579626738794E-2</v>
      </c>
      <c r="P67" s="4">
        <f t="shared" si="1"/>
        <v>-1.4206403138743329E-2</v>
      </c>
      <c r="Q67" s="4">
        <f t="shared" si="1"/>
        <v>-9.9705893737210061E-2</v>
      </c>
      <c r="R67" s="4">
        <f t="shared" si="3"/>
        <v>-8.9086427773336085E-3</v>
      </c>
      <c r="S67" s="4">
        <f t="shared" si="4"/>
        <v>-4.1113745870105078E-2</v>
      </c>
      <c r="T67" s="4">
        <f t="shared" si="5"/>
        <v>-2.7954884762936394E-2</v>
      </c>
      <c r="U67" s="4">
        <f t="shared" si="6"/>
        <v>-3.6181584705224923E-2</v>
      </c>
      <c r="V67" s="4">
        <f t="shared" si="7"/>
        <v>1.5782751595916356E-3</v>
      </c>
      <c r="W67" s="4">
        <f t="shared" si="8"/>
        <v>-1.7381101181964342E-2</v>
      </c>
    </row>
    <row r="68" spans="1:23" x14ac:dyDescent="0.25">
      <c r="A68" s="1">
        <v>44694</v>
      </c>
      <c r="B68">
        <v>4746.7001950000003</v>
      </c>
      <c r="C68">
        <v>9.0663479999999996</v>
      </c>
      <c r="D68">
        <v>6.5794670000000002</v>
      </c>
      <c r="E68">
        <v>7.7993000000000007E-2</v>
      </c>
      <c r="F68">
        <v>15.811292</v>
      </c>
      <c r="G68">
        <v>20.368198</v>
      </c>
      <c r="H68">
        <v>7.3297869999999996</v>
      </c>
      <c r="I68">
        <v>39.873890000000003</v>
      </c>
      <c r="J68">
        <v>4.4785490000000001</v>
      </c>
      <c r="K68">
        <v>30.171544999999998</v>
      </c>
      <c r="L68">
        <v>24.580606</v>
      </c>
      <c r="M68" s="4">
        <f t="shared" si="2"/>
        <v>-2.1337445559335144E-3</v>
      </c>
      <c r="N68" s="4">
        <f t="shared" si="2"/>
        <v>-1.6563212350086176E-2</v>
      </c>
      <c r="O68" s="4">
        <f t="shared" si="1"/>
        <v>-1.3849696566429204E-3</v>
      </c>
      <c r="P68" s="4">
        <f t="shared" si="1"/>
        <v>-8.5831411734560437E-4</v>
      </c>
      <c r="Q68" s="4">
        <f t="shared" si="1"/>
        <v>-1.7615795349182894E-3</v>
      </c>
      <c r="R68" s="4">
        <f t="shared" si="3"/>
        <v>-3.0237461913098951E-2</v>
      </c>
      <c r="S68" s="4">
        <f t="shared" si="4"/>
        <v>-1.0810815917204897E-2</v>
      </c>
      <c r="T68" s="4">
        <f t="shared" si="5"/>
        <v>8.1581798833838537E-3</v>
      </c>
      <c r="U68" s="4">
        <f t="shared" si="6"/>
        <v>-1.5937319008101358E-3</v>
      </c>
      <c r="V68" s="4">
        <f t="shared" si="7"/>
        <v>-6.8965315209942313E-3</v>
      </c>
      <c r="W68" s="4">
        <f t="shared" si="8"/>
        <v>7.7295386977915825E-4</v>
      </c>
    </row>
    <row r="69" spans="1:23" x14ac:dyDescent="0.25">
      <c r="A69" s="1">
        <v>44697</v>
      </c>
      <c r="B69">
        <v>4756.8500979999999</v>
      </c>
      <c r="C69">
        <v>9.2190449999999995</v>
      </c>
      <c r="D69">
        <v>6.5885920000000002</v>
      </c>
      <c r="E69">
        <v>7.8060000000000004E-2</v>
      </c>
      <c r="F69">
        <v>15.839194000000001</v>
      </c>
      <c r="G69">
        <v>21.003284000000001</v>
      </c>
      <c r="H69">
        <v>7.4098940000000004</v>
      </c>
      <c r="I69">
        <v>39.551223999999998</v>
      </c>
      <c r="J69">
        <v>4.4856980000000002</v>
      </c>
      <c r="K69">
        <v>30.381069</v>
      </c>
      <c r="L69">
        <v>24.561620999999999</v>
      </c>
      <c r="M69" s="4">
        <f t="shared" si="2"/>
        <v>-1.4747094556950113E-2</v>
      </c>
      <c r="N69" s="4">
        <f t="shared" si="2"/>
        <v>-1.0245875239412228E-2</v>
      </c>
      <c r="O69" s="4">
        <f t="shared" si="1"/>
        <v>9.7901609173980386E-3</v>
      </c>
      <c r="P69" s="4">
        <f t="shared" si="1"/>
        <v>-1.7742544356360801E-2</v>
      </c>
      <c r="Q69" s="4">
        <f t="shared" si="1"/>
        <v>-1.0458993589334553E-2</v>
      </c>
      <c r="R69" s="4">
        <f t="shared" si="3"/>
        <v>0</v>
      </c>
      <c r="S69" s="4">
        <f t="shared" si="4"/>
        <v>-2.460453795737938E-2</v>
      </c>
      <c r="T69" s="4">
        <f t="shared" si="5"/>
        <v>-2.2001974926143086E-2</v>
      </c>
      <c r="U69" s="4">
        <f t="shared" si="6"/>
        <v>-1.0929021992986399E-2</v>
      </c>
      <c r="V69" s="4">
        <f t="shared" si="7"/>
        <v>-2.506114413296312E-2</v>
      </c>
      <c r="W69" s="4">
        <f t="shared" si="8"/>
        <v>-1.0707339056110321E-2</v>
      </c>
    </row>
    <row r="70" spans="1:23" x14ac:dyDescent="0.25">
      <c r="A70" s="1">
        <v>44698</v>
      </c>
      <c r="B70">
        <v>4828.0498049999997</v>
      </c>
      <c r="C70">
        <v>9.3144799999999996</v>
      </c>
      <c r="D70">
        <v>6.5247140000000003</v>
      </c>
      <c r="E70">
        <v>7.9469999999999999E-2</v>
      </c>
      <c r="F70">
        <v>16.006606999999999</v>
      </c>
      <c r="G70">
        <v>21.003284000000001</v>
      </c>
      <c r="H70">
        <v>7.5968099999999996</v>
      </c>
      <c r="I70">
        <v>40.441006000000002</v>
      </c>
      <c r="J70">
        <v>4.5352639999999997</v>
      </c>
      <c r="K70">
        <v>31.162025</v>
      </c>
      <c r="L70">
        <v>24.827456999999999</v>
      </c>
      <c r="M70" s="4">
        <f t="shared" ref="M70:N133" si="9">B70/B71-1</f>
        <v>1.1571771622778781E-2</v>
      </c>
      <c r="N70" s="4">
        <f t="shared" si="9"/>
        <v>-4.0816221791162288E-3</v>
      </c>
      <c r="O70" s="4">
        <f t="shared" ref="O70:Q133" si="10">D70/D71-1</f>
        <v>2.142855353741302E-2</v>
      </c>
      <c r="P70" s="4">
        <f t="shared" si="10"/>
        <v>4.6649220616679088E-3</v>
      </c>
      <c r="Q70" s="4">
        <f t="shared" si="10"/>
        <v>2.5320142568286519E-2</v>
      </c>
      <c r="R70" s="4">
        <f t="shared" si="3"/>
        <v>1.9823680633396012E-2</v>
      </c>
      <c r="S70" s="4">
        <f t="shared" si="4"/>
        <v>5.0230501899362068E-4</v>
      </c>
      <c r="T70" s="4">
        <f t="shared" si="5"/>
        <v>2.0478763214543338E-2</v>
      </c>
      <c r="U70" s="4">
        <f t="shared" si="6"/>
        <v>8.1577107015879946E-3</v>
      </c>
      <c r="V70" s="4">
        <f t="shared" si="7"/>
        <v>6.4595908348754616E-3</v>
      </c>
      <c r="W70" s="4">
        <f t="shared" si="8"/>
        <v>1.7509680344236278E-2</v>
      </c>
    </row>
    <row r="71" spans="1:23" x14ac:dyDescent="0.25">
      <c r="A71" s="1">
        <v>44699</v>
      </c>
      <c r="B71">
        <v>4772.8198240000002</v>
      </c>
      <c r="C71">
        <v>9.3526539999999994</v>
      </c>
      <c r="D71">
        <v>6.3878320000000004</v>
      </c>
      <c r="E71">
        <v>7.9101000000000005E-2</v>
      </c>
      <c r="F71">
        <v>15.611326</v>
      </c>
      <c r="G71">
        <v>20.595015</v>
      </c>
      <c r="H71">
        <v>7.5929960000000003</v>
      </c>
      <c r="I71">
        <v>39.629443999999999</v>
      </c>
      <c r="J71">
        <v>4.4985660000000003</v>
      </c>
      <c r="K71">
        <v>30.962022999999999</v>
      </c>
      <c r="L71">
        <v>24.400217000000001</v>
      </c>
      <c r="M71" s="4">
        <f t="shared" si="9"/>
        <v>1.2845089011720656E-2</v>
      </c>
      <c r="N71" s="4">
        <f t="shared" si="9"/>
        <v>1.5544166349964694E-2</v>
      </c>
      <c r="O71" s="4">
        <f t="shared" si="10"/>
        <v>-3.1811908299202885E-2</v>
      </c>
      <c r="P71" s="4">
        <f t="shared" si="10"/>
        <v>1.9921089277425308E-2</v>
      </c>
      <c r="Q71" s="4">
        <f t="shared" si="10"/>
        <v>-2.4411451674317131E-2</v>
      </c>
      <c r="R71" s="4">
        <f t="shared" si="3"/>
        <v>3.4168718766570683E-2</v>
      </c>
      <c r="S71" s="4">
        <f t="shared" si="4"/>
        <v>1.509453473378608E-3</v>
      </c>
      <c r="T71" s="4">
        <f t="shared" si="5"/>
        <v>-2.2156762601420743E-3</v>
      </c>
      <c r="U71" s="4">
        <f t="shared" si="6"/>
        <v>2.955913956346512E-2</v>
      </c>
      <c r="V71" s="4">
        <f t="shared" si="7"/>
        <v>2.5551964959682483E-2</v>
      </c>
      <c r="W71" s="4">
        <f t="shared" si="8"/>
        <v>-3.1031814575899208E-3</v>
      </c>
    </row>
    <row r="72" spans="1:23" x14ac:dyDescent="0.25">
      <c r="A72" s="1">
        <v>44700</v>
      </c>
      <c r="B72">
        <v>4712.2900390000004</v>
      </c>
      <c r="C72">
        <v>9.2095000000000002</v>
      </c>
      <c r="D72">
        <v>6.5977180000000004</v>
      </c>
      <c r="E72">
        <v>7.7556E-2</v>
      </c>
      <c r="F72">
        <v>16.001957000000001</v>
      </c>
      <c r="G72">
        <v>19.914560000000002</v>
      </c>
      <c r="H72">
        <v>7.5815520000000003</v>
      </c>
      <c r="I72">
        <v>39.717444999999998</v>
      </c>
      <c r="J72">
        <v>4.3694100000000002</v>
      </c>
      <c r="K72">
        <v>30.190594000000001</v>
      </c>
      <c r="L72">
        <v>24.476171000000001</v>
      </c>
      <c r="M72" s="4">
        <f t="shared" si="9"/>
        <v>-8.3585112312245524E-3</v>
      </c>
      <c r="N72" s="4">
        <f t="shared" si="9"/>
        <v>1.0471067468679873E-2</v>
      </c>
      <c r="O72" s="4">
        <f t="shared" si="10"/>
        <v>8.3682244976093223E-3</v>
      </c>
      <c r="P72" s="4">
        <f t="shared" si="10"/>
        <v>4.2568012073851413E-4</v>
      </c>
      <c r="Q72" s="4">
        <f t="shared" si="10"/>
        <v>-2.9337182673021545E-2</v>
      </c>
      <c r="R72" s="4">
        <f t="shared" si="3"/>
        <v>9.1952565609403347E-3</v>
      </c>
      <c r="S72" s="4">
        <f t="shared" si="4"/>
        <v>-1.2667564720847846E-2</v>
      </c>
      <c r="T72" s="4">
        <f t="shared" si="5"/>
        <v>1.2324370970295817E-3</v>
      </c>
      <c r="U72" s="4">
        <f t="shared" si="6"/>
        <v>-5.2082218689767368E-3</v>
      </c>
      <c r="V72" s="4">
        <f t="shared" si="7"/>
        <v>-1.7663488132508509E-2</v>
      </c>
      <c r="W72" s="4">
        <f t="shared" si="8"/>
        <v>1.9433291123416296E-3</v>
      </c>
    </row>
    <row r="73" spans="1:23" x14ac:dyDescent="0.25">
      <c r="A73" s="1">
        <v>44701</v>
      </c>
      <c r="B73">
        <v>4752.0097660000001</v>
      </c>
      <c r="C73">
        <v>9.1140659999999993</v>
      </c>
      <c r="D73">
        <v>6.5429649999999997</v>
      </c>
      <c r="E73">
        <v>7.7522999999999995E-2</v>
      </c>
      <c r="F73">
        <v>16.485598</v>
      </c>
      <c r="G73">
        <v>19.733108999999999</v>
      </c>
      <c r="H73">
        <v>7.6788239999999996</v>
      </c>
      <c r="I73">
        <v>39.668556000000002</v>
      </c>
      <c r="J73">
        <v>4.3922860000000004</v>
      </c>
      <c r="K73">
        <v>30.733453999999998</v>
      </c>
      <c r="L73">
        <v>24.428698000000001</v>
      </c>
      <c r="M73" s="4">
        <f t="shared" si="9"/>
        <v>-1.3338226628601069E-2</v>
      </c>
      <c r="N73" s="4">
        <f t="shared" si="9"/>
        <v>-1.1387188152352068E-2</v>
      </c>
      <c r="O73" s="4">
        <f t="shared" si="10"/>
        <v>-9.6684604129385621E-3</v>
      </c>
      <c r="P73" s="4">
        <f t="shared" si="10"/>
        <v>-2.035787398589739E-2</v>
      </c>
      <c r="Q73" s="4">
        <f t="shared" si="10"/>
        <v>7.3885311708070667E-3</v>
      </c>
      <c r="R73" s="4">
        <f t="shared" si="3"/>
        <v>-3.3333426408706845E-2</v>
      </c>
      <c r="S73" s="4">
        <f t="shared" si="4"/>
        <v>-3.0346959129178841E-2</v>
      </c>
      <c r="T73" s="4">
        <f t="shared" si="5"/>
        <v>-2.0521452175854771E-2</v>
      </c>
      <c r="U73" s="4">
        <f t="shared" si="6"/>
        <v>-6.7896611546176544E-3</v>
      </c>
      <c r="V73" s="4">
        <f t="shared" si="7"/>
        <v>-9.2109172879519807E-3</v>
      </c>
      <c r="W73" s="4">
        <f t="shared" si="8"/>
        <v>6.650925867395685E-3</v>
      </c>
    </row>
    <row r="74" spans="1:23" x14ac:dyDescent="0.25">
      <c r="A74" s="1">
        <v>44704</v>
      </c>
      <c r="B74">
        <v>4816.25</v>
      </c>
      <c r="C74">
        <v>9.2190449999999995</v>
      </c>
      <c r="D74">
        <v>6.6068429999999996</v>
      </c>
      <c r="E74">
        <v>7.9133999999999996E-2</v>
      </c>
      <c r="F74">
        <v>16.364687</v>
      </c>
      <c r="G74">
        <v>20.413563</v>
      </c>
      <c r="H74">
        <v>7.9191459999999996</v>
      </c>
      <c r="I74">
        <v>40.499668</v>
      </c>
      <c r="J74">
        <v>4.4223119999999998</v>
      </c>
      <c r="K74">
        <v>31.019169000000002</v>
      </c>
      <c r="L74">
        <v>24.267298</v>
      </c>
      <c r="M74" s="4">
        <f t="shared" si="9"/>
        <v>5.5746773887030976E-3</v>
      </c>
      <c r="N74" s="4">
        <f t="shared" si="9"/>
        <v>-1.3278769060837359E-2</v>
      </c>
      <c r="O74" s="4">
        <f t="shared" si="10"/>
        <v>1.6853981869803025E-2</v>
      </c>
      <c r="P74" s="4">
        <f t="shared" si="10"/>
        <v>1.5945154829764219E-2</v>
      </c>
      <c r="Q74" s="4">
        <f t="shared" si="10"/>
        <v>3.0755718693605383E-2</v>
      </c>
      <c r="R74" s="4">
        <f t="shared" si="3"/>
        <v>2.7397431944661266E-2</v>
      </c>
      <c r="S74" s="4">
        <f t="shared" si="4"/>
        <v>-7.173568411174891E-3</v>
      </c>
      <c r="T74" s="4">
        <f t="shared" si="5"/>
        <v>7.2485195513483092E-4</v>
      </c>
      <c r="U74" s="4">
        <f t="shared" si="6"/>
        <v>1.6876615488407687E-2</v>
      </c>
      <c r="V74" s="4">
        <f t="shared" si="7"/>
        <v>-1.2265408328654415E-3</v>
      </c>
      <c r="W74" s="4">
        <f t="shared" si="8"/>
        <v>1.832667570631874E-2</v>
      </c>
    </row>
    <row r="75" spans="1:23" x14ac:dyDescent="0.25">
      <c r="A75" s="1">
        <v>44705</v>
      </c>
      <c r="B75">
        <v>4789.5498049999997</v>
      </c>
      <c r="C75">
        <v>9.3431099999999994</v>
      </c>
      <c r="D75">
        <v>6.4973369999999999</v>
      </c>
      <c r="E75">
        <v>7.7892000000000003E-2</v>
      </c>
      <c r="F75">
        <v>15.876397000000001</v>
      </c>
      <c r="G75">
        <v>19.869198000000001</v>
      </c>
      <c r="H75">
        <v>7.9763650000000004</v>
      </c>
      <c r="I75">
        <v>40.470332999999997</v>
      </c>
      <c r="J75">
        <v>4.3489170000000001</v>
      </c>
      <c r="K75">
        <v>31.057262000000001</v>
      </c>
      <c r="L75">
        <v>23.830563000000001</v>
      </c>
      <c r="M75" s="4">
        <f t="shared" si="9"/>
        <v>-1.4130827723125683E-2</v>
      </c>
      <c r="N75" s="4">
        <f t="shared" si="9"/>
        <v>9.2783814748662596E-3</v>
      </c>
      <c r="O75" s="4">
        <f t="shared" si="10"/>
        <v>-3.2608787899497171E-2</v>
      </c>
      <c r="P75" s="4">
        <f t="shared" si="10"/>
        <v>2.1614945190675527E-3</v>
      </c>
      <c r="Q75" s="4">
        <f t="shared" si="10"/>
        <v>-3.3408843588688675E-2</v>
      </c>
      <c r="R75" s="4">
        <f t="shared" si="3"/>
        <v>3.3018732551832963E-2</v>
      </c>
      <c r="S75" s="4">
        <f t="shared" si="4"/>
        <v>1.5788316141750025E-2</v>
      </c>
      <c r="T75" s="4">
        <f t="shared" si="5"/>
        <v>-3.0452175704193896E-2</v>
      </c>
      <c r="U75" s="4">
        <f t="shared" si="6"/>
        <v>-1.6066321427335106E-2</v>
      </c>
      <c r="V75" s="4">
        <f t="shared" si="7"/>
        <v>-2.5694689793807401E-2</v>
      </c>
      <c r="W75" s="4">
        <f t="shared" si="8"/>
        <v>-5.1524621059918507E-3</v>
      </c>
    </row>
    <row r="76" spans="1:23" x14ac:dyDescent="0.25">
      <c r="A76" s="1">
        <v>44706</v>
      </c>
      <c r="B76">
        <v>4858.2001950000003</v>
      </c>
      <c r="C76">
        <v>9.2572179999999999</v>
      </c>
      <c r="D76">
        <v>6.7163490000000001</v>
      </c>
      <c r="E76">
        <v>7.7724000000000001E-2</v>
      </c>
      <c r="F76">
        <v>16.425142000000001</v>
      </c>
      <c r="G76">
        <v>19.234112</v>
      </c>
      <c r="H76">
        <v>7.8523889999999996</v>
      </c>
      <c r="I76">
        <v>41.741450999999998</v>
      </c>
      <c r="J76">
        <v>4.4199289999999998</v>
      </c>
      <c r="K76">
        <v>31.876314000000001</v>
      </c>
      <c r="L76">
        <v>23.953984999999999</v>
      </c>
      <c r="M76" s="4">
        <f t="shared" si="9"/>
        <v>-1.6240018749295593E-2</v>
      </c>
      <c r="N76" s="4">
        <f t="shared" si="9"/>
        <v>-1.5228546274551835E-2</v>
      </c>
      <c r="O76" s="4">
        <f t="shared" si="10"/>
        <v>4.0928561219870652E-3</v>
      </c>
      <c r="P76" s="4">
        <f t="shared" si="10"/>
        <v>-2.7307085825845401E-2</v>
      </c>
      <c r="Q76" s="4">
        <f t="shared" si="10"/>
        <v>6.2679074317497641E-3</v>
      </c>
      <c r="R76" s="4">
        <f t="shared" si="3"/>
        <v>-1.8518379608488456E-2</v>
      </c>
      <c r="S76" s="4">
        <f t="shared" si="4"/>
        <v>-2.0461632614466985E-2</v>
      </c>
      <c r="T76" s="4">
        <f t="shared" si="5"/>
        <v>-1.9297021581247131E-2</v>
      </c>
      <c r="U76" s="4">
        <f t="shared" si="6"/>
        <v>-3.7167667745186983E-2</v>
      </c>
      <c r="V76" s="4">
        <f t="shared" si="7"/>
        <v>-2.9787733156509955E-3</v>
      </c>
      <c r="W76" s="4">
        <f t="shared" si="8"/>
        <v>-2.1713969307594061E-2</v>
      </c>
    </row>
    <row r="77" spans="1:23" x14ac:dyDescent="0.25">
      <c r="A77" s="1">
        <v>44708</v>
      </c>
      <c r="B77">
        <v>4938.3999020000001</v>
      </c>
      <c r="C77">
        <v>9.4003720000000008</v>
      </c>
      <c r="D77">
        <v>6.6889719999999997</v>
      </c>
      <c r="E77">
        <v>7.9906000000000005E-2</v>
      </c>
      <c r="F77">
        <v>16.322831999999998</v>
      </c>
      <c r="G77">
        <v>19.597017000000001</v>
      </c>
      <c r="H77">
        <v>8.0164179999999998</v>
      </c>
      <c r="I77">
        <v>42.562786000000003</v>
      </c>
      <c r="J77">
        <v>4.5905490000000002</v>
      </c>
      <c r="K77">
        <v>31.971550000000001</v>
      </c>
      <c r="L77">
        <v>24.485665999999998</v>
      </c>
      <c r="M77" s="4">
        <f t="shared" si="9"/>
        <v>-2.5409268570704135E-3</v>
      </c>
      <c r="N77" s="4">
        <f t="shared" si="9"/>
        <v>1.0163108088019346E-3</v>
      </c>
      <c r="O77" s="4">
        <f t="shared" si="10"/>
        <v>-2.0053605006259301E-2</v>
      </c>
      <c r="P77" s="4">
        <f t="shared" si="10"/>
        <v>-4.0709749450760446E-2</v>
      </c>
      <c r="Q77" s="4">
        <f t="shared" si="10"/>
        <v>0</v>
      </c>
      <c r="R77" s="4">
        <f t="shared" si="3"/>
        <v>-2.3096483604025941E-3</v>
      </c>
      <c r="S77" s="4">
        <f t="shared" si="4"/>
        <v>-3.0449740946679626E-2</v>
      </c>
      <c r="T77" s="4">
        <f t="shared" si="5"/>
        <v>2.3025546115522655E-3</v>
      </c>
      <c r="U77" s="4">
        <f t="shared" si="6"/>
        <v>7.4257490927669423E-3</v>
      </c>
      <c r="V77" s="4">
        <f t="shared" si="7"/>
        <v>-8.2717356320213264E-3</v>
      </c>
      <c r="W77" s="4">
        <f t="shared" si="8"/>
        <v>-2.3845469033979438E-2</v>
      </c>
    </row>
    <row r="78" spans="1:23" x14ac:dyDescent="0.25">
      <c r="A78" s="1">
        <v>44711</v>
      </c>
      <c r="B78">
        <v>4950.9799800000001</v>
      </c>
      <c r="C78">
        <v>9.3908280000000008</v>
      </c>
      <c r="D78">
        <v>6.8258549999999998</v>
      </c>
      <c r="E78">
        <v>8.3296999999999996E-2</v>
      </c>
      <c r="F78">
        <v>16.322831999999998</v>
      </c>
      <c r="G78">
        <v>19.642384</v>
      </c>
      <c r="H78">
        <v>8.2681819999999995</v>
      </c>
      <c r="I78">
        <v>42.465007999999997</v>
      </c>
      <c r="J78">
        <v>4.5567120000000001</v>
      </c>
      <c r="K78">
        <v>32.238216000000001</v>
      </c>
      <c r="L78">
        <v>25.083801000000001</v>
      </c>
      <c r="M78" s="4">
        <f t="shared" si="9"/>
        <v>1.8896233310322641E-2</v>
      </c>
      <c r="N78" s="4">
        <f t="shared" si="9"/>
        <v>-1.3039136326689404E-2</v>
      </c>
      <c r="O78" s="4">
        <f t="shared" si="10"/>
        <v>3.1724151065399386E-2</v>
      </c>
      <c r="P78" s="4">
        <f t="shared" si="10"/>
        <v>3.0737628846843945E-2</v>
      </c>
      <c r="Q78" s="4">
        <f t="shared" si="10"/>
        <v>2.0348609881824409E-2</v>
      </c>
      <c r="R78" s="4">
        <f t="shared" si="3"/>
        <v>2.3149951852365902E-3</v>
      </c>
      <c r="S78" s="4">
        <f t="shared" si="4"/>
        <v>0</v>
      </c>
      <c r="T78" s="4">
        <f t="shared" si="5"/>
        <v>1.6857903683112907E-2</v>
      </c>
      <c r="U78" s="4">
        <f t="shared" si="6"/>
        <v>2.1256338991574975E-2</v>
      </c>
      <c r="V78" s="4">
        <f t="shared" si="7"/>
        <v>2.606841785243974E-2</v>
      </c>
      <c r="W78" s="4">
        <f t="shared" si="8"/>
        <v>6.4761015601988436E-3</v>
      </c>
    </row>
    <row r="79" spans="1:23" x14ac:dyDescent="0.25">
      <c r="A79" s="1">
        <v>44712</v>
      </c>
      <c r="B79">
        <v>4859.1601559999999</v>
      </c>
      <c r="C79">
        <v>9.514894</v>
      </c>
      <c r="D79">
        <v>6.6159689999999998</v>
      </c>
      <c r="E79">
        <v>8.0812999999999996E-2</v>
      </c>
      <c r="F79">
        <v>15.997309</v>
      </c>
      <c r="G79">
        <v>19.597017000000001</v>
      </c>
      <c r="H79">
        <v>8.2681819999999995</v>
      </c>
      <c r="I79">
        <v>41.761004999999997</v>
      </c>
      <c r="J79">
        <v>4.4618690000000001</v>
      </c>
      <c r="K79">
        <v>31.419167999999999</v>
      </c>
      <c r="L79">
        <v>24.922401000000001</v>
      </c>
      <c r="M79" s="4">
        <f t="shared" si="9"/>
        <v>7.7043373619745115E-3</v>
      </c>
      <c r="N79" s="4">
        <f t="shared" si="9"/>
        <v>3.6382608619880186E-2</v>
      </c>
      <c r="O79" s="4">
        <f t="shared" si="10"/>
        <v>-1.3605332639156309E-2</v>
      </c>
      <c r="P79" s="4">
        <f t="shared" si="10"/>
        <v>2.6444475492499731E-2</v>
      </c>
      <c r="Q79" s="4">
        <f t="shared" si="10"/>
        <v>3.6144735165756892E-2</v>
      </c>
      <c r="R79" s="4">
        <f t="shared" si="3"/>
        <v>1.6470416519619224E-2</v>
      </c>
      <c r="S79" s="4">
        <f t="shared" si="4"/>
        <v>-2.0560549715467724E-2</v>
      </c>
      <c r="T79" s="4">
        <f t="shared" si="5"/>
        <v>-4.1968420827732666E-3</v>
      </c>
      <c r="U79" s="4">
        <f t="shared" si="6"/>
        <v>4.0753785252529706E-3</v>
      </c>
      <c r="V79" s="4">
        <f t="shared" si="7"/>
        <v>-2.1173965334762013E-3</v>
      </c>
      <c r="W79" s="4">
        <f t="shared" si="8"/>
        <v>-1.9010511468421365E-3</v>
      </c>
    </row>
    <row r="80" spans="1:23" x14ac:dyDescent="0.25">
      <c r="A80" s="1">
        <v>44713</v>
      </c>
      <c r="B80">
        <v>4822.0097660000001</v>
      </c>
      <c r="C80">
        <v>9.1808700000000005</v>
      </c>
      <c r="D80">
        <v>6.7072229999999999</v>
      </c>
      <c r="E80">
        <v>7.8730999999999995E-2</v>
      </c>
      <c r="F80">
        <v>15.439261</v>
      </c>
      <c r="G80">
        <v>19.279475999999999</v>
      </c>
      <c r="H80">
        <v>8.4417489999999997</v>
      </c>
      <c r="I80">
        <v>41.937007999999999</v>
      </c>
      <c r="J80">
        <v>4.443759</v>
      </c>
      <c r="K80">
        <v>31.485835999999999</v>
      </c>
      <c r="L80">
        <v>24.96987</v>
      </c>
      <c r="M80" s="4">
        <f t="shared" si="9"/>
        <v>-7.0671291795993962E-3</v>
      </c>
      <c r="N80" s="4">
        <f t="shared" si="9"/>
        <v>-1.5353242333996486E-2</v>
      </c>
      <c r="O80" s="4">
        <f t="shared" si="10"/>
        <v>-1.6064302981679268E-2</v>
      </c>
      <c r="P80" s="4">
        <f t="shared" si="10"/>
        <v>1.2956101075600746E-2</v>
      </c>
      <c r="Q80" s="4">
        <f t="shared" si="10"/>
        <v>-1.3958960336005743E-2</v>
      </c>
      <c r="R80" s="4">
        <f t="shared" si="3"/>
        <v>-1.6203537507774923E-2</v>
      </c>
      <c r="S80" s="4">
        <f t="shared" si="4"/>
        <v>-1.227393189144288E-2</v>
      </c>
      <c r="T80" s="4">
        <f t="shared" si="5"/>
        <v>-1.0611138661629993E-2</v>
      </c>
      <c r="U80" s="4">
        <f t="shared" si="6"/>
        <v>-5.5458817542459737E-3</v>
      </c>
      <c r="V80" s="4">
        <f t="shared" si="7"/>
        <v>1.5147488494495764E-3</v>
      </c>
      <c r="W80" s="4">
        <f t="shared" si="8"/>
        <v>-3.5570299180242015E-2</v>
      </c>
    </row>
    <row r="81" spans="1:23" x14ac:dyDescent="0.25">
      <c r="A81" s="1">
        <v>44714</v>
      </c>
      <c r="B81">
        <v>4856.330078</v>
      </c>
      <c r="C81">
        <v>9.3240239999999996</v>
      </c>
      <c r="D81">
        <v>6.8167289999999996</v>
      </c>
      <c r="E81">
        <v>7.7724000000000001E-2</v>
      </c>
      <c r="F81">
        <v>15.657828</v>
      </c>
      <c r="G81">
        <v>19.597017000000001</v>
      </c>
      <c r="H81">
        <v>8.5466499999999996</v>
      </c>
      <c r="I81">
        <v>42.386780000000002</v>
      </c>
      <c r="J81">
        <v>4.4685410000000001</v>
      </c>
      <c r="K81">
        <v>31.438215</v>
      </c>
      <c r="L81">
        <v>25.890813999999999</v>
      </c>
      <c r="M81" s="4">
        <f t="shared" si="9"/>
        <v>-2.5038290794581197E-3</v>
      </c>
      <c r="N81" s="4">
        <f t="shared" si="9"/>
        <v>1.1387188152351957E-2</v>
      </c>
      <c r="O81" s="4">
        <f t="shared" si="10"/>
        <v>5.3835955639833788E-3</v>
      </c>
      <c r="P81" s="4">
        <f t="shared" si="10"/>
        <v>4.3417584121570041E-3</v>
      </c>
      <c r="Q81" s="4">
        <f t="shared" si="10"/>
        <v>-1.4055809537518615E-2</v>
      </c>
      <c r="R81" s="4">
        <f t="shared" si="3"/>
        <v>-4.608197323999863E-3</v>
      </c>
      <c r="S81" s="4">
        <f t="shared" si="4"/>
        <v>5.1591343681238744E-3</v>
      </c>
      <c r="T81" s="4">
        <f t="shared" si="5"/>
        <v>-1.9008881618032936E-2</v>
      </c>
      <c r="U81" s="4">
        <f t="shared" si="6"/>
        <v>-1.0673485763545987E-4</v>
      </c>
      <c r="V81" s="4">
        <f t="shared" si="7"/>
        <v>-3.0202210966240317E-3</v>
      </c>
      <c r="W81" s="4">
        <f t="shared" si="8"/>
        <v>5.1603207482597835E-3</v>
      </c>
    </row>
    <row r="82" spans="1:23" x14ac:dyDescent="0.25">
      <c r="A82" s="1">
        <v>44715</v>
      </c>
      <c r="B82">
        <v>4868.5200199999999</v>
      </c>
      <c r="C82">
        <v>9.2190449999999995</v>
      </c>
      <c r="D82">
        <v>6.780227</v>
      </c>
      <c r="E82">
        <v>7.7387999999999998E-2</v>
      </c>
      <c r="F82">
        <v>15.881049000000001</v>
      </c>
      <c r="G82">
        <v>19.687742</v>
      </c>
      <c r="H82">
        <v>8.5027830000000009</v>
      </c>
      <c r="I82">
        <v>43.208117999999999</v>
      </c>
      <c r="J82">
        <v>4.4690180000000002</v>
      </c>
      <c r="K82">
        <v>31.533453000000002</v>
      </c>
      <c r="L82">
        <v>25.757895000000001</v>
      </c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</row>
    <row r="83" spans="1:23" x14ac:dyDescent="0.25">
      <c r="A83" s="1">
        <v>44718</v>
      </c>
      <c r="C83">
        <v>9.1808700000000005</v>
      </c>
      <c r="D83">
        <v>6.917109</v>
      </c>
      <c r="E83">
        <v>7.7321000000000001E-2</v>
      </c>
      <c r="F83">
        <v>16.118216</v>
      </c>
      <c r="G83">
        <v>19.778473000000002</v>
      </c>
      <c r="H83">
        <v>8.6076829999999998</v>
      </c>
      <c r="I83">
        <v>43.481903000000003</v>
      </c>
      <c r="J83">
        <v>4.5123870000000004</v>
      </c>
      <c r="K83">
        <v>31.857265000000002</v>
      </c>
      <c r="L83">
        <v>26.033225999999999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</row>
    <row r="84" spans="1:23" x14ac:dyDescent="0.25">
      <c r="A84" s="1">
        <v>44719</v>
      </c>
      <c r="B84">
        <v>4910.7700199999999</v>
      </c>
      <c r="C84">
        <v>9.0281739999999999</v>
      </c>
      <c r="D84">
        <v>6.917109</v>
      </c>
      <c r="E84">
        <v>7.6683000000000001E-2</v>
      </c>
      <c r="F84">
        <v>15.908949</v>
      </c>
      <c r="G84">
        <v>19.370201000000002</v>
      </c>
      <c r="H84">
        <v>8.6496440000000003</v>
      </c>
      <c r="I84">
        <v>43.491675999999998</v>
      </c>
      <c r="J84">
        <v>4.4899880000000003</v>
      </c>
      <c r="K84">
        <v>31.971550000000001</v>
      </c>
      <c r="L84">
        <v>25.681937999999999</v>
      </c>
      <c r="M84" s="4">
        <f t="shared" si="9"/>
        <v>2.0576444635755919E-4</v>
      </c>
      <c r="N84" s="4">
        <f t="shared" si="9"/>
        <v>-2.1095889805310408E-3</v>
      </c>
      <c r="O84" s="4">
        <f t="shared" si="10"/>
        <v>1.7449640934338539E-2</v>
      </c>
      <c r="P84" s="4">
        <f t="shared" si="10"/>
        <v>1.0169804112710956E-2</v>
      </c>
      <c r="Q84" s="4">
        <f t="shared" si="10"/>
        <v>1.0038387803669613E-2</v>
      </c>
      <c r="R84" s="4">
        <f t="shared" si="3"/>
        <v>-6.9767744684636757E-3</v>
      </c>
      <c r="S84" s="4">
        <f t="shared" si="4"/>
        <v>5.5431539920776096E-3</v>
      </c>
      <c r="T84" s="4">
        <f t="shared" si="5"/>
        <v>-3.2201869080183743E-2</v>
      </c>
      <c r="U84" s="4">
        <f t="shared" si="6"/>
        <v>1.1690742728962533E-3</v>
      </c>
      <c r="V84" s="4">
        <f t="shared" si="7"/>
        <v>-5.9545618386203092E-4</v>
      </c>
      <c r="W84" s="4">
        <f t="shared" si="8"/>
        <v>-1.421295546555601E-2</v>
      </c>
    </row>
    <row r="85" spans="1:23" x14ac:dyDescent="0.25">
      <c r="A85" s="1">
        <v>44720</v>
      </c>
      <c r="B85">
        <v>4909.7597660000001</v>
      </c>
      <c r="C85">
        <v>9.0472599999999996</v>
      </c>
      <c r="D85">
        <v>6.7984780000000002</v>
      </c>
      <c r="E85">
        <v>7.5911000000000006E-2</v>
      </c>
      <c r="F85">
        <v>15.750836</v>
      </c>
      <c r="G85">
        <v>19.506291999999998</v>
      </c>
      <c r="H85">
        <v>8.6019620000000003</v>
      </c>
      <c r="I85">
        <v>44.938789</v>
      </c>
      <c r="J85">
        <v>4.4847450000000002</v>
      </c>
      <c r="K85">
        <v>31.990599</v>
      </c>
      <c r="L85">
        <v>26.052216999999999</v>
      </c>
      <c r="M85" s="4">
        <f t="shared" si="9"/>
        <v>1.1785495948383407E-2</v>
      </c>
      <c r="N85" s="4">
        <f t="shared" si="9"/>
        <v>-2.0661319842582904E-2</v>
      </c>
      <c r="O85" s="4">
        <f t="shared" si="10"/>
        <v>6.7567017249456907E-3</v>
      </c>
      <c r="P85" s="4">
        <f t="shared" si="10"/>
        <v>-4.4067307566197922E-3</v>
      </c>
      <c r="Q85" s="4">
        <f t="shared" si="10"/>
        <v>-6.453545968323593E-3</v>
      </c>
      <c r="R85" s="4">
        <f t="shared" ref="R85:R148" si="11">G85/G86-1</f>
        <v>9.3898343763347825E-3</v>
      </c>
      <c r="S85" s="4">
        <f t="shared" ref="S85:S148" si="12">H85/H86-1</f>
        <v>1.109814620457783E-3</v>
      </c>
      <c r="T85" s="4">
        <f t="shared" ref="T85:T148" si="13">I85/I86-1</f>
        <v>1.8842796912655224E-2</v>
      </c>
      <c r="U85" s="4">
        <f t="shared" ref="U85:U148" si="14">J85/J86-1</f>
        <v>1.4773774039456899E-2</v>
      </c>
      <c r="V85" s="4">
        <f t="shared" ref="V85:V148" si="15">K85/K86-1</f>
        <v>2.2526747012089787E-2</v>
      </c>
      <c r="W85" s="4">
        <f t="shared" ref="W85:W148" si="16">L85/L86-1</f>
        <v>2.6562052148697113E-2</v>
      </c>
    </row>
    <row r="86" spans="1:23" x14ac:dyDescent="0.25">
      <c r="A86" s="1">
        <v>44721</v>
      </c>
      <c r="B86">
        <v>4852.5698240000002</v>
      </c>
      <c r="C86">
        <v>9.2381320000000002</v>
      </c>
      <c r="D86">
        <v>6.7528509999999997</v>
      </c>
      <c r="E86">
        <v>7.6246999999999995E-2</v>
      </c>
      <c r="F86">
        <v>15.853145</v>
      </c>
      <c r="G86">
        <v>19.324835</v>
      </c>
      <c r="H86">
        <v>8.5924259999999997</v>
      </c>
      <c r="I86">
        <v>44.107677000000002</v>
      </c>
      <c r="J86">
        <v>4.4194529999999999</v>
      </c>
      <c r="K86">
        <v>31.285831000000002</v>
      </c>
      <c r="L86">
        <v>25.378122000000001</v>
      </c>
      <c r="M86" s="4">
        <f t="shared" si="9"/>
        <v>2.4127013981955381E-2</v>
      </c>
      <c r="N86" s="4">
        <f t="shared" si="9"/>
        <v>2.3255865471799808E-2</v>
      </c>
      <c r="O86" s="4">
        <f t="shared" si="10"/>
        <v>1.3531095421137618E-3</v>
      </c>
      <c r="P86" s="4">
        <f t="shared" si="10"/>
        <v>8.4381488976179586E-3</v>
      </c>
      <c r="Q86" s="4">
        <f t="shared" si="10"/>
        <v>3.8695900494196689E-2</v>
      </c>
      <c r="R86" s="4">
        <f t="shared" si="11"/>
        <v>1.6706270761108755E-2</v>
      </c>
      <c r="S86" s="4">
        <f t="shared" si="12"/>
        <v>3.8736595286482656E-2</v>
      </c>
      <c r="T86" s="4">
        <f t="shared" si="13"/>
        <v>4.9069697787083921E-2</v>
      </c>
      <c r="U86" s="4">
        <f t="shared" si="14"/>
        <v>3.0562525927568585E-2</v>
      </c>
      <c r="V86" s="4">
        <f t="shared" si="15"/>
        <v>2.1772767364964585E-2</v>
      </c>
      <c r="W86" s="4">
        <f t="shared" si="16"/>
        <v>3.8865108570256268E-2</v>
      </c>
    </row>
    <row r="87" spans="1:23" x14ac:dyDescent="0.25">
      <c r="A87" s="1">
        <v>44722</v>
      </c>
      <c r="B87">
        <v>4738.25</v>
      </c>
      <c r="C87">
        <v>9.0281739999999999</v>
      </c>
      <c r="D87">
        <v>6.7437259999999997</v>
      </c>
      <c r="E87">
        <v>7.5608999999999996E-2</v>
      </c>
      <c r="F87">
        <v>15.262547</v>
      </c>
      <c r="G87">
        <v>19.007294000000002</v>
      </c>
      <c r="H87">
        <v>8.2719970000000007</v>
      </c>
      <c r="I87">
        <v>42.044562999999997</v>
      </c>
      <c r="J87">
        <v>4.2883889999999996</v>
      </c>
      <c r="K87">
        <v>30.619167000000001</v>
      </c>
      <c r="L87">
        <v>24.428698000000001</v>
      </c>
      <c r="M87" s="4">
        <f t="shared" si="9"/>
        <v>2.8125521096439954E-2</v>
      </c>
      <c r="N87" s="4">
        <f t="shared" si="9"/>
        <v>2.1598215926486253E-2</v>
      </c>
      <c r="O87" s="4">
        <f t="shared" si="10"/>
        <v>1.0943942799594986E-2</v>
      </c>
      <c r="P87" s="4">
        <f t="shared" si="10"/>
        <v>-3.1398923904688791E-2</v>
      </c>
      <c r="Q87" s="4">
        <f t="shared" si="10"/>
        <v>5.496617794032943E-2</v>
      </c>
      <c r="R87" s="4">
        <f t="shared" si="11"/>
        <v>2.4449894223021129E-2</v>
      </c>
      <c r="S87" s="4">
        <f t="shared" si="12"/>
        <v>4.0297324930799849E-2</v>
      </c>
      <c r="T87" s="4">
        <f t="shared" si="13"/>
        <v>3.6144583360811389E-2</v>
      </c>
      <c r="U87" s="4">
        <f t="shared" si="14"/>
        <v>9.8764873898167238E-3</v>
      </c>
      <c r="V87" s="4">
        <f t="shared" si="15"/>
        <v>2.9788640725421534E-2</v>
      </c>
      <c r="W87" s="4">
        <f t="shared" si="16"/>
        <v>4.423697089992884E-2</v>
      </c>
    </row>
    <row r="88" spans="1:23" x14ac:dyDescent="0.25">
      <c r="A88" s="1">
        <v>44725</v>
      </c>
      <c r="B88">
        <v>4608.6298829999996</v>
      </c>
      <c r="C88">
        <v>8.8373039999999996</v>
      </c>
      <c r="D88">
        <v>6.6707219999999996</v>
      </c>
      <c r="E88">
        <v>7.8060000000000004E-2</v>
      </c>
      <c r="F88">
        <v>14.467333</v>
      </c>
      <c r="G88">
        <v>18.553659</v>
      </c>
      <c r="H88">
        <v>7.9515700000000002</v>
      </c>
      <c r="I88">
        <v>40.577891999999999</v>
      </c>
      <c r="J88">
        <v>4.2464490000000001</v>
      </c>
      <c r="K88">
        <v>29.733447999999999</v>
      </c>
      <c r="L88">
        <v>23.393826000000001</v>
      </c>
      <c r="M88" s="4">
        <f t="shared" si="9"/>
        <v>1.3234816631713109E-4</v>
      </c>
      <c r="N88" s="4">
        <f t="shared" si="9"/>
        <v>-3.2292142034894278E-3</v>
      </c>
      <c r="O88" s="4">
        <f t="shared" si="10"/>
        <v>-6.6411280113899629E-2</v>
      </c>
      <c r="P88" s="4">
        <f t="shared" si="10"/>
        <v>5.6335169222025305E-2</v>
      </c>
      <c r="Q88" s="4">
        <f t="shared" si="10"/>
        <v>-6.153842660973885E-2</v>
      </c>
      <c r="R88" s="4">
        <f t="shared" si="11"/>
        <v>-2.4389992118941661E-3</v>
      </c>
      <c r="S88" s="4">
        <f t="shared" si="12"/>
        <v>8.2224275180486917E-3</v>
      </c>
      <c r="T88" s="4">
        <f t="shared" si="13"/>
        <v>-1.0255172057344719E-2</v>
      </c>
      <c r="U88" s="4">
        <f t="shared" si="14"/>
        <v>-1.4380263693872686E-2</v>
      </c>
      <c r="V88" s="4">
        <f t="shared" si="15"/>
        <v>1.9928106322567141E-2</v>
      </c>
      <c r="W88" s="4">
        <f t="shared" si="16"/>
        <v>-8.8495387752053345E-3</v>
      </c>
    </row>
    <row r="89" spans="1:23" x14ac:dyDescent="0.25">
      <c r="A89" s="1">
        <v>44726</v>
      </c>
      <c r="B89">
        <v>4608.0200199999999</v>
      </c>
      <c r="C89">
        <v>8.8659339999999993</v>
      </c>
      <c r="D89">
        <v>7.1452470000000003</v>
      </c>
      <c r="E89">
        <v>7.3897000000000004E-2</v>
      </c>
      <c r="F89">
        <v>15.41601</v>
      </c>
      <c r="G89">
        <v>18.599022000000001</v>
      </c>
      <c r="H89">
        <v>7.8867219999999998</v>
      </c>
      <c r="I89">
        <v>40.998336999999999</v>
      </c>
      <c r="J89">
        <v>4.3084049999999996</v>
      </c>
      <c r="K89">
        <v>29.152494000000001</v>
      </c>
      <c r="L89">
        <v>23.602699000000001</v>
      </c>
      <c r="M89" s="4">
        <f t="shared" si="9"/>
        <v>-1.2883048993660107E-2</v>
      </c>
      <c r="N89" s="4">
        <f t="shared" si="9"/>
        <v>8.6861884052331639E-3</v>
      </c>
      <c r="O89" s="4">
        <f t="shared" si="10"/>
        <v>3.0263317261108202E-2</v>
      </c>
      <c r="P89" s="4">
        <f t="shared" si="10"/>
        <v>2.3731020724814478E-2</v>
      </c>
      <c r="Q89" s="4">
        <f t="shared" si="10"/>
        <v>-6.0284043580582924E-4</v>
      </c>
      <c r="R89" s="4">
        <f t="shared" si="11"/>
        <v>-7.2637421004596581E-3</v>
      </c>
      <c r="S89" s="4">
        <f t="shared" si="12"/>
        <v>-1.7814707021496234E-2</v>
      </c>
      <c r="T89" s="4">
        <f t="shared" si="13"/>
        <v>-2.3792516640562811E-3</v>
      </c>
      <c r="U89" s="4">
        <f t="shared" si="14"/>
        <v>-8.5546693421822972E-3</v>
      </c>
      <c r="V89" s="4">
        <f t="shared" si="15"/>
        <v>-1.7650849131964019E-2</v>
      </c>
      <c r="W89" s="4">
        <f t="shared" si="16"/>
        <v>-1.3100553721080099E-2</v>
      </c>
    </row>
    <row r="90" spans="1:23" x14ac:dyDescent="0.25">
      <c r="A90" s="1">
        <v>44727</v>
      </c>
      <c r="B90">
        <v>4668.1601559999999</v>
      </c>
      <c r="C90">
        <v>8.7895859999999999</v>
      </c>
      <c r="D90">
        <v>6.9353600000000002</v>
      </c>
      <c r="E90">
        <v>7.2183999999999998E-2</v>
      </c>
      <c r="F90">
        <v>15.425309</v>
      </c>
      <c r="G90">
        <v>18.735109000000001</v>
      </c>
      <c r="H90">
        <v>8.0297699999999992</v>
      </c>
      <c r="I90">
        <v>41.096114999999998</v>
      </c>
      <c r="J90">
        <v>4.34558</v>
      </c>
      <c r="K90">
        <v>29.676306</v>
      </c>
      <c r="L90">
        <v>23.916011999999998</v>
      </c>
      <c r="M90" s="4">
        <f t="shared" si="9"/>
        <v>2.9673854388611698E-2</v>
      </c>
      <c r="N90" s="4">
        <f t="shared" si="9"/>
        <v>6.5573601532238346E-3</v>
      </c>
      <c r="O90" s="4">
        <f t="shared" si="10"/>
        <v>-7.8329205836872307E-3</v>
      </c>
      <c r="P90" s="4">
        <f t="shared" si="10"/>
        <v>2.821816731478699E-2</v>
      </c>
      <c r="Q90" s="4">
        <f t="shared" si="10"/>
        <v>6.8276864114442226E-2</v>
      </c>
      <c r="R90" s="4">
        <f t="shared" si="11"/>
        <v>2.2277052548226983E-2</v>
      </c>
      <c r="S90" s="4">
        <f t="shared" si="12"/>
        <v>5.5667063309102094E-2</v>
      </c>
      <c r="T90" s="4">
        <f t="shared" si="13"/>
        <v>2.8886194504462281E-2</v>
      </c>
      <c r="U90" s="4">
        <f t="shared" si="14"/>
        <v>2.6570573272000964E-2</v>
      </c>
      <c r="V90" s="4">
        <f t="shared" si="15"/>
        <v>1.9967384476721195E-2</v>
      </c>
      <c r="W90" s="4">
        <f t="shared" si="16"/>
        <v>3.492202323432525E-2</v>
      </c>
    </row>
    <row r="91" spans="1:23" x14ac:dyDescent="0.25">
      <c r="A91" s="1">
        <v>44728</v>
      </c>
      <c r="B91">
        <v>4533.6298829999996</v>
      </c>
      <c r="C91">
        <v>8.7323249999999994</v>
      </c>
      <c r="D91">
        <v>6.990113</v>
      </c>
      <c r="E91">
        <v>7.0203000000000002E-2</v>
      </c>
      <c r="F91">
        <v>14.43943</v>
      </c>
      <c r="G91">
        <v>18.326841000000002</v>
      </c>
      <c r="H91">
        <v>7.6063470000000004</v>
      </c>
      <c r="I91">
        <v>39.942332999999998</v>
      </c>
      <c r="J91">
        <v>4.233104</v>
      </c>
      <c r="K91">
        <v>29.095348000000001</v>
      </c>
      <c r="L91">
        <v>23.108999000000001</v>
      </c>
      <c r="M91" s="4">
        <f t="shared" si="9"/>
        <v>-7.1872703300119856E-3</v>
      </c>
      <c r="N91" s="4">
        <f t="shared" si="9"/>
        <v>-1.2945062467446089E-2</v>
      </c>
      <c r="O91" s="4">
        <f t="shared" si="10"/>
        <v>7.8947596087297622E-3</v>
      </c>
      <c r="P91" s="4">
        <f t="shared" si="10"/>
        <v>-7.1280071280072077E-3</v>
      </c>
      <c r="Q91" s="4">
        <f t="shared" si="10"/>
        <v>-9.5693507505106856E-3</v>
      </c>
      <c r="R91" s="4">
        <f t="shared" si="11"/>
        <v>4.9750728156736646E-3</v>
      </c>
      <c r="S91" s="4">
        <f t="shared" si="12"/>
        <v>9.6202893891572661E-3</v>
      </c>
      <c r="T91" s="4">
        <f t="shared" si="13"/>
        <v>-2.1088046345072997E-2</v>
      </c>
      <c r="U91" s="4">
        <f t="shared" si="14"/>
        <v>7.4865862156945351E-3</v>
      </c>
      <c r="V91" s="4">
        <f t="shared" si="15"/>
        <v>2.954673609463665E-3</v>
      </c>
      <c r="W91" s="4">
        <f t="shared" si="16"/>
        <v>5.3697160388388454E-3</v>
      </c>
    </row>
    <row r="92" spans="1:23" x14ac:dyDescent="0.25">
      <c r="A92" s="1">
        <v>44729</v>
      </c>
      <c r="B92">
        <v>4566.4501950000003</v>
      </c>
      <c r="C92">
        <v>8.8468479999999996</v>
      </c>
      <c r="D92">
        <v>6.9353600000000002</v>
      </c>
      <c r="E92">
        <v>7.0707000000000006E-2</v>
      </c>
      <c r="F92">
        <v>14.578941</v>
      </c>
      <c r="G92">
        <v>18.236115000000002</v>
      </c>
      <c r="H92">
        <v>7.5338690000000001</v>
      </c>
      <c r="I92">
        <v>40.802784000000003</v>
      </c>
      <c r="J92">
        <v>4.2016479999999996</v>
      </c>
      <c r="K92">
        <v>29.009633999999998</v>
      </c>
      <c r="L92">
        <v>22.985572999999999</v>
      </c>
      <c r="M92" s="4">
        <f t="shared" si="9"/>
        <v>-1.9191033494190268E-2</v>
      </c>
      <c r="N92" s="4">
        <f t="shared" si="9"/>
        <v>-1.9047460645353009E-2</v>
      </c>
      <c r="O92" s="4">
        <f t="shared" si="10"/>
        <v>-4.0404152212365818E-2</v>
      </c>
      <c r="P92" s="4">
        <f t="shared" si="10"/>
        <v>-6.5241532481954412E-2</v>
      </c>
      <c r="Q92" s="4">
        <f t="shared" si="10"/>
        <v>-3.8638462833456955E-2</v>
      </c>
      <c r="R92" s="4">
        <f t="shared" si="11"/>
        <v>-7.4073312053359874E-3</v>
      </c>
      <c r="S92" s="4">
        <f t="shared" si="12"/>
        <v>-2.7093602738648692E-2</v>
      </c>
      <c r="T92" s="4">
        <f t="shared" si="13"/>
        <v>-3.0887153012691404E-2</v>
      </c>
      <c r="U92" s="4">
        <f t="shared" si="14"/>
        <v>-1.7606701596534768E-2</v>
      </c>
      <c r="V92" s="4">
        <f t="shared" si="15"/>
        <v>-2.3091794867702076E-2</v>
      </c>
      <c r="W92" s="4">
        <f t="shared" si="16"/>
        <v>-4.1291463021553287E-4</v>
      </c>
    </row>
    <row r="93" spans="1:23" x14ac:dyDescent="0.25">
      <c r="A93" s="1">
        <v>44732</v>
      </c>
      <c r="B93">
        <v>4655.7998049999997</v>
      </c>
      <c r="C93">
        <v>9.0186299999999999</v>
      </c>
      <c r="D93">
        <v>7.2273759999999996</v>
      </c>
      <c r="E93">
        <v>7.5642000000000001E-2</v>
      </c>
      <c r="F93">
        <v>15.164889000000001</v>
      </c>
      <c r="G93">
        <v>18.372204</v>
      </c>
      <c r="H93">
        <v>7.7436730000000003</v>
      </c>
      <c r="I93">
        <v>42.103233000000003</v>
      </c>
      <c r="J93">
        <v>4.2769510000000004</v>
      </c>
      <c r="K93">
        <v>29.695353000000001</v>
      </c>
      <c r="L93">
        <v>22.995068</v>
      </c>
      <c r="M93" s="4">
        <f t="shared" si="9"/>
        <v>-5.9292420191322526E-3</v>
      </c>
      <c r="N93" s="4">
        <f t="shared" si="9"/>
        <v>2.2727272727272707E-2</v>
      </c>
      <c r="O93" s="4">
        <f t="shared" si="10"/>
        <v>-1.7369774278724881E-2</v>
      </c>
      <c r="P93" s="4">
        <f t="shared" si="10"/>
        <v>2.0369071386175941E-2</v>
      </c>
      <c r="Q93" s="4">
        <f t="shared" si="10"/>
        <v>2.3219320519371589E-2</v>
      </c>
      <c r="R93" s="4">
        <f t="shared" si="11"/>
        <v>3.5139530970040855E-3</v>
      </c>
      <c r="S93" s="4">
        <f t="shared" si="12"/>
        <v>-6.6062702930147488E-3</v>
      </c>
      <c r="T93" s="4">
        <f t="shared" si="13"/>
        <v>-4.7345121920618349E-2</v>
      </c>
      <c r="U93" s="4">
        <f t="shared" si="14"/>
        <v>-1.0802429517419943E-2</v>
      </c>
      <c r="V93" s="4">
        <f t="shared" si="15"/>
        <v>3.8635186439865965E-3</v>
      </c>
      <c r="W93" s="4">
        <f t="shared" si="16"/>
        <v>-1.1428616630098865E-2</v>
      </c>
    </row>
    <row r="94" spans="1:23" x14ac:dyDescent="0.25">
      <c r="A94" s="1">
        <v>44733</v>
      </c>
      <c r="B94">
        <v>4683.5698240000002</v>
      </c>
      <c r="C94">
        <v>8.8182159999999996</v>
      </c>
      <c r="D94">
        <v>7.3551330000000004</v>
      </c>
      <c r="E94">
        <v>7.4132000000000003E-2</v>
      </c>
      <c r="F94">
        <v>14.820760999999999</v>
      </c>
      <c r="G94">
        <v>18.307870999999999</v>
      </c>
      <c r="H94">
        <v>7.7951699999999997</v>
      </c>
      <c r="I94">
        <v>44.195683000000002</v>
      </c>
      <c r="J94">
        <v>4.3236569999999999</v>
      </c>
      <c r="K94">
        <v>29.581066</v>
      </c>
      <c r="L94">
        <v>23.260908000000001</v>
      </c>
      <c r="M94" s="4">
        <f t="shared" si="9"/>
        <v>1.5333283268440301E-2</v>
      </c>
      <c r="N94" s="4">
        <f t="shared" si="9"/>
        <v>9.8359829713163816E-3</v>
      </c>
      <c r="O94" s="4">
        <f t="shared" si="10"/>
        <v>2.9374211976157083E-2</v>
      </c>
      <c r="P94" s="4">
        <f t="shared" si="10"/>
        <v>2.7323143514135229E-3</v>
      </c>
      <c r="Q94" s="4">
        <f t="shared" si="10"/>
        <v>-3.8322315486757907E-2</v>
      </c>
      <c r="R94" s="4">
        <f t="shared" si="11"/>
        <v>-1.0029874084456214E-3</v>
      </c>
      <c r="S94" s="4">
        <f t="shared" si="12"/>
        <v>7.3830837930707549E-2</v>
      </c>
      <c r="T94" s="4">
        <f t="shared" si="13"/>
        <v>9.8302640824703413E-3</v>
      </c>
      <c r="U94" s="4">
        <f t="shared" si="14"/>
        <v>1.3744549870153389E-2</v>
      </c>
      <c r="V94" s="4">
        <f t="shared" si="15"/>
        <v>3.5333308436762856E-2</v>
      </c>
      <c r="W94" s="4">
        <f t="shared" si="16"/>
        <v>3.4628362299720994E-2</v>
      </c>
    </row>
    <row r="95" spans="1:23" x14ac:dyDescent="0.25">
      <c r="A95" s="1">
        <v>44734</v>
      </c>
      <c r="B95">
        <v>4612.8398440000001</v>
      </c>
      <c r="C95">
        <v>8.7323249999999994</v>
      </c>
      <c r="D95">
        <v>7.1452470000000003</v>
      </c>
      <c r="E95">
        <v>7.3929999999999996E-2</v>
      </c>
      <c r="F95">
        <v>15.41136</v>
      </c>
      <c r="G95">
        <v>18.326252</v>
      </c>
      <c r="H95">
        <v>7.2592160000000003</v>
      </c>
      <c r="I95">
        <v>43.765456999999998</v>
      </c>
      <c r="J95">
        <v>4.2650360000000003</v>
      </c>
      <c r="K95">
        <v>28.571539000000001</v>
      </c>
      <c r="L95">
        <v>22.482379999999999</v>
      </c>
      <c r="M95" s="4">
        <f t="shared" si="9"/>
        <v>3.0311821311081788E-2</v>
      </c>
      <c r="N95" s="4">
        <f t="shared" si="9"/>
        <v>8.8203802783184404E-3</v>
      </c>
      <c r="O95" s="4">
        <f t="shared" si="10"/>
        <v>9.0207146415777206E-3</v>
      </c>
      <c r="P95" s="4">
        <f t="shared" si="10"/>
        <v>1.5675445465660909E-2</v>
      </c>
      <c r="Q95" s="4">
        <f t="shared" si="10"/>
        <v>3.8545926802922681E-2</v>
      </c>
      <c r="R95" s="4">
        <f t="shared" si="11"/>
        <v>-3.0000440118886917E-3</v>
      </c>
      <c r="S95" s="4">
        <f t="shared" si="12"/>
        <v>2.3393408972999907E-2</v>
      </c>
      <c r="T95" s="4">
        <f t="shared" si="13"/>
        <v>7.7775151534613451E-2</v>
      </c>
      <c r="U95" s="4">
        <f t="shared" si="14"/>
        <v>5.5055976601741108E-3</v>
      </c>
      <c r="V95" s="4">
        <f t="shared" si="15"/>
        <v>2.8453918909282949E-2</v>
      </c>
      <c r="W95" s="4">
        <f t="shared" si="16"/>
        <v>3.9052307140556186E-2</v>
      </c>
    </row>
    <row r="96" spans="1:23" x14ac:dyDescent="0.25">
      <c r="A96" s="1">
        <v>44735</v>
      </c>
      <c r="B96">
        <v>4477.1298829999996</v>
      </c>
      <c r="C96">
        <v>8.6559760000000008</v>
      </c>
      <c r="D96">
        <v>7.0813680000000003</v>
      </c>
      <c r="E96">
        <v>7.2789000000000006E-2</v>
      </c>
      <c r="F96">
        <v>14.839363000000001</v>
      </c>
      <c r="G96">
        <v>18.381397</v>
      </c>
      <c r="H96">
        <v>7.09328</v>
      </c>
      <c r="I96">
        <v>40.607224000000002</v>
      </c>
      <c r="J96">
        <v>4.2416830000000001</v>
      </c>
      <c r="K96">
        <v>27.781058999999999</v>
      </c>
      <c r="L96">
        <v>21.63739</v>
      </c>
      <c r="M96" s="4">
        <f t="shared" si="9"/>
        <v>-3.2532562163820611E-2</v>
      </c>
      <c r="N96" s="4">
        <f t="shared" si="9"/>
        <v>-1.9459523140638035E-2</v>
      </c>
      <c r="O96" s="4">
        <f t="shared" si="10"/>
        <v>7.7922299713304444E-3</v>
      </c>
      <c r="P96" s="4">
        <f t="shared" si="10"/>
        <v>1.0733725838702579E-2</v>
      </c>
      <c r="Q96" s="4">
        <f t="shared" si="10"/>
        <v>5.0016543423585746E-2</v>
      </c>
      <c r="R96" s="4">
        <f t="shared" si="11"/>
        <v>-3.1476772910894124E-2</v>
      </c>
      <c r="S96" s="4">
        <f t="shared" si="12"/>
        <v>-3.9018143726755383E-2</v>
      </c>
      <c r="T96" s="4">
        <f t="shared" si="13"/>
        <v>-7.1124985943542995E-2</v>
      </c>
      <c r="U96" s="4">
        <f t="shared" si="14"/>
        <v>-3.1345242754985181E-2</v>
      </c>
      <c r="V96" s="4">
        <f t="shared" si="15"/>
        <v>-2.1140894667077359E-2</v>
      </c>
      <c r="W96" s="4">
        <f t="shared" si="16"/>
        <v>-5.0812195235686919E-2</v>
      </c>
    </row>
    <row r="97" spans="1:23" x14ac:dyDescent="0.25">
      <c r="A97" s="1">
        <v>44739</v>
      </c>
      <c r="B97">
        <v>4627.6801759999998</v>
      </c>
      <c r="C97">
        <v>8.8277599999999996</v>
      </c>
      <c r="D97">
        <v>7.0266149999999996</v>
      </c>
      <c r="E97">
        <v>7.2015999999999997E-2</v>
      </c>
      <c r="F97">
        <v>14.132504000000001</v>
      </c>
      <c r="G97">
        <v>18.978788000000002</v>
      </c>
      <c r="H97">
        <v>7.381284</v>
      </c>
      <c r="I97">
        <v>43.716563999999998</v>
      </c>
      <c r="J97">
        <v>4.3789420000000003</v>
      </c>
      <c r="K97">
        <v>28.381060000000002</v>
      </c>
      <c r="L97">
        <v>22.795688999999999</v>
      </c>
      <c r="M97" s="4">
        <f t="shared" si="9"/>
        <v>-6.216879530341668E-3</v>
      </c>
      <c r="N97" s="4">
        <f t="shared" si="9"/>
        <v>4.343094202616582E-3</v>
      </c>
      <c r="O97" s="4">
        <f t="shared" si="10"/>
        <v>-1.2820548843965995E-2</v>
      </c>
      <c r="P97" s="4">
        <f t="shared" si="10"/>
        <v>-2.8543678843144793E-2</v>
      </c>
      <c r="Q97" s="4">
        <f t="shared" si="10"/>
        <v>-2.6897221096049639E-2</v>
      </c>
      <c r="R97" s="4">
        <f t="shared" si="11"/>
        <v>-9.5924849465924833E-3</v>
      </c>
      <c r="S97" s="4">
        <f t="shared" si="12"/>
        <v>-1.0326280695647228E-3</v>
      </c>
      <c r="T97" s="4">
        <f t="shared" si="13"/>
        <v>-7.9876657669550877E-3</v>
      </c>
      <c r="U97" s="4">
        <f t="shared" si="14"/>
        <v>-3.470716921172845E-3</v>
      </c>
      <c r="V97" s="4">
        <f t="shared" si="15"/>
        <v>-6.3355471826638254E-3</v>
      </c>
      <c r="W97" s="4">
        <f t="shared" si="16"/>
        <v>-1.3963063510970875E-2</v>
      </c>
    </row>
    <row r="98" spans="1:23" x14ac:dyDescent="0.25">
      <c r="A98" s="1">
        <v>44740</v>
      </c>
      <c r="B98">
        <v>4656.6298829999996</v>
      </c>
      <c r="C98">
        <v>8.7895859999999999</v>
      </c>
      <c r="D98">
        <v>7.1178699999999999</v>
      </c>
      <c r="E98">
        <v>7.4132000000000003E-2</v>
      </c>
      <c r="F98">
        <v>14.523135999999999</v>
      </c>
      <c r="G98">
        <v>19.162604999999999</v>
      </c>
      <c r="H98">
        <v>7.3889139999999998</v>
      </c>
      <c r="I98">
        <v>44.068568999999997</v>
      </c>
      <c r="J98">
        <v>4.3941929999999996</v>
      </c>
      <c r="K98">
        <v>28.562016</v>
      </c>
      <c r="L98">
        <v>23.118493999999998</v>
      </c>
      <c r="M98" s="4">
        <f t="shared" si="9"/>
        <v>1.4299758066032675E-2</v>
      </c>
      <c r="N98" s="4">
        <f t="shared" si="9"/>
        <v>9.8684535554673936E-3</v>
      </c>
      <c r="O98" s="4">
        <f t="shared" si="10"/>
        <v>-1.8867908923695831E-2</v>
      </c>
      <c r="P98" s="4">
        <f t="shared" si="10"/>
        <v>2.6503087872829401E-2</v>
      </c>
      <c r="Q98" s="4">
        <f t="shared" si="10"/>
        <v>2.3934374056792995E-2</v>
      </c>
      <c r="R98" s="4">
        <f t="shared" si="11"/>
        <v>9.685391922813924E-3</v>
      </c>
      <c r="S98" s="4">
        <f t="shared" si="12"/>
        <v>3.3066770389324818E-2</v>
      </c>
      <c r="T98" s="4">
        <f t="shared" si="13"/>
        <v>2.5017114410789576E-2</v>
      </c>
      <c r="U98" s="4">
        <f t="shared" si="14"/>
        <v>1.6201856834223927E-2</v>
      </c>
      <c r="V98" s="4">
        <f t="shared" si="15"/>
        <v>0</v>
      </c>
      <c r="W98" s="4">
        <f t="shared" si="16"/>
        <v>1.4160791542646489E-2</v>
      </c>
    </row>
    <row r="99" spans="1:23" x14ac:dyDescent="0.25">
      <c r="A99" s="1">
        <v>44741</v>
      </c>
      <c r="B99">
        <v>4590.9799800000001</v>
      </c>
      <c r="C99">
        <v>8.7036940000000005</v>
      </c>
      <c r="D99">
        <v>7.2547519999999999</v>
      </c>
      <c r="E99">
        <v>7.2218000000000004E-2</v>
      </c>
      <c r="F99">
        <v>14.183659</v>
      </c>
      <c r="G99">
        <v>18.978788000000002</v>
      </c>
      <c r="H99">
        <v>7.1524070000000002</v>
      </c>
      <c r="I99">
        <v>42.993008000000003</v>
      </c>
      <c r="J99">
        <v>4.3241339999999999</v>
      </c>
      <c r="K99">
        <v>28.562016</v>
      </c>
      <c r="L99">
        <v>22.795688999999999</v>
      </c>
      <c r="M99" s="4">
        <f t="shared" si="9"/>
        <v>2.1379903245792864E-2</v>
      </c>
      <c r="N99" s="4">
        <f t="shared" si="9"/>
        <v>-2.1881782885525558E-3</v>
      </c>
      <c r="O99" s="4">
        <f t="shared" si="10"/>
        <v>3.2467553722524967E-2</v>
      </c>
      <c r="P99" s="4">
        <f t="shared" si="10"/>
        <v>5.183588458905608E-2</v>
      </c>
      <c r="Q99" s="4">
        <f t="shared" si="10"/>
        <v>6.5316177204554737E-2</v>
      </c>
      <c r="R99" s="4">
        <f t="shared" si="11"/>
        <v>0</v>
      </c>
      <c r="S99" s="4">
        <f t="shared" si="12"/>
        <v>4.8951049976622807E-2</v>
      </c>
      <c r="T99" s="4">
        <f t="shared" si="13"/>
        <v>4.0956408091154417E-2</v>
      </c>
      <c r="U99" s="4">
        <f t="shared" si="14"/>
        <v>2.1849509201323114E-2</v>
      </c>
      <c r="V99" s="4">
        <f t="shared" si="15"/>
        <v>3.3781455856068954E-2</v>
      </c>
      <c r="W99" s="4">
        <f t="shared" si="16"/>
        <v>2.5630078672605361E-2</v>
      </c>
    </row>
    <row r="100" spans="1:23" x14ac:dyDescent="0.25">
      <c r="A100" s="1">
        <v>44742</v>
      </c>
      <c r="B100">
        <v>4494.8798829999996</v>
      </c>
      <c r="C100">
        <v>8.7227809999999995</v>
      </c>
      <c r="D100">
        <v>7.0266149999999996</v>
      </c>
      <c r="E100">
        <v>6.8658999999999998E-2</v>
      </c>
      <c r="F100">
        <v>13.314037000000001</v>
      </c>
      <c r="G100">
        <v>18.978788000000002</v>
      </c>
      <c r="H100">
        <v>6.8186280000000004</v>
      </c>
      <c r="I100">
        <v>41.301448999999998</v>
      </c>
      <c r="J100">
        <v>4.2316739999999999</v>
      </c>
      <c r="K100">
        <v>27.628679000000002</v>
      </c>
      <c r="L100">
        <v>22.226033999999999</v>
      </c>
      <c r="M100" s="4">
        <f t="shared" si="9"/>
        <v>-8.8380224620906445E-3</v>
      </c>
      <c r="N100" s="4">
        <f t="shared" si="9"/>
        <v>7.717789420857768E-3</v>
      </c>
      <c r="O100" s="4">
        <f t="shared" si="10"/>
        <v>-1.2820548843965995E-2</v>
      </c>
      <c r="P100" s="4">
        <f t="shared" si="10"/>
        <v>-2.4328203379233027E-2</v>
      </c>
      <c r="Q100" s="4">
        <f t="shared" si="10"/>
        <v>-5.1358593364074334E-2</v>
      </c>
      <c r="R100" s="4">
        <f t="shared" si="11"/>
        <v>-9.5924849465924833E-3</v>
      </c>
      <c r="S100" s="4">
        <f t="shared" si="12"/>
        <v>1.8808722159783242E-2</v>
      </c>
      <c r="T100" s="4">
        <f t="shared" si="13"/>
        <v>-1.1235916052517281E-2</v>
      </c>
      <c r="U100" s="4">
        <f t="shared" si="14"/>
        <v>-3.3674268224096471E-3</v>
      </c>
      <c r="V100" s="4">
        <f t="shared" si="15"/>
        <v>-2.4071193191490536E-3</v>
      </c>
      <c r="W100" s="4">
        <f t="shared" si="16"/>
        <v>-1.2236322698246704E-2</v>
      </c>
    </row>
    <row r="101" spans="1:23" x14ac:dyDescent="0.25">
      <c r="A101" s="1">
        <v>44743</v>
      </c>
      <c r="B101">
        <v>4534.9599609999996</v>
      </c>
      <c r="C101">
        <v>8.6559760000000008</v>
      </c>
      <c r="D101">
        <v>7.1178699999999999</v>
      </c>
      <c r="E101">
        <v>7.0371000000000003E-2</v>
      </c>
      <c r="F101">
        <v>14.034846999999999</v>
      </c>
      <c r="G101">
        <v>19.162604999999999</v>
      </c>
      <c r="H101">
        <v>6.6927459999999996</v>
      </c>
      <c r="I101">
        <v>41.770781999999997</v>
      </c>
      <c r="J101">
        <v>4.2459720000000001</v>
      </c>
      <c r="K101">
        <v>27.695345</v>
      </c>
      <c r="L101">
        <v>22.501367999999999</v>
      </c>
      <c r="M101" s="4">
        <f t="shared" si="9"/>
        <v>-2.4724458928058191E-3</v>
      </c>
      <c r="N101" s="4">
        <f t="shared" si="9"/>
        <v>1.3407787479742916E-2</v>
      </c>
      <c r="O101" s="4">
        <f t="shared" si="10"/>
        <v>0</v>
      </c>
      <c r="P101" s="4">
        <f t="shared" si="10"/>
        <v>-1.1323882714922018E-2</v>
      </c>
      <c r="Q101" s="4">
        <f t="shared" si="10"/>
        <v>0.10792953854448739</v>
      </c>
      <c r="R101" s="4">
        <f t="shared" si="11"/>
        <v>-9.5011386603970349E-3</v>
      </c>
      <c r="S101" s="4">
        <f t="shared" si="12"/>
        <v>-2.3106958886466189E-2</v>
      </c>
      <c r="T101" s="4">
        <f t="shared" si="13"/>
        <v>-2.1081529750244909E-2</v>
      </c>
      <c r="U101" s="4">
        <f t="shared" si="14"/>
        <v>1.4611617544979527E-3</v>
      </c>
      <c r="V101" s="4">
        <f t="shared" si="15"/>
        <v>-2.2521018712762797E-2</v>
      </c>
      <c r="W101" s="4">
        <f t="shared" si="16"/>
        <v>-1.0025108196577315E-2</v>
      </c>
    </row>
    <row r="102" spans="1:23" x14ac:dyDescent="0.25">
      <c r="A102" s="1">
        <v>44746</v>
      </c>
      <c r="B102">
        <v>4546.2001950000003</v>
      </c>
      <c r="C102">
        <v>8.5414539999999999</v>
      </c>
      <c r="D102">
        <v>7.1178699999999999</v>
      </c>
      <c r="E102">
        <v>7.1177000000000004E-2</v>
      </c>
      <c r="F102">
        <v>12.667635000000001</v>
      </c>
      <c r="G102">
        <v>19.346418</v>
      </c>
      <c r="H102">
        <v>6.8510530000000003</v>
      </c>
      <c r="I102">
        <v>42.670338000000001</v>
      </c>
      <c r="J102">
        <v>4.2397770000000001</v>
      </c>
      <c r="K102">
        <v>28.333442999999999</v>
      </c>
      <c r="L102">
        <v>22.729230999999999</v>
      </c>
      <c r="M102" s="4">
        <f t="shared" si="9"/>
        <v>2.0354669558140914E-2</v>
      </c>
      <c r="N102" s="4">
        <f t="shared" si="9"/>
        <v>4.489326471667443E-3</v>
      </c>
      <c r="O102" s="4">
        <f t="shared" si="10"/>
        <v>3.3112603928192819E-2</v>
      </c>
      <c r="P102" s="4">
        <f t="shared" si="10"/>
        <v>3.0624656106107651E-2</v>
      </c>
      <c r="Q102" s="4">
        <f t="shared" si="10"/>
        <v>3.969469783925561E-2</v>
      </c>
      <c r="R102" s="4">
        <f t="shared" si="11"/>
        <v>-1.8648023850608819E-2</v>
      </c>
      <c r="S102" s="4">
        <f t="shared" si="12"/>
        <v>4.8147237003671517E-2</v>
      </c>
      <c r="T102" s="4">
        <f t="shared" si="13"/>
        <v>5.5298045557279352E-3</v>
      </c>
      <c r="U102" s="4">
        <f t="shared" si="14"/>
        <v>2.1120483381473765E-2</v>
      </c>
      <c r="V102" s="4">
        <f t="shared" si="15"/>
        <v>2.2336732313180008E-2</v>
      </c>
      <c r="W102" s="4">
        <f t="shared" si="16"/>
        <v>1.7424601272893581E-2</v>
      </c>
    </row>
    <row r="103" spans="1:23" x14ac:dyDescent="0.25">
      <c r="A103" s="1">
        <v>44747</v>
      </c>
      <c r="B103">
        <v>4455.5097660000001</v>
      </c>
      <c r="C103">
        <v>8.5032800000000002</v>
      </c>
      <c r="D103">
        <v>6.8897329999999997</v>
      </c>
      <c r="E103">
        <v>6.9061999999999998E-2</v>
      </c>
      <c r="F103">
        <v>12.183994999999999</v>
      </c>
      <c r="G103">
        <v>19.714046</v>
      </c>
      <c r="H103">
        <v>6.536346</v>
      </c>
      <c r="I103">
        <v>42.435676999999998</v>
      </c>
      <c r="J103">
        <v>4.1520830000000002</v>
      </c>
      <c r="K103">
        <v>27.714393999999999</v>
      </c>
      <c r="L103">
        <v>22.339966</v>
      </c>
      <c r="M103" s="4">
        <f t="shared" si="9"/>
        <v>-6.5066203871148032E-3</v>
      </c>
      <c r="N103" s="4">
        <f t="shared" si="9"/>
        <v>4.5095714099741002E-3</v>
      </c>
      <c r="O103" s="4">
        <f t="shared" si="10"/>
        <v>-1.3228274414653907E-3</v>
      </c>
      <c r="P103" s="4">
        <f t="shared" si="10"/>
        <v>3.4143577375158607E-3</v>
      </c>
      <c r="Q103" s="4">
        <f t="shared" si="10"/>
        <v>2.06465728325953E-2</v>
      </c>
      <c r="R103" s="4">
        <f t="shared" si="11"/>
        <v>9.4118190409524516E-3</v>
      </c>
      <c r="S103" s="4">
        <f t="shared" si="12"/>
        <v>-2.4758134617433369E-2</v>
      </c>
      <c r="T103" s="4">
        <f t="shared" si="13"/>
        <v>5.3278326854142577E-3</v>
      </c>
      <c r="U103" s="4">
        <f t="shared" si="14"/>
        <v>-1.6371216735379446E-2</v>
      </c>
      <c r="V103" s="4">
        <f t="shared" si="15"/>
        <v>-3.7657865596564255E-3</v>
      </c>
      <c r="W103" s="4">
        <f t="shared" si="16"/>
        <v>-4.2318872000722818E-3</v>
      </c>
    </row>
    <row r="104" spans="1:23" x14ac:dyDescent="0.25">
      <c r="A104" s="1">
        <v>44748</v>
      </c>
      <c r="B104">
        <v>4484.6899409999996</v>
      </c>
      <c r="C104">
        <v>8.4651060000000005</v>
      </c>
      <c r="D104">
        <v>6.8988589999999999</v>
      </c>
      <c r="E104">
        <v>6.8826999999999999E-2</v>
      </c>
      <c r="F104">
        <v>11.937526</v>
      </c>
      <c r="G104">
        <v>19.530231000000001</v>
      </c>
      <c r="H104">
        <v>6.7022820000000003</v>
      </c>
      <c r="I104">
        <v>42.210785000000001</v>
      </c>
      <c r="J104">
        <v>4.2211889999999999</v>
      </c>
      <c r="K104">
        <v>27.819154999999999</v>
      </c>
      <c r="L104">
        <v>22.434908</v>
      </c>
      <c r="M104" s="4">
        <f t="shared" si="9"/>
        <v>-2.4530941740968037E-2</v>
      </c>
      <c r="N104" s="4">
        <f t="shared" si="9"/>
        <v>-1.1148244018689968E-2</v>
      </c>
      <c r="O104" s="4">
        <f t="shared" si="10"/>
        <v>-3.0769176734051107E-2</v>
      </c>
      <c r="P104" s="4">
        <f t="shared" si="10"/>
        <v>-1.9431272748364758E-3</v>
      </c>
      <c r="Q104" s="4">
        <f t="shared" si="10"/>
        <v>-1.6475067501589225E-2</v>
      </c>
      <c r="R104" s="4">
        <f t="shared" si="11"/>
        <v>-4.6839944733858552E-3</v>
      </c>
      <c r="S104" s="4">
        <f t="shared" si="12"/>
        <v>-4.7954537835609545E-2</v>
      </c>
      <c r="T104" s="4">
        <f t="shared" si="13"/>
        <v>-2.3965603716917694E-2</v>
      </c>
      <c r="U104" s="4">
        <f t="shared" si="14"/>
        <v>-2.7665042495423675E-2</v>
      </c>
      <c r="V104" s="4">
        <f t="shared" si="15"/>
        <v>-2.4056099043563539E-2</v>
      </c>
      <c r="W104" s="4">
        <f t="shared" si="16"/>
        <v>-3.3537818356575988E-2</v>
      </c>
    </row>
    <row r="105" spans="1:23" x14ac:dyDescent="0.25">
      <c r="A105" s="1">
        <v>44749</v>
      </c>
      <c r="B105">
        <v>4597.4702150000003</v>
      </c>
      <c r="C105">
        <v>8.5605410000000006</v>
      </c>
      <c r="D105">
        <v>7.1178699999999999</v>
      </c>
      <c r="E105">
        <v>6.8960999999999995E-2</v>
      </c>
      <c r="F105">
        <v>12.137492</v>
      </c>
      <c r="G105">
        <v>19.622140999999999</v>
      </c>
      <c r="H105">
        <v>7.0398759999999996</v>
      </c>
      <c r="I105">
        <v>43.247230999999999</v>
      </c>
      <c r="J105">
        <v>4.341291</v>
      </c>
      <c r="K105">
        <v>28.504871000000001</v>
      </c>
      <c r="L105">
        <v>23.213436000000002</v>
      </c>
      <c r="M105" s="4">
        <f t="shared" si="9"/>
        <v>-5.6686362383036037E-3</v>
      </c>
      <c r="N105" s="4">
        <f t="shared" si="9"/>
        <v>-6.6446169632793373E-3</v>
      </c>
      <c r="O105" s="4">
        <f t="shared" si="10"/>
        <v>-8.8944919816178469E-3</v>
      </c>
      <c r="P105" s="4">
        <f t="shared" si="10"/>
        <v>-2.422424405359902E-2</v>
      </c>
      <c r="Q105" s="4">
        <f t="shared" si="10"/>
        <v>2.304124251935713E-3</v>
      </c>
      <c r="R105" s="4">
        <f t="shared" si="11"/>
        <v>-6.976770548909883E-3</v>
      </c>
      <c r="S105" s="4">
        <f t="shared" si="12"/>
        <v>-1.4155933870543924E-2</v>
      </c>
      <c r="T105" s="4">
        <f t="shared" si="13"/>
        <v>6.7860765942295842E-4</v>
      </c>
      <c r="U105" s="4">
        <f t="shared" si="14"/>
        <v>-1.0429118103214896E-2</v>
      </c>
      <c r="V105" s="4">
        <f t="shared" si="15"/>
        <v>1.0124859864696134E-2</v>
      </c>
      <c r="W105" s="4">
        <f t="shared" si="16"/>
        <v>-1.6332342153342339E-3</v>
      </c>
    </row>
    <row r="106" spans="1:23" x14ac:dyDescent="0.25">
      <c r="A106" s="1">
        <v>44750</v>
      </c>
      <c r="B106">
        <v>4623.6801759999998</v>
      </c>
      <c r="C106">
        <v>8.6178030000000003</v>
      </c>
      <c r="D106">
        <v>7.1817479999999998</v>
      </c>
      <c r="E106">
        <v>7.0673E-2</v>
      </c>
      <c r="F106">
        <v>12.109590000000001</v>
      </c>
      <c r="G106">
        <v>19.760002</v>
      </c>
      <c r="H106">
        <v>7.1409630000000002</v>
      </c>
      <c r="I106">
        <v>43.217903</v>
      </c>
      <c r="J106">
        <v>4.3870440000000004</v>
      </c>
      <c r="K106">
        <v>28.219156000000002</v>
      </c>
      <c r="L106">
        <v>23.251411000000001</v>
      </c>
      <c r="M106" s="4">
        <f t="shared" si="9"/>
        <v>1.5171562870037958E-2</v>
      </c>
      <c r="N106" s="4">
        <f t="shared" si="9"/>
        <v>2.14932158877712E-2</v>
      </c>
      <c r="O106" s="4">
        <f t="shared" si="10"/>
        <v>2.875810701866266E-2</v>
      </c>
      <c r="P106" s="4">
        <f t="shared" si="10"/>
        <v>2.6328783038048087E-2</v>
      </c>
      <c r="Q106" s="4">
        <f t="shared" si="10"/>
        <v>4.9576805144712743E-2</v>
      </c>
      <c r="R106" s="4">
        <f t="shared" si="11"/>
        <v>0</v>
      </c>
      <c r="S106" s="4">
        <f t="shared" si="12"/>
        <v>4.9915885731626641E-2</v>
      </c>
      <c r="T106" s="4">
        <f t="shared" si="13"/>
        <v>6.3753783463429414E-3</v>
      </c>
      <c r="U106" s="4">
        <f t="shared" si="14"/>
        <v>3.2606608789564895E-4</v>
      </c>
      <c r="V106" s="4">
        <f t="shared" si="15"/>
        <v>2.2782194300939418E-2</v>
      </c>
      <c r="W106" s="4">
        <f t="shared" si="16"/>
        <v>2.1693745913198503E-2</v>
      </c>
    </row>
    <row r="107" spans="1:23" x14ac:dyDescent="0.25">
      <c r="A107" s="1">
        <v>44753</v>
      </c>
      <c r="B107">
        <v>4554.580078</v>
      </c>
      <c r="C107">
        <v>8.4364760000000008</v>
      </c>
      <c r="D107">
        <v>6.980988</v>
      </c>
      <c r="E107">
        <v>6.8860000000000005E-2</v>
      </c>
      <c r="F107">
        <v>11.537592999999999</v>
      </c>
      <c r="G107">
        <v>19.760002</v>
      </c>
      <c r="H107">
        <v>6.8014619999999999</v>
      </c>
      <c r="I107">
        <v>42.944118000000003</v>
      </c>
      <c r="J107">
        <v>4.3856140000000003</v>
      </c>
      <c r="K107">
        <v>27.590582000000001</v>
      </c>
      <c r="L107">
        <v>22.757711</v>
      </c>
      <c r="M107" s="4">
        <f t="shared" si="9"/>
        <v>-6.5610267667569611E-3</v>
      </c>
      <c r="N107" s="4">
        <f t="shared" si="9"/>
        <v>0</v>
      </c>
      <c r="O107" s="4">
        <f t="shared" si="10"/>
        <v>1.4588827033890084E-2</v>
      </c>
      <c r="P107" s="4">
        <f t="shared" si="10"/>
        <v>-8.2239921648831205E-3</v>
      </c>
      <c r="Q107" s="4">
        <f t="shared" si="10"/>
        <v>4.0327957948615989E-4</v>
      </c>
      <c r="R107" s="4">
        <f t="shared" si="11"/>
        <v>-6.9282827399530511E-3</v>
      </c>
      <c r="S107" s="4">
        <f t="shared" si="12"/>
        <v>1.5665057880464017E-2</v>
      </c>
      <c r="T107" s="4">
        <f t="shared" si="13"/>
        <v>5.4944275335386816E-3</v>
      </c>
      <c r="U107" s="4">
        <f t="shared" si="14"/>
        <v>-4.7587882132734682E-3</v>
      </c>
      <c r="V107" s="4">
        <f t="shared" si="15"/>
        <v>-1.2947183807037077E-2</v>
      </c>
      <c r="W107" s="4">
        <f t="shared" si="16"/>
        <v>-1.5201350781139378E-2</v>
      </c>
    </row>
    <row r="108" spans="1:23" x14ac:dyDescent="0.25">
      <c r="A108" s="1">
        <v>44754</v>
      </c>
      <c r="B108">
        <v>4584.6601559999999</v>
      </c>
      <c r="C108">
        <v>8.4364760000000008</v>
      </c>
      <c r="D108">
        <v>6.8806079999999996</v>
      </c>
      <c r="E108">
        <v>6.9431000000000007E-2</v>
      </c>
      <c r="F108">
        <v>11.532942</v>
      </c>
      <c r="G108">
        <v>19.897860000000001</v>
      </c>
      <c r="H108">
        <v>6.6965599999999998</v>
      </c>
      <c r="I108">
        <v>42.709454000000001</v>
      </c>
      <c r="J108">
        <v>4.4065839999999996</v>
      </c>
      <c r="K108">
        <v>27.952487999999999</v>
      </c>
      <c r="L108">
        <v>23.108999000000001</v>
      </c>
      <c r="M108" s="4">
        <f t="shared" si="9"/>
        <v>1.3401850536225002E-2</v>
      </c>
      <c r="N108" s="4">
        <f t="shared" si="9"/>
        <v>-6.7414386319517572E-3</v>
      </c>
      <c r="O108" s="4">
        <f t="shared" si="10"/>
        <v>-1.6948987875537336E-2</v>
      </c>
      <c r="P108" s="4">
        <f t="shared" si="10"/>
        <v>6.8154464117400337E-3</v>
      </c>
      <c r="Q108" s="4">
        <f t="shared" si="10"/>
        <v>4.3331824974122579E-2</v>
      </c>
      <c r="R108" s="4">
        <f t="shared" si="11"/>
        <v>-1.5909168242040805E-2</v>
      </c>
      <c r="S108" s="4">
        <f t="shared" si="12"/>
        <v>2.6608176152212337E-2</v>
      </c>
      <c r="T108" s="4">
        <f t="shared" si="13"/>
        <v>9.9421814306408507E-3</v>
      </c>
      <c r="U108" s="4">
        <f t="shared" si="14"/>
        <v>1.5932299829532148E-2</v>
      </c>
      <c r="V108" s="4">
        <f t="shared" si="15"/>
        <v>2.3004499904204723E-2</v>
      </c>
      <c r="W108" s="4">
        <f t="shared" si="16"/>
        <v>3.751071227948688E-2</v>
      </c>
    </row>
    <row r="109" spans="1:23" x14ac:dyDescent="0.25">
      <c r="A109" s="1">
        <v>44755</v>
      </c>
      <c r="B109">
        <v>4524.0297849999997</v>
      </c>
      <c r="C109">
        <v>8.4937360000000002</v>
      </c>
      <c r="D109">
        <v>6.9992380000000001</v>
      </c>
      <c r="E109">
        <v>6.8960999999999995E-2</v>
      </c>
      <c r="F109">
        <v>11.053953999999999</v>
      </c>
      <c r="G109">
        <v>20.219536000000002</v>
      </c>
      <c r="H109">
        <v>6.5229949999999999</v>
      </c>
      <c r="I109">
        <v>42.289009</v>
      </c>
      <c r="J109">
        <v>4.3374779999999999</v>
      </c>
      <c r="K109">
        <v>27.323915</v>
      </c>
      <c r="L109">
        <v>22.273503999999999</v>
      </c>
      <c r="M109" s="4">
        <f t="shared" si="9"/>
        <v>1.4031287396752523E-2</v>
      </c>
      <c r="N109" s="4">
        <f t="shared" si="9"/>
        <v>-2.242264141723127E-3</v>
      </c>
      <c r="O109" s="4">
        <f t="shared" si="10"/>
        <v>2.8149992273346136E-2</v>
      </c>
      <c r="P109" s="4">
        <f t="shared" si="10"/>
        <v>-3.5227129646469679E-2</v>
      </c>
      <c r="Q109" s="4">
        <f t="shared" si="10"/>
        <v>4.1174016656781331E-2</v>
      </c>
      <c r="R109" s="4">
        <f t="shared" si="11"/>
        <v>2.5641108882469066E-2</v>
      </c>
      <c r="S109" s="4">
        <f t="shared" si="12"/>
        <v>1.1834266290846607E-2</v>
      </c>
      <c r="T109" s="4">
        <f t="shared" si="13"/>
        <v>2.1251537467551707E-2</v>
      </c>
      <c r="U109" s="4">
        <f t="shared" si="14"/>
        <v>2.7200891200461097E-2</v>
      </c>
      <c r="V109" s="4">
        <f t="shared" si="15"/>
        <v>2.4457713085510591E-3</v>
      </c>
      <c r="W109" s="4">
        <f t="shared" si="16"/>
        <v>-1.7022176428165281E-3</v>
      </c>
    </row>
    <row r="110" spans="1:23" x14ac:dyDescent="0.25">
      <c r="A110" s="1">
        <v>44756</v>
      </c>
      <c r="B110">
        <v>4461.4301759999998</v>
      </c>
      <c r="C110">
        <v>8.5128240000000002</v>
      </c>
      <c r="D110">
        <v>6.8076040000000004</v>
      </c>
      <c r="E110">
        <v>7.1479000000000001E-2</v>
      </c>
      <c r="F110">
        <v>10.616816999999999</v>
      </c>
      <c r="G110">
        <v>19.714046</v>
      </c>
      <c r="H110">
        <v>6.4467030000000003</v>
      </c>
      <c r="I110">
        <v>41.409004000000003</v>
      </c>
      <c r="J110">
        <v>4.2226189999999999</v>
      </c>
      <c r="K110">
        <v>27.257249999999999</v>
      </c>
      <c r="L110">
        <v>22.311482999999999</v>
      </c>
      <c r="M110" s="4">
        <f t="shared" si="9"/>
        <v>-1.5779928703411716E-2</v>
      </c>
      <c r="N110" s="4">
        <f t="shared" si="9"/>
        <v>2.1764158561679681E-2</v>
      </c>
      <c r="O110" s="4">
        <f t="shared" si="10"/>
        <v>0</v>
      </c>
      <c r="P110" s="4">
        <f t="shared" si="10"/>
        <v>-4.7429302486739933E-2</v>
      </c>
      <c r="Q110" s="4">
        <f t="shared" si="10"/>
        <v>-2.2269920039695523E-2</v>
      </c>
      <c r="R110" s="4">
        <f t="shared" si="11"/>
        <v>-1.3793107243321057E-2</v>
      </c>
      <c r="S110" s="4">
        <f t="shared" si="12"/>
        <v>-1.4577194856427722E-2</v>
      </c>
      <c r="T110" s="4">
        <f t="shared" si="13"/>
        <v>-4.3154117172790496E-2</v>
      </c>
      <c r="U110" s="4">
        <f t="shared" si="14"/>
        <v>-2.4766198760096447E-2</v>
      </c>
      <c r="V110" s="4">
        <f t="shared" si="15"/>
        <v>-3.1799639456390527E-2</v>
      </c>
      <c r="W110" s="4">
        <f t="shared" si="16"/>
        <v>-3.2921691368652195E-2</v>
      </c>
    </row>
    <row r="111" spans="1:23" x14ac:dyDescent="0.25">
      <c r="A111" s="1">
        <v>44757</v>
      </c>
      <c r="B111">
        <v>4532.9599609999996</v>
      </c>
      <c r="C111">
        <v>8.3314959999999996</v>
      </c>
      <c r="D111">
        <v>6.8076040000000004</v>
      </c>
      <c r="E111">
        <v>7.5037999999999994E-2</v>
      </c>
      <c r="F111">
        <v>10.858637999999999</v>
      </c>
      <c r="G111">
        <v>19.989767000000001</v>
      </c>
      <c r="H111">
        <v>6.5420680000000004</v>
      </c>
      <c r="I111">
        <v>43.276566000000003</v>
      </c>
      <c r="J111">
        <v>4.329853</v>
      </c>
      <c r="K111">
        <v>28.152488999999999</v>
      </c>
      <c r="L111">
        <v>23.071020000000001</v>
      </c>
      <c r="M111" s="4">
        <f t="shared" si="9"/>
        <v>-1.0056716922057896E-2</v>
      </c>
      <c r="N111" s="4">
        <f t="shared" si="9"/>
        <v>-1.6891909033636687E-2</v>
      </c>
      <c r="O111" s="4">
        <f t="shared" si="10"/>
        <v>-2.0997291910634597E-2</v>
      </c>
      <c r="P111" s="4">
        <f t="shared" si="10"/>
        <v>8.9367888917046834E-4</v>
      </c>
      <c r="Q111" s="4">
        <f t="shared" si="10"/>
        <v>-2.9889293099349956E-3</v>
      </c>
      <c r="R111" s="4">
        <f t="shared" si="11"/>
        <v>-6.8492429261155507E-3</v>
      </c>
      <c r="S111" s="4">
        <f t="shared" si="12"/>
        <v>-1.4651002260615886E-2</v>
      </c>
      <c r="T111" s="4">
        <f t="shared" si="13"/>
        <v>-1.6007204271922593E-2</v>
      </c>
      <c r="U111" s="4">
        <f t="shared" si="14"/>
        <v>0</v>
      </c>
      <c r="V111" s="4">
        <f t="shared" si="15"/>
        <v>-9.0513309675162024E-3</v>
      </c>
      <c r="W111" s="4">
        <f t="shared" si="16"/>
        <v>-7.3529649038847067E-3</v>
      </c>
    </row>
    <row r="112" spans="1:23" x14ac:dyDescent="0.25">
      <c r="A112" s="1">
        <v>44760</v>
      </c>
      <c r="B112">
        <v>4579.0097660000001</v>
      </c>
      <c r="C112">
        <v>8.4746489999999994</v>
      </c>
      <c r="D112">
        <v>6.9536110000000004</v>
      </c>
      <c r="E112">
        <v>7.4970999999999996E-2</v>
      </c>
      <c r="F112">
        <v>10.891190999999999</v>
      </c>
      <c r="G112">
        <v>20.127625999999999</v>
      </c>
      <c r="H112">
        <v>6.6393409999999999</v>
      </c>
      <c r="I112">
        <v>43.980572000000002</v>
      </c>
      <c r="J112">
        <v>4.329853</v>
      </c>
      <c r="K112">
        <v>28.409634</v>
      </c>
      <c r="L112">
        <v>23.241917000000001</v>
      </c>
      <c r="M112" s="4">
        <f t="shared" si="9"/>
        <v>-1.1937067724764661E-2</v>
      </c>
      <c r="N112" s="4">
        <f t="shared" si="9"/>
        <v>-4.1036836573688062E-2</v>
      </c>
      <c r="O112" s="4">
        <f t="shared" si="10"/>
        <v>0</v>
      </c>
      <c r="P112" s="4">
        <f t="shared" si="10"/>
        <v>0.10108976618493726</v>
      </c>
      <c r="Q112" s="4">
        <f t="shared" si="10"/>
        <v>-4.4861266580675685E-2</v>
      </c>
      <c r="R112" s="4">
        <f t="shared" si="11"/>
        <v>0</v>
      </c>
      <c r="S112" s="4">
        <f t="shared" si="12"/>
        <v>-2.7925181462216009E-2</v>
      </c>
      <c r="T112" s="4">
        <f t="shared" si="13"/>
        <v>-1.7260111240775866E-2</v>
      </c>
      <c r="U112" s="4">
        <f t="shared" si="14"/>
        <v>6.5369003608546361E-3</v>
      </c>
      <c r="V112" s="4">
        <f t="shared" si="15"/>
        <v>-1.2578610668737222E-2</v>
      </c>
      <c r="W112" s="4">
        <f t="shared" si="16"/>
        <v>2.4569815801214201E-3</v>
      </c>
    </row>
    <row r="113" spans="1:23" x14ac:dyDescent="0.25">
      <c r="A113" s="1">
        <v>44761</v>
      </c>
      <c r="B113">
        <v>4634.330078</v>
      </c>
      <c r="C113">
        <v>8.8373039999999996</v>
      </c>
      <c r="D113">
        <v>6.9536110000000004</v>
      </c>
      <c r="E113">
        <v>6.8087999999999996E-2</v>
      </c>
      <c r="F113">
        <v>11.402732</v>
      </c>
      <c r="G113">
        <v>20.127625999999999</v>
      </c>
      <c r="H113">
        <v>6.8300720000000004</v>
      </c>
      <c r="I113">
        <v>44.753014</v>
      </c>
      <c r="J113">
        <v>4.3017329999999996</v>
      </c>
      <c r="K113">
        <v>28.771540000000002</v>
      </c>
      <c r="L113">
        <v>23.184951999999999</v>
      </c>
      <c r="M113" s="4">
        <f t="shared" si="9"/>
        <v>-4.9277063134397503E-3</v>
      </c>
      <c r="N113" s="4">
        <f t="shared" si="9"/>
        <v>9.8146447681812798E-3</v>
      </c>
      <c r="O113" s="4">
        <f t="shared" si="10"/>
        <v>1.5999898306659821E-2</v>
      </c>
      <c r="P113" s="4">
        <f t="shared" si="10"/>
        <v>-8.3164625176597173E-3</v>
      </c>
      <c r="Q113" s="4">
        <f t="shared" si="10"/>
        <v>-2.6597900618628101E-2</v>
      </c>
      <c r="R113" s="4">
        <f t="shared" si="11"/>
        <v>6.8964785832670294E-3</v>
      </c>
      <c r="S113" s="4">
        <f t="shared" si="12"/>
        <v>-1.213799144170491E-2</v>
      </c>
      <c r="T113" s="4">
        <f t="shared" si="13"/>
        <v>1.7508978720952584E-3</v>
      </c>
      <c r="U113" s="4">
        <f t="shared" si="14"/>
        <v>-1.5918089655380774E-2</v>
      </c>
      <c r="V113" s="4">
        <f t="shared" si="15"/>
        <v>-5.9229585576709987E-3</v>
      </c>
      <c r="W113" s="4">
        <f t="shared" si="16"/>
        <v>-9.7324050952437569E-3</v>
      </c>
    </row>
    <row r="114" spans="1:23" x14ac:dyDescent="0.25">
      <c r="A114" s="1">
        <v>44762</v>
      </c>
      <c r="B114">
        <v>4657.2797849999997</v>
      </c>
      <c r="C114">
        <v>8.7514120000000002</v>
      </c>
      <c r="D114">
        <v>6.844106</v>
      </c>
      <c r="E114">
        <v>6.8658999999999998E-2</v>
      </c>
      <c r="F114">
        <v>11.714308000000001</v>
      </c>
      <c r="G114">
        <v>19.989767000000001</v>
      </c>
      <c r="H114">
        <v>6.9139939999999998</v>
      </c>
      <c r="I114">
        <v>44.674793000000001</v>
      </c>
      <c r="J114">
        <v>4.3713160000000002</v>
      </c>
      <c r="K114">
        <v>28.942968</v>
      </c>
      <c r="L114">
        <v>23.412814999999998</v>
      </c>
      <c r="M114" s="4">
        <f t="shared" si="9"/>
        <v>-1.1172236797995616E-2</v>
      </c>
      <c r="N114" s="4">
        <f t="shared" si="9"/>
        <v>-1.3978514734642955E-2</v>
      </c>
      <c r="O114" s="4">
        <f t="shared" si="10"/>
        <v>-1.4454633503473202E-2</v>
      </c>
      <c r="P114" s="4">
        <f t="shared" si="10"/>
        <v>7.3949086640745509E-3</v>
      </c>
      <c r="Q114" s="4">
        <f t="shared" si="10"/>
        <v>1.5725909312645614E-2</v>
      </c>
      <c r="R114" s="4">
        <f t="shared" si="11"/>
        <v>-1.3605348522112815E-2</v>
      </c>
      <c r="S114" s="4">
        <f t="shared" si="12"/>
        <v>-3.4877470232141938E-2</v>
      </c>
      <c r="T114" s="4">
        <f t="shared" si="13"/>
        <v>-2.1880035994525926E-4</v>
      </c>
      <c r="U114" s="4">
        <f t="shared" si="14"/>
        <v>-8.4996066876907639E-2</v>
      </c>
      <c r="V114" s="4">
        <f t="shared" si="15"/>
        <v>1.1314448873723126E-2</v>
      </c>
      <c r="W114" s="4">
        <f t="shared" si="16"/>
        <v>-2.2592065579067566E-2</v>
      </c>
    </row>
    <row r="115" spans="1:23" x14ac:dyDescent="0.25">
      <c r="A115" s="1">
        <v>44763</v>
      </c>
      <c r="B115">
        <v>4709.8999020000001</v>
      </c>
      <c r="C115">
        <v>8.8754779999999993</v>
      </c>
      <c r="D115">
        <v>6.9444860000000004</v>
      </c>
      <c r="E115">
        <v>6.8154999999999993E-2</v>
      </c>
      <c r="F115">
        <v>11.532942</v>
      </c>
      <c r="G115">
        <v>20.265485999999999</v>
      </c>
      <c r="H115">
        <v>7.1638510000000002</v>
      </c>
      <c r="I115">
        <v>44.684570000000001</v>
      </c>
      <c r="J115">
        <v>4.777374</v>
      </c>
      <c r="K115">
        <v>28.619157999999999</v>
      </c>
      <c r="L115">
        <v>23.953984999999999</v>
      </c>
      <c r="M115" s="4">
        <f t="shared" si="9"/>
        <v>1.1650280343185715E-2</v>
      </c>
      <c r="N115" s="4">
        <f t="shared" si="9"/>
        <v>-4.2825324886514027E-3</v>
      </c>
      <c r="O115" s="4">
        <f t="shared" si="10"/>
        <v>2.0107221277853471E-2</v>
      </c>
      <c r="P115" s="4">
        <f t="shared" si="10"/>
        <v>2.4710606439464211E-3</v>
      </c>
      <c r="Q115" s="4">
        <f t="shared" si="10"/>
        <v>9.2030006215313431E-2</v>
      </c>
      <c r="R115" s="4">
        <f t="shared" si="11"/>
        <v>-4.5147721503659977E-3</v>
      </c>
      <c r="S115" s="4">
        <f t="shared" si="12"/>
        <v>-8.7093969218983158E-3</v>
      </c>
      <c r="T115" s="4">
        <f t="shared" si="13"/>
        <v>-1.0928955885124436E-3</v>
      </c>
      <c r="U115" s="4">
        <f t="shared" si="14"/>
        <v>-1.994421897035803E-4</v>
      </c>
      <c r="V115" s="4">
        <f t="shared" si="15"/>
        <v>3.4423496692114863E-2</v>
      </c>
      <c r="W115" s="4">
        <f t="shared" si="16"/>
        <v>-1.0976172991498889E-2</v>
      </c>
    </row>
    <row r="116" spans="1:23" x14ac:dyDescent="0.25">
      <c r="A116" s="1">
        <v>44764</v>
      </c>
      <c r="B116">
        <v>4655.6601559999999</v>
      </c>
      <c r="C116">
        <v>8.9136509999999998</v>
      </c>
      <c r="D116">
        <v>6.8076040000000004</v>
      </c>
      <c r="E116">
        <v>6.7987000000000006E-2</v>
      </c>
      <c r="F116">
        <v>10.561012</v>
      </c>
      <c r="G116">
        <v>20.357395</v>
      </c>
      <c r="H116">
        <v>7.2267919999999997</v>
      </c>
      <c r="I116">
        <v>44.733459000000003</v>
      </c>
      <c r="J116">
        <v>4.778327</v>
      </c>
      <c r="K116">
        <v>27.666771000000001</v>
      </c>
      <c r="L116">
        <v>24.219826000000001</v>
      </c>
      <c r="M116" s="4">
        <f t="shared" si="9"/>
        <v>-2.000020907224842E-3</v>
      </c>
      <c r="N116" s="4">
        <f t="shared" si="9"/>
        <v>-9.5441502369454367E-3</v>
      </c>
      <c r="O116" s="4">
        <f t="shared" si="10"/>
        <v>-1.5831035769423241E-2</v>
      </c>
      <c r="P116" s="4">
        <f t="shared" si="10"/>
        <v>-5.4127594833008885E-3</v>
      </c>
      <c r="Q116" s="4">
        <f t="shared" si="10"/>
        <v>0.11542225565351893</v>
      </c>
      <c r="R116" s="4">
        <f t="shared" si="11"/>
        <v>-1.1160693251454412E-2</v>
      </c>
      <c r="S116" s="4">
        <f t="shared" si="12"/>
        <v>-1.0963200668299922E-2</v>
      </c>
      <c r="T116" s="4">
        <f t="shared" si="13"/>
        <v>-8.0225543992028525E-3</v>
      </c>
      <c r="U116" s="4">
        <f t="shared" si="14"/>
        <v>-6.7636471271492749E-3</v>
      </c>
      <c r="V116" s="4">
        <f t="shared" si="15"/>
        <v>-1.6587767682319066E-2</v>
      </c>
      <c r="W116" s="4">
        <f t="shared" si="16"/>
        <v>1.1900063664095573E-2</v>
      </c>
    </row>
    <row r="117" spans="1:23" x14ac:dyDescent="0.25">
      <c r="A117" s="1">
        <v>44767</v>
      </c>
      <c r="B117">
        <v>4664.9902339999999</v>
      </c>
      <c r="C117">
        <v>8.9995440000000002</v>
      </c>
      <c r="D117">
        <v>6.917109</v>
      </c>
      <c r="E117">
        <v>6.8357000000000001E-2</v>
      </c>
      <c r="F117">
        <v>9.4681739999999994</v>
      </c>
      <c r="G117">
        <v>20.587161999999999</v>
      </c>
      <c r="H117">
        <v>7.3068989999999996</v>
      </c>
      <c r="I117">
        <v>45.095238000000002</v>
      </c>
      <c r="J117">
        <v>4.8108659999999999</v>
      </c>
      <c r="K117">
        <v>28.133441999999999</v>
      </c>
      <c r="L117">
        <v>23.934998</v>
      </c>
      <c r="M117" s="4">
        <f t="shared" si="9"/>
        <v>5.862786265738773E-3</v>
      </c>
      <c r="N117" s="4">
        <f t="shared" si="9"/>
        <v>0</v>
      </c>
      <c r="O117" s="4">
        <f t="shared" si="10"/>
        <v>1.2015982490073185E-2</v>
      </c>
      <c r="P117" s="4">
        <f t="shared" si="10"/>
        <v>1.7489803816498339E-2</v>
      </c>
      <c r="Q117" s="4">
        <f t="shared" si="10"/>
        <v>-8.2805169667015122E-3</v>
      </c>
      <c r="R117" s="4">
        <f t="shared" si="11"/>
        <v>4.6728826558952274E-2</v>
      </c>
      <c r="S117" s="4">
        <f t="shared" si="12"/>
        <v>1.8070691057601396E-2</v>
      </c>
      <c r="T117" s="4">
        <f t="shared" si="13"/>
        <v>1.6754799606341297E-2</v>
      </c>
      <c r="U117" s="4">
        <f t="shared" si="14"/>
        <v>-3.9748344979062544E-4</v>
      </c>
      <c r="V117" s="4">
        <f t="shared" si="15"/>
        <v>8.8797812737955173E-3</v>
      </c>
      <c r="W117" s="4">
        <f t="shared" si="16"/>
        <v>5.1834038851612529E-3</v>
      </c>
    </row>
    <row r="118" spans="1:23" x14ac:dyDescent="0.25">
      <c r="A118" s="1">
        <v>44768</v>
      </c>
      <c r="B118">
        <v>4637.7998049999997</v>
      </c>
      <c r="C118">
        <v>8.9995440000000002</v>
      </c>
      <c r="D118">
        <v>6.8349799999999998</v>
      </c>
      <c r="E118">
        <v>6.7182000000000006E-2</v>
      </c>
      <c r="F118">
        <v>9.5472300000000008</v>
      </c>
      <c r="G118">
        <v>19.668095000000001</v>
      </c>
      <c r="H118">
        <v>7.1772020000000003</v>
      </c>
      <c r="I118">
        <v>44.352127000000003</v>
      </c>
      <c r="J118">
        <v>4.8127789999999999</v>
      </c>
      <c r="K118">
        <v>27.885822000000001</v>
      </c>
      <c r="L118">
        <v>23.811572999999999</v>
      </c>
      <c r="M118" s="4">
        <f t="shared" si="9"/>
        <v>1.6067740348759685E-3</v>
      </c>
      <c r="N118" s="4">
        <f t="shared" si="9"/>
        <v>6.4033983268032557E-3</v>
      </c>
      <c r="O118" s="4">
        <f t="shared" si="10"/>
        <v>-2.4739582590173725E-2</v>
      </c>
      <c r="P118" s="4">
        <f t="shared" si="10"/>
        <v>6.5473069143757723E-3</v>
      </c>
      <c r="Q118" s="4">
        <f t="shared" si="10"/>
        <v>-1.534780734780139E-2</v>
      </c>
      <c r="R118" s="4">
        <f t="shared" si="11"/>
        <v>0</v>
      </c>
      <c r="S118" s="4">
        <f t="shared" si="12"/>
        <v>1.8403250512060598E-2</v>
      </c>
      <c r="T118" s="4">
        <f t="shared" si="13"/>
        <v>1.363139721575779E-2</v>
      </c>
      <c r="U118" s="4">
        <f t="shared" si="14"/>
        <v>-1.2566402983323011E-2</v>
      </c>
      <c r="V118" s="4">
        <f t="shared" si="15"/>
        <v>-2.1717305789596519E-2</v>
      </c>
      <c r="W118" s="4">
        <f t="shared" si="16"/>
        <v>1.5384597671583844E-2</v>
      </c>
    </row>
    <row r="119" spans="1:23" x14ac:dyDescent="0.25">
      <c r="A119" s="1">
        <v>44769</v>
      </c>
      <c r="B119">
        <v>4630.3598629999997</v>
      </c>
      <c r="C119">
        <v>8.9422829999999998</v>
      </c>
      <c r="D119">
        <v>7.0083640000000003</v>
      </c>
      <c r="E119">
        <v>6.6744999999999999E-2</v>
      </c>
      <c r="F119">
        <v>9.6960429999999995</v>
      </c>
      <c r="G119">
        <v>19.668095000000001</v>
      </c>
      <c r="H119">
        <v>7.0475050000000001</v>
      </c>
      <c r="I119">
        <v>43.755676000000001</v>
      </c>
      <c r="J119">
        <v>4.874028</v>
      </c>
      <c r="K119">
        <v>28.504871000000001</v>
      </c>
      <c r="L119">
        <v>23.450792</v>
      </c>
      <c r="M119" s="4">
        <f t="shared" si="9"/>
        <v>-2.2990632632181818E-2</v>
      </c>
      <c r="N119" s="4">
        <f t="shared" si="9"/>
        <v>-4.2506750214020839E-3</v>
      </c>
      <c r="O119" s="4">
        <f t="shared" si="10"/>
        <v>2.2636476138043538E-2</v>
      </c>
      <c r="P119" s="4">
        <f t="shared" si="10"/>
        <v>-1.0028138657726116E-3</v>
      </c>
      <c r="Q119" s="4">
        <f t="shared" si="10"/>
        <v>-3.8727529141168948E-2</v>
      </c>
      <c r="R119" s="4">
        <f t="shared" si="11"/>
        <v>-4.6511634968458004E-3</v>
      </c>
      <c r="S119" s="4">
        <f t="shared" si="12"/>
        <v>-4.6943493492241362E-2</v>
      </c>
      <c r="T119" s="4">
        <f t="shared" si="13"/>
        <v>-8.0731321087279651E-2</v>
      </c>
      <c r="U119" s="4">
        <f t="shared" si="14"/>
        <v>-5.0790890218436191E-3</v>
      </c>
      <c r="V119" s="4">
        <f t="shared" si="15"/>
        <v>-1.6107842386010485E-2</v>
      </c>
      <c r="W119" s="4">
        <f t="shared" si="16"/>
        <v>-6.2974161016598362E-2</v>
      </c>
    </row>
    <row r="120" spans="1:23" x14ac:dyDescent="0.25">
      <c r="A120" s="1">
        <v>44770</v>
      </c>
      <c r="B120">
        <v>4739.3198240000002</v>
      </c>
      <c r="C120">
        <v>8.9804560000000002</v>
      </c>
      <c r="D120">
        <v>6.8532310000000001</v>
      </c>
      <c r="E120">
        <v>6.6811999999999996E-2</v>
      </c>
      <c r="F120">
        <v>10.086675</v>
      </c>
      <c r="G120">
        <v>19.760002</v>
      </c>
      <c r="H120">
        <v>7.3946350000000001</v>
      </c>
      <c r="I120">
        <v>47.598354</v>
      </c>
      <c r="J120">
        <v>4.8989099999999999</v>
      </c>
      <c r="K120">
        <v>28.971540000000001</v>
      </c>
      <c r="L120">
        <v>25.026835999999999</v>
      </c>
      <c r="M120" s="4">
        <f t="shared" si="9"/>
        <v>-1.1725450320914654E-2</v>
      </c>
      <c r="N120" s="4">
        <f t="shared" si="9"/>
        <v>4.2688203896030785E-3</v>
      </c>
      <c r="O120" s="4">
        <f t="shared" si="10"/>
        <v>-2.6560500340392368E-3</v>
      </c>
      <c r="P120" s="4">
        <f t="shared" si="10"/>
        <v>-7.9881217520415548E-3</v>
      </c>
      <c r="Q120" s="4">
        <f t="shared" si="10"/>
        <v>-6.4131610417090812E-3</v>
      </c>
      <c r="R120" s="4">
        <f t="shared" si="11"/>
        <v>-2.9345257583300866E-2</v>
      </c>
      <c r="S120" s="4">
        <f t="shared" si="12"/>
        <v>-3.4130636132455039E-2</v>
      </c>
      <c r="T120" s="4">
        <f t="shared" si="13"/>
        <v>-2.7955357346892917E-2</v>
      </c>
      <c r="U120" s="4">
        <f t="shared" si="14"/>
        <v>3.9225217423202174E-3</v>
      </c>
      <c r="V120" s="4">
        <f t="shared" si="15"/>
        <v>-1.5215287750728113E-2</v>
      </c>
      <c r="W120" s="4">
        <f t="shared" si="16"/>
        <v>-2.6587932839533535E-2</v>
      </c>
    </row>
    <row r="121" spans="1:23" x14ac:dyDescent="0.25">
      <c r="A121" s="1">
        <v>44771</v>
      </c>
      <c r="B121">
        <v>4795.5498049999997</v>
      </c>
      <c r="C121">
        <v>8.9422829999999998</v>
      </c>
      <c r="D121">
        <v>6.8714820000000003</v>
      </c>
      <c r="E121">
        <v>6.7349999999999993E-2</v>
      </c>
      <c r="F121">
        <v>10.15178</v>
      </c>
      <c r="G121">
        <v>20.357395</v>
      </c>
      <c r="H121">
        <v>7.6559369999999998</v>
      </c>
      <c r="I121">
        <v>48.967250999999997</v>
      </c>
      <c r="J121">
        <v>4.8797689999999996</v>
      </c>
      <c r="K121">
        <v>29.419160999999999</v>
      </c>
      <c r="L121">
        <v>25.710422999999999</v>
      </c>
      <c r="M121" s="4">
        <f t="shared" si="9"/>
        <v>-2.0975560426861328E-3</v>
      </c>
      <c r="N121" s="4">
        <f t="shared" si="9"/>
        <v>-1.6788935608200384E-2</v>
      </c>
      <c r="O121" s="4">
        <f t="shared" si="10"/>
        <v>2.663123423097824E-3</v>
      </c>
      <c r="P121" s="4">
        <f t="shared" si="10"/>
        <v>-1.5696246930901547E-2</v>
      </c>
      <c r="Q121" s="4">
        <f t="shared" si="10"/>
        <v>1.3934105639201722E-2</v>
      </c>
      <c r="R121" s="4">
        <f t="shared" si="11"/>
        <v>-2.8508756231868659E-2</v>
      </c>
      <c r="S121" s="4">
        <f t="shared" si="12"/>
        <v>7.4795283531248202E-4</v>
      </c>
      <c r="T121" s="4">
        <f t="shared" si="13"/>
        <v>3.9956939339291786E-4</v>
      </c>
      <c r="U121" s="4">
        <f t="shared" si="14"/>
        <v>-7.5904620047785309E-3</v>
      </c>
      <c r="V121" s="4">
        <f t="shared" si="15"/>
        <v>-1.0253088059742343E-2</v>
      </c>
      <c r="W121" s="4">
        <f t="shared" si="16"/>
        <v>2.1886736748421676E-2</v>
      </c>
    </row>
    <row r="122" spans="1:23" x14ac:dyDescent="0.25">
      <c r="A122" s="1">
        <v>44774</v>
      </c>
      <c r="B122">
        <v>4805.6298829999996</v>
      </c>
      <c r="C122">
        <v>9.0949779999999993</v>
      </c>
      <c r="D122">
        <v>6.8532310000000001</v>
      </c>
      <c r="E122">
        <v>6.8423999999999999E-2</v>
      </c>
      <c r="F122">
        <v>10.012268000000001</v>
      </c>
      <c r="G122">
        <v>20.954789999999999</v>
      </c>
      <c r="H122">
        <v>7.6502150000000002</v>
      </c>
      <c r="I122">
        <v>48.947693000000001</v>
      </c>
      <c r="J122">
        <v>4.9170920000000002</v>
      </c>
      <c r="K122">
        <v>29.723922999999999</v>
      </c>
      <c r="L122">
        <v>25.159758</v>
      </c>
      <c r="M122" s="4">
        <f t="shared" si="9"/>
        <v>1.3984994488583924E-2</v>
      </c>
      <c r="N122" s="4">
        <f t="shared" si="9"/>
        <v>0</v>
      </c>
      <c r="O122" s="4">
        <f t="shared" si="10"/>
        <v>1.3332639792544843E-3</v>
      </c>
      <c r="P122" s="4">
        <f t="shared" si="10"/>
        <v>4.9714870595107818E-4</v>
      </c>
      <c r="Q122" s="4">
        <f t="shared" si="10"/>
        <v>2.670478730849668E-2</v>
      </c>
      <c r="R122" s="4">
        <f t="shared" si="11"/>
        <v>1.5590081925572319E-2</v>
      </c>
      <c r="S122" s="4">
        <f t="shared" si="12"/>
        <v>1.3134623266876755E-2</v>
      </c>
      <c r="T122" s="4">
        <f t="shared" si="13"/>
        <v>2.1632624172775117E-2</v>
      </c>
      <c r="U122" s="4">
        <f t="shared" si="14"/>
        <v>4.1037403338701761E-3</v>
      </c>
      <c r="V122" s="4">
        <f t="shared" si="15"/>
        <v>2.5698085391618886E-3</v>
      </c>
      <c r="W122" s="4">
        <f t="shared" si="16"/>
        <v>2.9126229477150156E-2</v>
      </c>
    </row>
    <row r="123" spans="1:23" x14ac:dyDescent="0.25">
      <c r="A123" s="1">
        <v>44775</v>
      </c>
      <c r="B123">
        <v>4739.3500979999999</v>
      </c>
      <c r="C123">
        <v>9.0949779999999993</v>
      </c>
      <c r="D123">
        <v>6.844106</v>
      </c>
      <c r="E123">
        <v>6.8390000000000006E-2</v>
      </c>
      <c r="F123">
        <v>9.7518469999999997</v>
      </c>
      <c r="G123">
        <v>20.633118</v>
      </c>
      <c r="H123">
        <v>7.5510349999999997</v>
      </c>
      <c r="I123">
        <v>47.911247000000003</v>
      </c>
      <c r="J123">
        <v>4.8969959999999997</v>
      </c>
      <c r="K123">
        <v>29.647734</v>
      </c>
      <c r="L123">
        <v>24.447689</v>
      </c>
      <c r="M123" s="4">
        <f t="shared" si="9"/>
        <v>-6.2047002826784992E-3</v>
      </c>
      <c r="N123" s="4">
        <f t="shared" si="9"/>
        <v>-1.3457684608329856E-2</v>
      </c>
      <c r="O123" s="4">
        <f t="shared" si="10"/>
        <v>-1.9607826284760876E-2</v>
      </c>
      <c r="P123" s="4">
        <f t="shared" si="10"/>
        <v>-5.8581541726628883E-3</v>
      </c>
      <c r="Q123" s="4">
        <f t="shared" si="10"/>
        <v>-3.3195081629972201E-2</v>
      </c>
      <c r="R123" s="4">
        <f t="shared" si="11"/>
        <v>2.2322649425889907E-3</v>
      </c>
      <c r="S123" s="4">
        <f t="shared" si="12"/>
        <v>-2.2680425992971376E-3</v>
      </c>
      <c r="T123" s="4">
        <f t="shared" si="13"/>
        <v>1.0214498834344443E-3</v>
      </c>
      <c r="U123" s="4">
        <f t="shared" si="14"/>
        <v>-1.9504476246727798E-3</v>
      </c>
      <c r="V123" s="4">
        <f t="shared" si="15"/>
        <v>-8.2828592122662359E-3</v>
      </c>
      <c r="W123" s="4">
        <f t="shared" si="16"/>
        <v>1.218550555765141E-2</v>
      </c>
    </row>
    <row r="124" spans="1:23" x14ac:dyDescent="0.25">
      <c r="A124" s="1">
        <v>44776</v>
      </c>
      <c r="B124">
        <v>4768.9399409999996</v>
      </c>
      <c r="C124">
        <v>9.2190449999999995</v>
      </c>
      <c r="D124">
        <v>6.980988</v>
      </c>
      <c r="E124">
        <v>6.8793000000000007E-2</v>
      </c>
      <c r="F124">
        <v>10.086675</v>
      </c>
      <c r="G124">
        <v>20.587161999999999</v>
      </c>
      <c r="H124">
        <v>7.5682</v>
      </c>
      <c r="I124">
        <v>47.862358</v>
      </c>
      <c r="J124">
        <v>4.9065659999999998</v>
      </c>
      <c r="K124">
        <v>29.895353</v>
      </c>
      <c r="L124">
        <v>24.153368</v>
      </c>
      <c r="M124" s="4">
        <f t="shared" si="9"/>
        <v>-7.1203827130811304E-3</v>
      </c>
      <c r="N124" s="4">
        <f t="shared" si="9"/>
        <v>-1.8292636176490684E-2</v>
      </c>
      <c r="O124" s="4">
        <f t="shared" si="10"/>
        <v>-5.2014331622037835E-3</v>
      </c>
      <c r="P124" s="4">
        <f t="shared" si="10"/>
        <v>-1.8686789438397633E-2</v>
      </c>
      <c r="Q124" s="4">
        <f t="shared" si="10"/>
        <v>4.1667243249032815E-3</v>
      </c>
      <c r="R124" s="4">
        <f t="shared" si="11"/>
        <v>6.7415011651008605E-3</v>
      </c>
      <c r="S124" s="4">
        <f t="shared" si="12"/>
        <v>-1.3426200220435058E-2</v>
      </c>
      <c r="T124" s="4">
        <f t="shared" si="13"/>
        <v>2.2522341888835395E-3</v>
      </c>
      <c r="U124" s="4">
        <f t="shared" si="14"/>
        <v>-4.6592639385387713E-3</v>
      </c>
      <c r="V124" s="4">
        <f t="shared" si="15"/>
        <v>-1.3823429536891418E-2</v>
      </c>
      <c r="W124" s="4">
        <f t="shared" si="16"/>
        <v>-1.0116672323037146E-2</v>
      </c>
    </row>
    <row r="125" spans="1:23" x14ac:dyDescent="0.25">
      <c r="A125" s="1">
        <v>44777</v>
      </c>
      <c r="B125">
        <v>4803.1401370000003</v>
      </c>
      <c r="C125">
        <v>9.3908280000000008</v>
      </c>
      <c r="D125">
        <v>7.0174890000000003</v>
      </c>
      <c r="E125">
        <v>7.0102999999999999E-2</v>
      </c>
      <c r="F125">
        <v>10.044821000000001</v>
      </c>
      <c r="G125">
        <v>20.449303</v>
      </c>
      <c r="H125">
        <v>7.671195</v>
      </c>
      <c r="I125">
        <v>47.754803000000003</v>
      </c>
      <c r="J125">
        <v>4.9295340000000003</v>
      </c>
      <c r="K125">
        <v>30.314402000000001</v>
      </c>
      <c r="L125">
        <v>24.400217000000001</v>
      </c>
      <c r="M125" s="4">
        <f t="shared" si="9"/>
        <v>6.7788071857692866E-3</v>
      </c>
      <c r="N125" s="4">
        <f t="shared" si="9"/>
        <v>-6.0605906654772612E-3</v>
      </c>
      <c r="O125" s="4">
        <f t="shared" si="10"/>
        <v>1.1842067318783789E-2</v>
      </c>
      <c r="P125" s="4">
        <f t="shared" si="10"/>
        <v>-2.5657062641593398E-2</v>
      </c>
      <c r="Q125" s="4">
        <f t="shared" si="10"/>
        <v>-2.4830614088065417E-2</v>
      </c>
      <c r="R125" s="4">
        <f t="shared" si="11"/>
        <v>1.5981864925351807E-2</v>
      </c>
      <c r="S125" s="4">
        <f t="shared" si="12"/>
        <v>1.3864385109062072E-2</v>
      </c>
      <c r="T125" s="4">
        <f t="shared" si="13"/>
        <v>9.7169402128816085E-3</v>
      </c>
      <c r="U125" s="4">
        <f t="shared" si="14"/>
        <v>1.1984216480807275E-2</v>
      </c>
      <c r="V125" s="4">
        <f t="shared" si="15"/>
        <v>6.0050209982593916E-3</v>
      </c>
      <c r="W125" s="4">
        <f t="shared" si="16"/>
        <v>7.0532723554244114E-3</v>
      </c>
    </row>
    <row r="126" spans="1:23" x14ac:dyDescent="0.25">
      <c r="A126" s="1">
        <v>44778</v>
      </c>
      <c r="B126">
        <v>4770.7998049999997</v>
      </c>
      <c r="C126">
        <v>9.4480889999999995</v>
      </c>
      <c r="D126">
        <v>6.9353600000000002</v>
      </c>
      <c r="E126">
        <v>7.1948999999999999E-2</v>
      </c>
      <c r="F126">
        <v>10.300591000000001</v>
      </c>
      <c r="G126">
        <v>20.127625999999999</v>
      </c>
      <c r="H126">
        <v>7.5662929999999999</v>
      </c>
      <c r="I126">
        <v>47.295237999999998</v>
      </c>
      <c r="J126">
        <v>4.8711570000000002</v>
      </c>
      <c r="K126">
        <v>30.13345</v>
      </c>
      <c r="L126">
        <v>24.229320999999999</v>
      </c>
      <c r="M126" s="4">
        <f t="shared" si="9"/>
        <v>-7.6546077564374482E-3</v>
      </c>
      <c r="N126" s="4">
        <f t="shared" si="9"/>
        <v>-4.2553282046371099E-2</v>
      </c>
      <c r="O126" s="4">
        <f t="shared" si="10"/>
        <v>-1.1703473991907964E-2</v>
      </c>
      <c r="P126" s="4">
        <f t="shared" si="10"/>
        <v>-4.7233374546773454E-4</v>
      </c>
      <c r="Q126" s="4">
        <f t="shared" si="10"/>
        <v>-1.6429929523131492E-2</v>
      </c>
      <c r="R126" s="4">
        <f t="shared" si="11"/>
        <v>-1.3513614848228994E-2</v>
      </c>
      <c r="S126" s="4">
        <f t="shared" si="12"/>
        <v>-1.4654717962021224E-2</v>
      </c>
      <c r="T126" s="4">
        <f t="shared" si="13"/>
        <v>1.2417918486054003E-3</v>
      </c>
      <c r="U126" s="4">
        <f t="shared" si="14"/>
        <v>-6.4415026868660519E-3</v>
      </c>
      <c r="V126" s="4">
        <f t="shared" si="15"/>
        <v>-1.5250561607293101E-2</v>
      </c>
      <c r="W126" s="4">
        <f t="shared" si="16"/>
        <v>-1.8083812441214597E-2</v>
      </c>
    </row>
    <row r="127" spans="1:23" x14ac:dyDescent="0.25">
      <c r="A127" s="1">
        <v>44781</v>
      </c>
      <c r="B127">
        <v>4807.6000979999999</v>
      </c>
      <c r="C127">
        <v>9.8680050000000001</v>
      </c>
      <c r="D127">
        <v>7.0174890000000003</v>
      </c>
      <c r="E127">
        <v>7.1983000000000005E-2</v>
      </c>
      <c r="F127">
        <v>10.472656000000001</v>
      </c>
      <c r="G127">
        <v>20.403348999999999</v>
      </c>
      <c r="H127">
        <v>7.6788239999999996</v>
      </c>
      <c r="I127">
        <v>47.236579999999996</v>
      </c>
      <c r="J127">
        <v>4.9027380000000003</v>
      </c>
      <c r="K127">
        <v>30.600118999999999</v>
      </c>
      <c r="L127">
        <v>24.675549</v>
      </c>
      <c r="M127" s="4">
        <f t="shared" si="9"/>
        <v>6.8356881034798977E-3</v>
      </c>
      <c r="N127" s="4">
        <f t="shared" si="9"/>
        <v>-1.9303959071479415E-3</v>
      </c>
      <c r="O127" s="4">
        <f t="shared" si="10"/>
        <v>-3.8750042977220733E-2</v>
      </c>
      <c r="P127" s="4">
        <f t="shared" si="10"/>
        <v>-9.6989874532247278E-3</v>
      </c>
      <c r="Q127" s="4">
        <f t="shared" si="10"/>
        <v>1.716365868487979E-2</v>
      </c>
      <c r="R127" s="4">
        <f t="shared" si="11"/>
        <v>2.0689685877779196E-2</v>
      </c>
      <c r="S127" s="4">
        <f t="shared" si="12"/>
        <v>1.1049647375351412E-2</v>
      </c>
      <c r="T127" s="4">
        <f t="shared" si="13"/>
        <v>1.8664613412844311E-3</v>
      </c>
      <c r="U127" s="4">
        <f t="shared" si="14"/>
        <v>2.0721355243963124E-2</v>
      </c>
      <c r="V127" s="4">
        <f t="shared" si="15"/>
        <v>9.7422923304761877E-3</v>
      </c>
      <c r="W127" s="4">
        <f t="shared" si="16"/>
        <v>1.3255343494131822E-2</v>
      </c>
    </row>
    <row r="128" spans="1:23" x14ac:dyDescent="0.25">
      <c r="A128" s="1">
        <v>44782</v>
      </c>
      <c r="B128">
        <v>4774.9599609999996</v>
      </c>
      <c r="C128">
        <v>9.8870909999999999</v>
      </c>
      <c r="D128">
        <v>7.3003790000000004</v>
      </c>
      <c r="E128">
        <v>7.2688000000000003E-2</v>
      </c>
      <c r="F128">
        <v>10.29594</v>
      </c>
      <c r="G128">
        <v>19.989767000000001</v>
      </c>
      <c r="H128">
        <v>7.5949030000000004</v>
      </c>
      <c r="I128">
        <v>47.148578999999998</v>
      </c>
      <c r="J128">
        <v>4.8032089999999998</v>
      </c>
      <c r="K128">
        <v>30.304880000000001</v>
      </c>
      <c r="L128">
        <v>24.352744999999999</v>
      </c>
      <c r="M128" s="4">
        <f t="shared" si="9"/>
        <v>-1.5845511284770408E-2</v>
      </c>
      <c r="N128" s="4">
        <f t="shared" si="9"/>
        <v>0</v>
      </c>
      <c r="O128" s="4">
        <f t="shared" si="10"/>
        <v>-4.7619053831255642E-2</v>
      </c>
      <c r="P128" s="4">
        <f t="shared" si="10"/>
        <v>9.3312597200623237E-3</v>
      </c>
      <c r="Q128" s="4">
        <f t="shared" si="10"/>
        <v>8.6559170122919582E-3</v>
      </c>
      <c r="R128" s="4">
        <f t="shared" si="11"/>
        <v>-2.6845692147638767E-2</v>
      </c>
      <c r="S128" s="4">
        <f t="shared" si="12"/>
        <v>-5.5278776551110242E-2</v>
      </c>
      <c r="T128" s="4">
        <f t="shared" si="13"/>
        <v>-3.7189555862274792E-3</v>
      </c>
      <c r="U128" s="4">
        <f t="shared" si="14"/>
        <v>-5.5480262343359232E-3</v>
      </c>
      <c r="V128" s="4">
        <f t="shared" si="15"/>
        <v>-4.2431496137433578E-2</v>
      </c>
      <c r="W128" s="4">
        <f t="shared" si="16"/>
        <v>-4.1837888510122045E-2</v>
      </c>
    </row>
    <row r="129" spans="1:23" x14ac:dyDescent="0.25">
      <c r="A129" s="1">
        <v>44783</v>
      </c>
      <c r="B129">
        <v>4851.8398440000001</v>
      </c>
      <c r="C129">
        <v>9.8870909999999999</v>
      </c>
      <c r="D129">
        <v>7.6653979999999997</v>
      </c>
      <c r="E129">
        <v>7.2015999999999997E-2</v>
      </c>
      <c r="F129">
        <v>10.207584000000001</v>
      </c>
      <c r="G129">
        <v>20.54121</v>
      </c>
      <c r="H129">
        <v>8.0393059999999998</v>
      </c>
      <c r="I129">
        <v>47.324576999999998</v>
      </c>
      <c r="J129">
        <v>4.830006</v>
      </c>
      <c r="K129">
        <v>31.647741</v>
      </c>
      <c r="L129">
        <v>25.416101000000001</v>
      </c>
      <c r="M129" s="4">
        <f t="shared" si="9"/>
        <v>-4.5037219134093087E-3</v>
      </c>
      <c r="N129" s="4">
        <f t="shared" si="9"/>
        <v>-5.7581429136861484E-3</v>
      </c>
      <c r="O129" s="4">
        <f t="shared" si="10"/>
        <v>5.9879752291767119E-3</v>
      </c>
      <c r="P129" s="4">
        <f t="shared" si="10"/>
        <v>1.4181300961849885E-2</v>
      </c>
      <c r="Q129" s="4">
        <f t="shared" si="10"/>
        <v>-1.8190555110184636E-3</v>
      </c>
      <c r="R129" s="4">
        <f t="shared" si="11"/>
        <v>-8.8690380579108385E-3</v>
      </c>
      <c r="S129" s="4">
        <f t="shared" si="12"/>
        <v>-1.4214824705773843E-3</v>
      </c>
      <c r="T129" s="4">
        <f t="shared" si="13"/>
        <v>-2.0441179435377488E-2</v>
      </c>
      <c r="U129" s="4">
        <f t="shared" si="14"/>
        <v>-4.5362587427576484E-3</v>
      </c>
      <c r="V129" s="4">
        <f t="shared" si="15"/>
        <v>-5.0899021237235109E-3</v>
      </c>
      <c r="W129" s="4">
        <f t="shared" si="16"/>
        <v>-5.2025476827467498E-3</v>
      </c>
    </row>
    <row r="130" spans="1:23" x14ac:dyDescent="0.25">
      <c r="A130" s="1">
        <v>44784</v>
      </c>
      <c r="B130">
        <v>4873.7900390000004</v>
      </c>
      <c r="C130">
        <v>9.9443520000000003</v>
      </c>
      <c r="D130">
        <v>7.6197710000000001</v>
      </c>
      <c r="E130">
        <v>7.1009000000000003E-2</v>
      </c>
      <c r="F130">
        <v>10.226186</v>
      </c>
      <c r="G130">
        <v>20.725021000000002</v>
      </c>
      <c r="H130">
        <v>8.0507500000000007</v>
      </c>
      <c r="I130">
        <v>48.312134</v>
      </c>
      <c r="J130">
        <v>4.8520159999999999</v>
      </c>
      <c r="K130">
        <v>31.809649</v>
      </c>
      <c r="L130">
        <v>25.549021</v>
      </c>
      <c r="M130" s="4">
        <f t="shared" si="9"/>
        <v>1.1585791550261515E-3</v>
      </c>
      <c r="N130" s="4">
        <f t="shared" si="9"/>
        <v>-7.6190286107756799E-3</v>
      </c>
      <c r="O130" s="4">
        <f t="shared" si="10"/>
        <v>0</v>
      </c>
      <c r="P130" s="4">
        <f t="shared" si="10"/>
        <v>3.7884677909558739E-3</v>
      </c>
      <c r="Q130" s="4">
        <f t="shared" si="10"/>
        <v>-4.7639686905833423E-2</v>
      </c>
      <c r="R130" s="4">
        <f t="shared" si="11"/>
        <v>3.9170443485405881E-2</v>
      </c>
      <c r="S130" s="4">
        <f t="shared" si="12"/>
        <v>-3.7761410155288111E-3</v>
      </c>
      <c r="T130" s="4">
        <f t="shared" si="13"/>
        <v>-2.4227399079724821E-3</v>
      </c>
      <c r="U130" s="4">
        <f t="shared" si="14"/>
        <v>1.9762739739379587E-3</v>
      </c>
      <c r="V130" s="4">
        <f t="shared" si="15"/>
        <v>-2.081494583486232E-2</v>
      </c>
      <c r="W130" s="4">
        <f t="shared" si="16"/>
        <v>-2.5944468967377121E-3</v>
      </c>
    </row>
    <row r="131" spans="1:23" x14ac:dyDescent="0.25">
      <c r="A131" s="1">
        <v>44785</v>
      </c>
      <c r="B131">
        <v>4868.1499020000001</v>
      </c>
      <c r="C131">
        <v>10.0207</v>
      </c>
      <c r="D131">
        <v>7.6197710000000001</v>
      </c>
      <c r="E131">
        <v>7.0740999999999998E-2</v>
      </c>
      <c r="F131">
        <v>10.737728000000001</v>
      </c>
      <c r="G131">
        <v>19.943812999999999</v>
      </c>
      <c r="H131">
        <v>8.0812659999999994</v>
      </c>
      <c r="I131">
        <v>48.429465999999998</v>
      </c>
      <c r="J131">
        <v>4.8424459999999998</v>
      </c>
      <c r="K131">
        <v>32.485840000000003</v>
      </c>
      <c r="L131">
        <v>25.615479000000001</v>
      </c>
      <c r="M131" s="4">
        <f t="shared" si="9"/>
        <v>2.9212554613913255E-3</v>
      </c>
      <c r="N131" s="4">
        <f t="shared" si="9"/>
        <v>1.9417426344097599E-2</v>
      </c>
      <c r="O131" s="4">
        <f t="shared" si="10"/>
        <v>2.2031750196130018E-2</v>
      </c>
      <c r="P131" s="4">
        <f t="shared" si="10"/>
        <v>-2.6330277754837983E-2</v>
      </c>
      <c r="Q131" s="4">
        <f t="shared" si="10"/>
        <v>-2.0364758695532226E-2</v>
      </c>
      <c r="R131" s="4">
        <f t="shared" si="11"/>
        <v>0</v>
      </c>
      <c r="S131" s="4">
        <f t="shared" si="12"/>
        <v>2.9897917166613386E-2</v>
      </c>
      <c r="T131" s="4">
        <f t="shared" si="13"/>
        <v>2.0183936316975348E-4</v>
      </c>
      <c r="U131" s="4">
        <f t="shared" si="14"/>
        <v>1.7494374564395176E-2</v>
      </c>
      <c r="V131" s="4">
        <f t="shared" si="15"/>
        <v>1.1740106693389762E-3</v>
      </c>
      <c r="W131" s="4">
        <f t="shared" si="16"/>
        <v>-2.5877719975805347E-3</v>
      </c>
    </row>
    <row r="132" spans="1:23" x14ac:dyDescent="0.25">
      <c r="A132" s="1">
        <v>44788</v>
      </c>
      <c r="B132">
        <v>4853.9702150000003</v>
      </c>
      <c r="C132">
        <v>9.8298299999999994</v>
      </c>
      <c r="D132">
        <v>7.4555129999999998</v>
      </c>
      <c r="E132">
        <v>7.2653999999999996E-2</v>
      </c>
      <c r="F132">
        <v>10.960945000000001</v>
      </c>
      <c r="G132">
        <v>19.943812999999999</v>
      </c>
      <c r="H132">
        <v>7.8466670000000001</v>
      </c>
      <c r="I132">
        <v>48.419693000000002</v>
      </c>
      <c r="J132">
        <v>4.7591869999999998</v>
      </c>
      <c r="K132">
        <v>32.447746000000002</v>
      </c>
      <c r="L132">
        <v>25.681937999999999</v>
      </c>
      <c r="M132" s="4">
        <f t="shared" si="9"/>
        <v>-1.0361263906489504E-2</v>
      </c>
      <c r="N132" s="4">
        <f t="shared" si="9"/>
        <v>-1.9379795768408314E-3</v>
      </c>
      <c r="O132" s="4">
        <f t="shared" si="10"/>
        <v>-2.441875665578408E-3</v>
      </c>
      <c r="P132" s="4">
        <f t="shared" si="10"/>
        <v>-2.3913802832039144E-2</v>
      </c>
      <c r="Q132" s="4">
        <f t="shared" si="10"/>
        <v>-2.4420581598135316E-2</v>
      </c>
      <c r="R132" s="4">
        <f t="shared" si="11"/>
        <v>-6.8651142464405401E-3</v>
      </c>
      <c r="S132" s="4">
        <f t="shared" si="12"/>
        <v>-2.971699723061294E-2</v>
      </c>
      <c r="T132" s="4">
        <f t="shared" si="13"/>
        <v>-2.7875905424294078E-2</v>
      </c>
      <c r="U132" s="4">
        <f t="shared" si="14"/>
        <v>-1.8938545171270915E-2</v>
      </c>
      <c r="V132" s="4">
        <f t="shared" si="15"/>
        <v>3.8303816555989023E-3</v>
      </c>
      <c r="W132" s="4">
        <f t="shared" si="16"/>
        <v>-1.096902009522327E-2</v>
      </c>
    </row>
    <row r="133" spans="1:23" x14ac:dyDescent="0.25">
      <c r="A133" s="1">
        <v>44789</v>
      </c>
      <c r="B133">
        <v>4904.7900390000004</v>
      </c>
      <c r="C133">
        <v>9.8489170000000001</v>
      </c>
      <c r="D133">
        <v>7.4737629999999999</v>
      </c>
      <c r="E133">
        <v>7.4434E-2</v>
      </c>
      <c r="F133">
        <v>11.235317999999999</v>
      </c>
      <c r="G133">
        <v>20.081676000000002</v>
      </c>
      <c r="H133">
        <v>8.0869879999999998</v>
      </c>
      <c r="I133">
        <v>49.808140000000002</v>
      </c>
      <c r="J133">
        <v>4.8510590000000002</v>
      </c>
      <c r="K133">
        <v>32.323932999999997</v>
      </c>
      <c r="L133">
        <v>25.966767999999998</v>
      </c>
      <c r="M133" s="4">
        <f t="shared" si="9"/>
        <v>1.7781315859274782E-2</v>
      </c>
      <c r="N133" s="4">
        <f t="shared" si="9"/>
        <v>-1.1494224032485123E-2</v>
      </c>
      <c r="O133" s="4">
        <f t="shared" si="10"/>
        <v>2.3749999828776014E-2</v>
      </c>
      <c r="P133" s="4">
        <f t="shared" si="10"/>
        <v>1.5581509578125985E-2</v>
      </c>
      <c r="Q133" s="4">
        <f t="shared" si="10"/>
        <v>5.9184538662535147E-2</v>
      </c>
      <c r="R133" s="4">
        <f t="shared" si="11"/>
        <v>1.1574203504691294E-2</v>
      </c>
      <c r="S133" s="4">
        <f t="shared" si="12"/>
        <v>3.8452060798138898E-2</v>
      </c>
      <c r="T133" s="4">
        <f t="shared" si="13"/>
        <v>2.2891570471359035E-2</v>
      </c>
      <c r="U133" s="4">
        <f t="shared" si="14"/>
        <v>1.9406738131442447E-2</v>
      </c>
      <c r="V133" s="4">
        <f t="shared" si="15"/>
        <v>4.1419543549372495E-3</v>
      </c>
      <c r="W133" s="4">
        <f t="shared" si="16"/>
        <v>1.8242774193834244E-2</v>
      </c>
    </row>
    <row r="134" spans="1:23" x14ac:dyDescent="0.25">
      <c r="A134" s="1">
        <v>44790</v>
      </c>
      <c r="B134">
        <v>4819.1000979999999</v>
      </c>
      <c r="C134">
        <v>9.9634389999999993</v>
      </c>
      <c r="D134">
        <v>7.3003790000000004</v>
      </c>
      <c r="E134">
        <v>7.3291999999999996E-2</v>
      </c>
      <c r="F134">
        <v>10.607517</v>
      </c>
      <c r="G134">
        <v>19.851906</v>
      </c>
      <c r="H134">
        <v>7.787541</v>
      </c>
      <c r="I134">
        <v>48.693469999999998</v>
      </c>
      <c r="J134">
        <v>4.7587080000000004</v>
      </c>
      <c r="K134">
        <v>32.190601000000001</v>
      </c>
      <c r="L134">
        <v>25.501549000000001</v>
      </c>
      <c r="M134" s="4">
        <f t="shared" ref="M134:N197" si="17">B134/B135-1</f>
        <v>-8.6542590929822305E-3</v>
      </c>
      <c r="N134" s="4">
        <f t="shared" si="17"/>
        <v>1.1627877461044545E-2</v>
      </c>
      <c r="O134" s="4">
        <f t="shared" ref="O134:Q197" si="18">D134/D135-1</f>
        <v>-3.7359327652193297E-3</v>
      </c>
      <c r="P134" s="4">
        <f t="shared" si="18"/>
        <v>-2.1076532656604918E-2</v>
      </c>
      <c r="Q134" s="4">
        <f t="shared" si="18"/>
        <v>1.6035568228055963E-2</v>
      </c>
      <c r="R134" s="4">
        <f t="shared" si="11"/>
        <v>-2.3094945888654239E-3</v>
      </c>
      <c r="S134" s="4">
        <f t="shared" si="12"/>
        <v>-2.109816181115054E-2</v>
      </c>
      <c r="T134" s="4">
        <f t="shared" si="13"/>
        <v>-1.0727106628298122E-2</v>
      </c>
      <c r="U134" s="4">
        <f t="shared" si="14"/>
        <v>-1.3197300071541851E-2</v>
      </c>
      <c r="V134" s="4">
        <f t="shared" si="15"/>
        <v>-1.457715924950076E-2</v>
      </c>
      <c r="W134" s="4">
        <f t="shared" si="16"/>
        <v>-1.5034869123852102E-2</v>
      </c>
    </row>
    <row r="135" spans="1:23" x14ac:dyDescent="0.25">
      <c r="A135" s="1">
        <v>44791</v>
      </c>
      <c r="B135">
        <v>4861.169922</v>
      </c>
      <c r="C135">
        <v>9.8489170000000001</v>
      </c>
      <c r="D135">
        <v>7.3277549999999998</v>
      </c>
      <c r="E135">
        <v>7.4870000000000006E-2</v>
      </c>
      <c r="F135">
        <v>10.440104</v>
      </c>
      <c r="G135">
        <v>19.897860000000001</v>
      </c>
      <c r="H135">
        <v>7.9553849999999997</v>
      </c>
      <c r="I135">
        <v>49.221474000000001</v>
      </c>
      <c r="J135">
        <v>4.8223500000000001</v>
      </c>
      <c r="K135">
        <v>32.666789999999999</v>
      </c>
      <c r="L135">
        <v>25.890813999999999</v>
      </c>
      <c r="M135" s="4">
        <f t="shared" si="17"/>
        <v>6.6597827625929362E-3</v>
      </c>
      <c r="N135" s="4">
        <f t="shared" si="17"/>
        <v>1.1764675668082258E-2</v>
      </c>
      <c r="O135" s="4">
        <f t="shared" si="18"/>
        <v>-9.8643936385444109E-3</v>
      </c>
      <c r="P135" s="4">
        <f t="shared" si="18"/>
        <v>6.5962384498199134E-2</v>
      </c>
      <c r="Q135" s="4">
        <f t="shared" si="18"/>
        <v>2.5582528020030582E-2</v>
      </c>
      <c r="R135" s="4">
        <f t="shared" si="11"/>
        <v>9.3240119253044096E-3</v>
      </c>
      <c r="S135" s="4">
        <f t="shared" si="12"/>
        <v>2.1803236808105364E-2</v>
      </c>
      <c r="T135" s="4">
        <f t="shared" si="13"/>
        <v>1.1249516065237053E-2</v>
      </c>
      <c r="U135" s="4">
        <f t="shared" si="14"/>
        <v>1.0123332092590198E-2</v>
      </c>
      <c r="V135" s="4">
        <f t="shared" si="15"/>
        <v>-4.3542067653875582E-3</v>
      </c>
      <c r="W135" s="4">
        <f t="shared" si="16"/>
        <v>1.905823008493579E-2</v>
      </c>
    </row>
    <row r="136" spans="1:23" x14ac:dyDescent="0.25">
      <c r="A136" s="1">
        <v>44792</v>
      </c>
      <c r="B136">
        <v>4829.0097660000001</v>
      </c>
      <c r="C136">
        <v>9.7343949999999992</v>
      </c>
      <c r="D136">
        <v>7.4007589999999999</v>
      </c>
      <c r="E136">
        <v>7.0236999999999994E-2</v>
      </c>
      <c r="F136">
        <v>10.179682</v>
      </c>
      <c r="G136">
        <v>19.714046</v>
      </c>
      <c r="H136">
        <v>7.7856329999999998</v>
      </c>
      <c r="I136">
        <v>48.673915999999998</v>
      </c>
      <c r="J136">
        <v>4.7740210000000003</v>
      </c>
      <c r="K136">
        <v>32.809649999999998</v>
      </c>
      <c r="L136">
        <v>25.406609</v>
      </c>
      <c r="M136" s="4">
        <f t="shared" si="17"/>
        <v>1.2872118540099509E-2</v>
      </c>
      <c r="N136" s="4">
        <f t="shared" si="17"/>
        <v>3.937101262141196E-3</v>
      </c>
      <c r="O136" s="4">
        <f t="shared" si="18"/>
        <v>1.5018678542813024E-2</v>
      </c>
      <c r="P136" s="4">
        <f t="shared" si="18"/>
        <v>1.9997095556200772E-2</v>
      </c>
      <c r="Q136" s="4">
        <f t="shared" si="18"/>
        <v>4.5867231329325353E-2</v>
      </c>
      <c r="R136" s="4">
        <f t="shared" si="11"/>
        <v>7.0422812207793228E-3</v>
      </c>
      <c r="S136" s="4">
        <f t="shared" si="12"/>
        <v>2.9508048881854654E-2</v>
      </c>
      <c r="T136" s="4">
        <f t="shared" si="13"/>
        <v>-1.4041790632250972E-3</v>
      </c>
      <c r="U136" s="4">
        <f t="shared" si="14"/>
        <v>7.1674394789758011E-3</v>
      </c>
      <c r="V136" s="4">
        <f t="shared" si="15"/>
        <v>1.1450350498567685E-2</v>
      </c>
      <c r="W136" s="4">
        <f t="shared" si="16"/>
        <v>1.5174630944159384E-2</v>
      </c>
    </row>
    <row r="137" spans="1:23" x14ac:dyDescent="0.25">
      <c r="A137" s="1">
        <v>44795</v>
      </c>
      <c r="B137">
        <v>4767.6401370000003</v>
      </c>
      <c r="C137">
        <v>9.6962200000000003</v>
      </c>
      <c r="D137">
        <v>7.2912540000000003</v>
      </c>
      <c r="E137">
        <v>6.8860000000000005E-2</v>
      </c>
      <c r="F137">
        <v>9.7332450000000001</v>
      </c>
      <c r="G137">
        <v>19.576184999999999</v>
      </c>
      <c r="H137">
        <v>7.5624789999999997</v>
      </c>
      <c r="I137">
        <v>48.742359</v>
      </c>
      <c r="J137">
        <v>4.7400469999999997</v>
      </c>
      <c r="K137">
        <v>32.438220999999999</v>
      </c>
      <c r="L137">
        <v>25.026835999999999</v>
      </c>
      <c r="M137" s="4">
        <f t="shared" si="17"/>
        <v>-2.710948570122329E-3</v>
      </c>
      <c r="N137" s="4">
        <f t="shared" si="17"/>
        <v>-1.3592300172027283E-2</v>
      </c>
      <c r="O137" s="4">
        <f t="shared" si="18"/>
        <v>1.1392367312260454E-2</v>
      </c>
      <c r="P137" s="4">
        <f t="shared" si="18"/>
        <v>-1.4892490808429026E-2</v>
      </c>
      <c r="Q137" s="4">
        <f t="shared" si="18"/>
        <v>-2.1505428231144874E-2</v>
      </c>
      <c r="R137" s="4">
        <f t="shared" si="11"/>
        <v>1.1876462092362372E-2</v>
      </c>
      <c r="S137" s="4">
        <f t="shared" si="12"/>
        <v>7.5720312297988812E-4</v>
      </c>
      <c r="T137" s="4">
        <f t="shared" si="13"/>
        <v>-2.560593272916234E-2</v>
      </c>
      <c r="U137" s="4">
        <f t="shared" si="14"/>
        <v>-4.7220640431905325E-3</v>
      </c>
      <c r="V137" s="4">
        <f t="shared" si="15"/>
        <v>-3.5107590030321045E-3</v>
      </c>
      <c r="W137" s="4">
        <f t="shared" si="16"/>
        <v>9.1882419182047759E-3</v>
      </c>
    </row>
    <row r="138" spans="1:23" x14ac:dyDescent="0.25">
      <c r="A138" s="1">
        <v>44796</v>
      </c>
      <c r="B138">
        <v>4780.6000979999999</v>
      </c>
      <c r="C138">
        <v>9.8298299999999994</v>
      </c>
      <c r="D138">
        <v>7.2091250000000002</v>
      </c>
      <c r="E138">
        <v>6.9901000000000005E-2</v>
      </c>
      <c r="F138">
        <v>9.9471629999999998</v>
      </c>
      <c r="G138">
        <v>19.346418</v>
      </c>
      <c r="H138">
        <v>7.5567570000000002</v>
      </c>
      <c r="I138">
        <v>50.023251000000002</v>
      </c>
      <c r="J138">
        <v>4.7625359999999999</v>
      </c>
      <c r="K138">
        <v>32.552504999999996</v>
      </c>
      <c r="L138">
        <v>24.798977000000001</v>
      </c>
      <c r="M138" s="4">
        <f t="shared" si="17"/>
        <v>-5.477726055312937E-4</v>
      </c>
      <c r="N138" s="4">
        <f t="shared" si="17"/>
        <v>1.5778946971391816E-2</v>
      </c>
      <c r="O138" s="4">
        <f t="shared" si="18"/>
        <v>3.8120245934556429E-3</v>
      </c>
      <c r="P138" s="4">
        <f t="shared" si="18"/>
        <v>-1.7457796269485293E-2</v>
      </c>
      <c r="Q138" s="4">
        <f t="shared" si="18"/>
        <v>1.9056776831657185E-2</v>
      </c>
      <c r="R138" s="4">
        <f t="shared" si="11"/>
        <v>7.1769568971831177E-3</v>
      </c>
      <c r="S138" s="4">
        <f t="shared" si="12"/>
        <v>-1.0489515067965027E-2</v>
      </c>
      <c r="T138" s="4">
        <f t="shared" si="13"/>
        <v>3.9107109202496382E-4</v>
      </c>
      <c r="U138" s="4">
        <f t="shared" si="14"/>
        <v>2.2152735821838743E-3</v>
      </c>
      <c r="V138" s="4">
        <f t="shared" si="15"/>
        <v>-6.3955123666769031E-3</v>
      </c>
      <c r="W138" s="4">
        <f t="shared" si="16"/>
        <v>4.6154260605966169E-3</v>
      </c>
    </row>
    <row r="139" spans="1:23" x14ac:dyDescent="0.25">
      <c r="A139" s="1">
        <v>44797</v>
      </c>
      <c r="B139">
        <v>4783.2202150000003</v>
      </c>
      <c r="C139">
        <v>9.6771349999999998</v>
      </c>
      <c r="D139">
        <v>7.1817479999999998</v>
      </c>
      <c r="E139">
        <v>7.1142999999999998E-2</v>
      </c>
      <c r="F139">
        <v>9.7611469999999994</v>
      </c>
      <c r="G139">
        <v>19.208559000000001</v>
      </c>
      <c r="H139">
        <v>7.6368640000000001</v>
      </c>
      <c r="I139">
        <v>50.003695999999998</v>
      </c>
      <c r="J139">
        <v>4.7520090000000001</v>
      </c>
      <c r="K139">
        <v>32.762034999999997</v>
      </c>
      <c r="L139">
        <v>24.685044999999999</v>
      </c>
      <c r="M139" s="4">
        <f t="shared" si="17"/>
        <v>-3.6162011086027235E-3</v>
      </c>
      <c r="N139" s="4">
        <f t="shared" si="17"/>
        <v>-1.9682927986370835E-3</v>
      </c>
      <c r="O139" s="4">
        <f t="shared" si="18"/>
        <v>1.2721984690955424E-3</v>
      </c>
      <c r="P139" s="4">
        <f t="shared" si="18"/>
        <v>2.4657573706269309E-2</v>
      </c>
      <c r="Q139" s="4">
        <f t="shared" si="18"/>
        <v>1.7450244086400613E-2</v>
      </c>
      <c r="R139" s="4">
        <f t="shared" si="11"/>
        <v>-2.3866612466385551E-3</v>
      </c>
      <c r="S139" s="4">
        <f t="shared" si="12"/>
        <v>-4.7227314324767011E-3</v>
      </c>
      <c r="T139" s="4">
        <f t="shared" si="13"/>
        <v>-1.3883552475926764E-2</v>
      </c>
      <c r="U139" s="4">
        <f t="shared" si="14"/>
        <v>-9.2777873912489595E-3</v>
      </c>
      <c r="V139" s="4">
        <f t="shared" si="15"/>
        <v>0</v>
      </c>
      <c r="W139" s="4">
        <f t="shared" si="16"/>
        <v>-2.3023594283569926E-3</v>
      </c>
    </row>
    <row r="140" spans="1:23" x14ac:dyDescent="0.25">
      <c r="A140" s="1">
        <v>44798</v>
      </c>
      <c r="B140">
        <v>4800.580078</v>
      </c>
      <c r="C140">
        <v>9.6962200000000003</v>
      </c>
      <c r="D140">
        <v>7.1726229999999997</v>
      </c>
      <c r="E140">
        <v>6.9431000000000007E-2</v>
      </c>
      <c r="F140">
        <v>9.5937339999999995</v>
      </c>
      <c r="G140">
        <v>19.254512999999999</v>
      </c>
      <c r="H140">
        <v>7.6731020000000001</v>
      </c>
      <c r="I140">
        <v>50.707698999999998</v>
      </c>
      <c r="J140">
        <v>4.7965099999999996</v>
      </c>
      <c r="K140">
        <v>32.762034999999997</v>
      </c>
      <c r="L140">
        <v>24.742010000000001</v>
      </c>
      <c r="M140" s="4">
        <f t="shared" si="17"/>
        <v>1.2063224518624294E-2</v>
      </c>
      <c r="N140" s="4">
        <f t="shared" si="17"/>
        <v>3.952455398073873E-3</v>
      </c>
      <c r="O140" s="4">
        <f t="shared" si="18"/>
        <v>-1.2705820365738196E-3</v>
      </c>
      <c r="P140" s="4">
        <f t="shared" si="18"/>
        <v>1.1243973841739807E-2</v>
      </c>
      <c r="Q140" s="4">
        <f t="shared" si="18"/>
        <v>2.7902420919819315E-2</v>
      </c>
      <c r="R140" s="4">
        <f t="shared" si="11"/>
        <v>2.4449827797093926E-2</v>
      </c>
      <c r="S140" s="4">
        <f t="shared" si="12"/>
        <v>2.3143428720999726E-2</v>
      </c>
      <c r="T140" s="4">
        <f t="shared" si="13"/>
        <v>1.3286424429132193E-2</v>
      </c>
      <c r="U140" s="4">
        <f t="shared" si="14"/>
        <v>1.3446600782738738E-2</v>
      </c>
      <c r="V140" s="4">
        <f t="shared" si="15"/>
        <v>4.3796325320919482E-3</v>
      </c>
      <c r="W140" s="4">
        <f t="shared" si="16"/>
        <v>8.1237826539461988E-3</v>
      </c>
    </row>
    <row r="141" spans="1:23" x14ac:dyDescent="0.25">
      <c r="A141" s="1">
        <v>44799</v>
      </c>
      <c r="B141">
        <v>4743.3598629999997</v>
      </c>
      <c r="C141">
        <v>9.6580469999999998</v>
      </c>
      <c r="D141">
        <v>7.1817479999999998</v>
      </c>
      <c r="E141">
        <v>6.8658999999999998E-2</v>
      </c>
      <c r="F141">
        <v>9.3333119999999994</v>
      </c>
      <c r="G141">
        <v>18.794979000000001</v>
      </c>
      <c r="H141">
        <v>7.4995370000000001</v>
      </c>
      <c r="I141">
        <v>50.042808999999998</v>
      </c>
      <c r="J141">
        <v>4.732869</v>
      </c>
      <c r="K141">
        <v>32.619174999999998</v>
      </c>
      <c r="L141">
        <v>24.542631</v>
      </c>
      <c r="M141" s="4">
        <f t="shared" si="17"/>
        <v>8.9893352872827403E-3</v>
      </c>
      <c r="N141" s="4">
        <f t="shared" si="17"/>
        <v>1.7085435708623864E-2</v>
      </c>
      <c r="O141" s="4">
        <f t="shared" si="18"/>
        <v>4.2384080776424859E-2</v>
      </c>
      <c r="P141" s="4">
        <f t="shared" si="18"/>
        <v>1.1878619957850001E-2</v>
      </c>
      <c r="Q141" s="4">
        <f t="shared" si="18"/>
        <v>-5.5529526339554103E-2</v>
      </c>
      <c r="R141" s="4">
        <f t="shared" si="11"/>
        <v>2.2500030873605636E-2</v>
      </c>
      <c r="S141" s="4">
        <f t="shared" si="12"/>
        <v>6.1411942050202395E-3</v>
      </c>
      <c r="T141" s="4">
        <f t="shared" si="13"/>
        <v>-8.9077437589647479E-3</v>
      </c>
      <c r="U141" s="4">
        <f t="shared" si="14"/>
        <v>2.9347323970863481E-2</v>
      </c>
      <c r="V141" s="4">
        <f t="shared" si="15"/>
        <v>1.2415030019547801E-2</v>
      </c>
      <c r="W141" s="4">
        <f t="shared" si="16"/>
        <v>3.8834754483336731E-3</v>
      </c>
    </row>
    <row r="142" spans="1:23" x14ac:dyDescent="0.25">
      <c r="A142" s="1">
        <v>44802</v>
      </c>
      <c r="B142">
        <v>4701.1000979999999</v>
      </c>
      <c r="C142">
        <v>9.4958069999999992</v>
      </c>
      <c r="D142">
        <v>6.8897329999999997</v>
      </c>
      <c r="E142">
        <v>6.7852999999999997E-2</v>
      </c>
      <c r="F142">
        <v>9.8820580000000007</v>
      </c>
      <c r="G142">
        <v>18.381397</v>
      </c>
      <c r="H142">
        <v>7.4537620000000002</v>
      </c>
      <c r="I142">
        <v>50.492584000000001</v>
      </c>
      <c r="J142">
        <v>4.5979320000000001</v>
      </c>
      <c r="K142">
        <v>32.219172999999998</v>
      </c>
      <c r="L142">
        <v>24.447689</v>
      </c>
      <c r="M142" s="4">
        <f t="shared" si="17"/>
        <v>-3.8062530653593107E-4</v>
      </c>
      <c r="N142" s="4">
        <f t="shared" si="17"/>
        <v>1.0060863798526665E-3</v>
      </c>
      <c r="O142" s="4">
        <f t="shared" si="18"/>
        <v>-6.5788942462973177E-3</v>
      </c>
      <c r="P142" s="4">
        <f t="shared" si="18"/>
        <v>-1.0283263805828557E-2</v>
      </c>
      <c r="Q142" s="4">
        <f t="shared" si="18"/>
        <v>1.286947559149576E-2</v>
      </c>
      <c r="R142" s="4">
        <f t="shared" si="11"/>
        <v>-9.9007783753771728E-3</v>
      </c>
      <c r="S142" s="4">
        <f t="shared" si="12"/>
        <v>-2.8067858395647294E-3</v>
      </c>
      <c r="T142" s="4">
        <f t="shared" si="13"/>
        <v>6.2353707012368087E-3</v>
      </c>
      <c r="U142" s="4">
        <f t="shared" si="14"/>
        <v>8.3324191180711438E-4</v>
      </c>
      <c r="V142" s="4">
        <f t="shared" si="15"/>
        <v>2.957188479675299E-4</v>
      </c>
      <c r="W142" s="4">
        <f t="shared" si="16"/>
        <v>1.9801962851756061E-2</v>
      </c>
    </row>
    <row r="143" spans="1:23" x14ac:dyDescent="0.25">
      <c r="A143" s="1">
        <v>44803</v>
      </c>
      <c r="B143">
        <v>4702.8901370000003</v>
      </c>
      <c r="C143">
        <v>9.4862629999999992</v>
      </c>
      <c r="D143">
        <v>6.9353600000000002</v>
      </c>
      <c r="E143">
        <v>6.8557999999999994E-2</v>
      </c>
      <c r="F143">
        <v>9.7564969999999995</v>
      </c>
      <c r="G143">
        <v>18.565207000000001</v>
      </c>
      <c r="H143">
        <v>7.474742</v>
      </c>
      <c r="I143">
        <v>50.179695000000002</v>
      </c>
      <c r="J143">
        <v>4.5941039999999997</v>
      </c>
      <c r="K143">
        <v>32.209648000000001</v>
      </c>
      <c r="L143">
        <v>23.972977</v>
      </c>
      <c r="M143" s="4">
        <f t="shared" si="17"/>
        <v>2.0634443293277016E-4</v>
      </c>
      <c r="N143" s="4">
        <f t="shared" si="17"/>
        <v>-3.3073849052395854E-2</v>
      </c>
      <c r="O143" s="4">
        <f t="shared" si="18"/>
        <v>-1.2987049952217333E-2</v>
      </c>
      <c r="P143" s="4">
        <f t="shared" si="18"/>
        <v>-9.7632058287810963E-4</v>
      </c>
      <c r="Q143" s="4">
        <f t="shared" si="18"/>
        <v>2.3914145877034887E-2</v>
      </c>
      <c r="R143" s="4">
        <f t="shared" si="11"/>
        <v>-1.4634308676147678E-2</v>
      </c>
      <c r="S143" s="4">
        <f t="shared" si="12"/>
        <v>2.3016859229210151E-3</v>
      </c>
      <c r="T143" s="4">
        <f t="shared" si="13"/>
        <v>4.2030464977876214E-2</v>
      </c>
      <c r="U143" s="4">
        <f t="shared" si="14"/>
        <v>-4.2198598564372802E-2</v>
      </c>
      <c r="V143" s="4">
        <f t="shared" si="15"/>
        <v>-2.0656011630570958E-3</v>
      </c>
      <c r="W143" s="4">
        <f t="shared" si="16"/>
        <v>-1.976149900636659E-3</v>
      </c>
    </row>
    <row r="144" spans="1:23" x14ac:dyDescent="0.25">
      <c r="A144" s="1">
        <v>44804</v>
      </c>
      <c r="B144">
        <v>4701.919922</v>
      </c>
      <c r="C144">
        <v>9.8107419999999994</v>
      </c>
      <c r="D144">
        <v>7.0266149999999996</v>
      </c>
      <c r="E144">
        <v>6.8625000000000005E-2</v>
      </c>
      <c r="F144">
        <v>9.5286279999999994</v>
      </c>
      <c r="G144">
        <v>18.840931000000001</v>
      </c>
      <c r="H144">
        <v>7.4575769999999997</v>
      </c>
      <c r="I144">
        <v>48.155689000000002</v>
      </c>
      <c r="J144">
        <v>4.7965099999999996</v>
      </c>
      <c r="K144">
        <v>32.276318000000003</v>
      </c>
      <c r="L144">
        <v>24.020444999999999</v>
      </c>
      <c r="M144" s="4">
        <f t="shared" si="17"/>
        <v>2.5491573030077763E-2</v>
      </c>
      <c r="N144" s="4">
        <f t="shared" si="17"/>
        <v>5.220042333653363E-2</v>
      </c>
      <c r="O144" s="4">
        <f t="shared" si="18"/>
        <v>-1.0282805316735977E-2</v>
      </c>
      <c r="P144" s="4">
        <f t="shared" si="18"/>
        <v>2.6106849683757316E-2</v>
      </c>
      <c r="Q144" s="4">
        <f t="shared" si="18"/>
        <v>6.4968759957578337E-2</v>
      </c>
      <c r="R144" s="4">
        <f t="shared" si="11"/>
        <v>1.7369923074111115E-2</v>
      </c>
      <c r="S144" s="4">
        <f t="shared" si="12"/>
        <v>5.5045875453385573E-2</v>
      </c>
      <c r="T144" s="4">
        <f t="shared" si="13"/>
        <v>2.9903671646555496E-2</v>
      </c>
      <c r="U144" s="4">
        <f t="shared" si="14"/>
        <v>6.6278007500215619E-3</v>
      </c>
      <c r="V144" s="4">
        <f t="shared" si="15"/>
        <v>2.7904157321162248E-2</v>
      </c>
      <c r="W144" s="4">
        <f t="shared" si="16"/>
        <v>2.8037337179257271E-2</v>
      </c>
    </row>
    <row r="145" spans="1:23" x14ac:dyDescent="0.25">
      <c r="A145" s="1">
        <v>44805</v>
      </c>
      <c r="B145">
        <v>4585.0400390000004</v>
      </c>
      <c r="C145">
        <v>9.3240239999999996</v>
      </c>
      <c r="D145">
        <v>7.0996189999999997</v>
      </c>
      <c r="E145">
        <v>6.6878999999999994E-2</v>
      </c>
      <c r="F145">
        <v>8.9473310000000001</v>
      </c>
      <c r="G145">
        <v>18.519252999999999</v>
      </c>
      <c r="H145">
        <v>7.068486</v>
      </c>
      <c r="I145">
        <v>46.757469</v>
      </c>
      <c r="J145">
        <v>4.7649290000000004</v>
      </c>
      <c r="K145">
        <v>31.400124000000002</v>
      </c>
      <c r="L145">
        <v>23.365342999999999</v>
      </c>
      <c r="M145" s="4">
        <f t="shared" si="17"/>
        <v>-1.8411317240263125E-2</v>
      </c>
      <c r="N145" s="4">
        <f t="shared" si="17"/>
        <v>-1.2133436654332197E-2</v>
      </c>
      <c r="O145" s="4">
        <f t="shared" si="18"/>
        <v>3.4574418089877712E-2</v>
      </c>
      <c r="P145" s="4">
        <f t="shared" si="18"/>
        <v>-1.5079128097940098E-3</v>
      </c>
      <c r="Q145" s="4">
        <f t="shared" si="18"/>
        <v>-4.7524704413043239E-2</v>
      </c>
      <c r="R145" s="4">
        <f t="shared" si="11"/>
        <v>-7.3892985389595323E-3</v>
      </c>
      <c r="S145" s="4">
        <f t="shared" si="12"/>
        <v>-3.8651103169934697E-2</v>
      </c>
      <c r="T145" s="4">
        <f t="shared" si="13"/>
        <v>-2.3483751151478494E-2</v>
      </c>
      <c r="U145" s="4">
        <f t="shared" si="14"/>
        <v>-1.6007819188897376E-2</v>
      </c>
      <c r="V145" s="4">
        <f t="shared" si="15"/>
        <v>-4.228176343390011E-3</v>
      </c>
      <c r="W145" s="4">
        <f t="shared" si="16"/>
        <v>-2.5732420388725585E-2</v>
      </c>
    </row>
    <row r="146" spans="1:23" x14ac:dyDescent="0.25">
      <c r="A146" s="1">
        <v>44806</v>
      </c>
      <c r="B146">
        <v>4671.0400390000004</v>
      </c>
      <c r="C146">
        <v>9.4385460000000005</v>
      </c>
      <c r="D146">
        <v>6.8623570000000003</v>
      </c>
      <c r="E146">
        <v>6.6979999999999998E-2</v>
      </c>
      <c r="F146">
        <v>9.3937670000000004</v>
      </c>
      <c r="G146">
        <v>18.657115999999998</v>
      </c>
      <c r="H146">
        <v>7.3526749999999996</v>
      </c>
      <c r="I146">
        <v>47.881915999999997</v>
      </c>
      <c r="J146">
        <v>4.8424459999999998</v>
      </c>
      <c r="K146">
        <v>31.533453000000002</v>
      </c>
      <c r="L146">
        <v>23.982469999999999</v>
      </c>
      <c r="M146" s="4">
        <f t="shared" si="17"/>
        <v>1.7604795261260575E-2</v>
      </c>
      <c r="N146" s="4">
        <f t="shared" si="17"/>
        <v>1.8537651015532841E-2</v>
      </c>
      <c r="O146" s="4">
        <f t="shared" si="18"/>
        <v>2.7322482086790334E-2</v>
      </c>
      <c r="P146" s="4">
        <f t="shared" si="18"/>
        <v>1.0119289990800473E-2</v>
      </c>
      <c r="Q146" s="4">
        <f t="shared" si="18"/>
        <v>9.7825914195893482E-2</v>
      </c>
      <c r="R146" s="4">
        <f t="shared" si="11"/>
        <v>1.2468803841507503E-2</v>
      </c>
      <c r="S146" s="4">
        <f t="shared" si="12"/>
        <v>2.1192096209908362E-2</v>
      </c>
      <c r="T146" s="4">
        <f t="shared" si="13"/>
        <v>1.3032668467329867E-2</v>
      </c>
      <c r="U146" s="4">
        <f t="shared" si="14"/>
        <v>7.7673349880948983E-3</v>
      </c>
      <c r="V146" s="4">
        <f t="shared" si="15"/>
        <v>8.2215895531416727E-3</v>
      </c>
      <c r="W146" s="4">
        <f t="shared" si="16"/>
        <v>3.0599773506266637E-2</v>
      </c>
    </row>
    <row r="147" spans="1:23" x14ac:dyDescent="0.25">
      <c r="A147" s="1">
        <v>44809</v>
      </c>
      <c r="B147">
        <v>4590.2299800000001</v>
      </c>
      <c r="C147">
        <v>9.2667619999999999</v>
      </c>
      <c r="D147">
        <v>6.6798469999999996</v>
      </c>
      <c r="E147">
        <v>6.6309000000000007E-2</v>
      </c>
      <c r="F147">
        <v>8.5566999999999993</v>
      </c>
      <c r="G147">
        <v>18.427349</v>
      </c>
      <c r="H147">
        <v>7.2000900000000003</v>
      </c>
      <c r="I147">
        <v>47.265915</v>
      </c>
      <c r="J147">
        <v>4.805123</v>
      </c>
      <c r="K147">
        <v>31.276312000000001</v>
      </c>
      <c r="L147">
        <v>23.270401</v>
      </c>
      <c r="M147" s="4">
        <f t="shared" si="17"/>
        <v>-5.6176479472391794E-4</v>
      </c>
      <c r="N147" s="4">
        <f t="shared" si="17"/>
        <v>-5.1229912995679472E-3</v>
      </c>
      <c r="O147" s="4">
        <f t="shared" si="18"/>
        <v>-1.2145710070547433E-2</v>
      </c>
      <c r="P147" s="4">
        <f t="shared" si="18"/>
        <v>-1.100720390174037E-2</v>
      </c>
      <c r="Q147" s="4">
        <f t="shared" si="18"/>
        <v>0</v>
      </c>
      <c r="R147" s="4">
        <f t="shared" si="11"/>
        <v>3.5036191230501945E-3</v>
      </c>
      <c r="S147" s="4">
        <f t="shared" si="12"/>
        <v>-8.9262965594066879E-3</v>
      </c>
      <c r="T147" s="4">
        <f t="shared" si="13"/>
        <v>1.6186758030332093E-2</v>
      </c>
      <c r="U147" s="4">
        <f t="shared" si="14"/>
        <v>3.7984599765192861E-3</v>
      </c>
      <c r="V147" s="4">
        <f t="shared" si="15"/>
        <v>-6.6545477782453677E-3</v>
      </c>
      <c r="W147" s="4">
        <f t="shared" si="16"/>
        <v>-2.0358632195998094E-3</v>
      </c>
    </row>
    <row r="148" spans="1:23" x14ac:dyDescent="0.25">
      <c r="A148" s="1">
        <v>44810</v>
      </c>
      <c r="B148">
        <v>4592.8100590000004</v>
      </c>
      <c r="C148">
        <v>9.3144799999999996</v>
      </c>
      <c r="D148">
        <v>6.7619759999999998</v>
      </c>
      <c r="E148">
        <v>6.7046999999999995E-2</v>
      </c>
      <c r="F148">
        <v>8.5566999999999993</v>
      </c>
      <c r="G148">
        <v>18.363012000000001</v>
      </c>
      <c r="H148">
        <v>7.264939</v>
      </c>
      <c r="I148">
        <v>46.513019999999997</v>
      </c>
      <c r="J148">
        <v>4.7869400000000004</v>
      </c>
      <c r="K148">
        <v>31.485835999999999</v>
      </c>
      <c r="L148">
        <v>23.317872999999999</v>
      </c>
      <c r="M148" s="4">
        <f t="shared" si="17"/>
        <v>-4.2904302518184112E-3</v>
      </c>
      <c r="N148" s="4">
        <f t="shared" si="17"/>
        <v>-1.4141378219447276E-2</v>
      </c>
      <c r="O148" s="4">
        <f t="shared" si="18"/>
        <v>-1.0680938349490465E-2</v>
      </c>
      <c r="P148" s="4">
        <f t="shared" si="18"/>
        <v>1.8347787785355285E-2</v>
      </c>
      <c r="Q148" s="4">
        <f t="shared" si="18"/>
        <v>-6.3327088628324368E-2</v>
      </c>
      <c r="R148" s="4">
        <f t="shared" si="11"/>
        <v>-1.3333502407479547E-2</v>
      </c>
      <c r="S148" s="4">
        <f t="shared" si="12"/>
        <v>-8.8471875103600661E-3</v>
      </c>
      <c r="T148" s="4">
        <f t="shared" si="13"/>
        <v>1.2127749777008034E-2</v>
      </c>
      <c r="U148" s="4">
        <f t="shared" si="14"/>
        <v>0</v>
      </c>
      <c r="V148" s="4">
        <f t="shared" si="15"/>
        <v>-1.3134351898326901E-2</v>
      </c>
      <c r="W148" s="4">
        <f t="shared" si="16"/>
        <v>1.4876036295138118E-2</v>
      </c>
    </row>
    <row r="149" spans="1:23" x14ac:dyDescent="0.25">
      <c r="A149" s="1">
        <v>44811</v>
      </c>
      <c r="B149">
        <v>4612.6000979999999</v>
      </c>
      <c r="C149">
        <v>9.4480889999999995</v>
      </c>
      <c r="D149">
        <v>6.8349799999999998</v>
      </c>
      <c r="E149">
        <v>6.5838999999999995E-2</v>
      </c>
      <c r="F149">
        <v>9.1352060000000002</v>
      </c>
      <c r="G149">
        <v>18.611163999999999</v>
      </c>
      <c r="H149">
        <v>7.3297869999999996</v>
      </c>
      <c r="I149">
        <v>45.955680999999998</v>
      </c>
      <c r="J149">
        <v>4.7869400000000004</v>
      </c>
      <c r="K149">
        <v>31.904886000000001</v>
      </c>
      <c r="L149">
        <v>22.97608</v>
      </c>
      <c r="M149" s="4">
        <f t="shared" si="17"/>
        <v>-1.9041425080291718E-3</v>
      </c>
      <c r="N149" s="4">
        <f t="shared" si="17"/>
        <v>-1.3944188180424755E-2</v>
      </c>
      <c r="O149" s="4">
        <f t="shared" si="18"/>
        <v>-3.9894456088483965E-3</v>
      </c>
      <c r="P149" s="4">
        <f t="shared" si="18"/>
        <v>0</v>
      </c>
      <c r="Q149" s="4">
        <f t="shared" si="18"/>
        <v>3.7388995634774602E-2</v>
      </c>
      <c r="R149" s="4">
        <f t="shared" ref="R149:R211" si="19">G149/G150-1</f>
        <v>9.9751190472379125E-3</v>
      </c>
      <c r="S149" s="4">
        <f t="shared" ref="S149:S211" si="20">H149/H150-1</f>
        <v>-1.1828207340914276E-2</v>
      </c>
      <c r="T149" s="4">
        <f t="shared" ref="T149:T211" si="21">I149/I150-1</f>
        <v>-3.6040357915825272E-3</v>
      </c>
      <c r="U149" s="4">
        <f t="shared" ref="U149:U211" si="22">J149/J150-1</f>
        <v>-1.5970059631705835E-3</v>
      </c>
      <c r="V149" s="4">
        <f t="shared" ref="V149:V211" si="23">K149/K150-1</f>
        <v>-7.4074023374682829E-3</v>
      </c>
      <c r="W149" s="4">
        <f t="shared" ref="W149:W211" si="24">L149/L150-1</f>
        <v>-9.0089468375866844E-3</v>
      </c>
    </row>
    <row r="150" spans="1:23" x14ac:dyDescent="0.25">
      <c r="A150" s="1">
        <v>44812</v>
      </c>
      <c r="B150">
        <v>4621.3999020000001</v>
      </c>
      <c r="C150">
        <v>9.5816979999999994</v>
      </c>
      <c r="D150">
        <v>6.8623570000000003</v>
      </c>
      <c r="E150">
        <v>6.5838999999999995E-2</v>
      </c>
      <c r="F150">
        <v>8.8059600000000007</v>
      </c>
      <c r="G150">
        <v>18.427349</v>
      </c>
      <c r="H150">
        <v>7.4175230000000001</v>
      </c>
      <c r="I150">
        <v>46.121906000000003</v>
      </c>
      <c r="J150">
        <v>4.7945970000000004</v>
      </c>
      <c r="K150">
        <v>32.142982000000003</v>
      </c>
      <c r="L150">
        <v>23.184951999999999</v>
      </c>
      <c r="M150" s="4">
        <f t="shared" si="17"/>
        <v>-1.5812507650618257E-2</v>
      </c>
      <c r="N150" s="4">
        <f t="shared" si="17"/>
        <v>-1.1810994387503659E-2</v>
      </c>
      <c r="O150" s="4">
        <f t="shared" si="18"/>
        <v>-1.1826505230192685E-2</v>
      </c>
      <c r="P150" s="4">
        <f t="shared" si="18"/>
        <v>-1.0165993991444466E-3</v>
      </c>
      <c r="Q150" s="4">
        <f t="shared" si="18"/>
        <v>-3.8391146606376547E-2</v>
      </c>
      <c r="R150" s="4">
        <f t="shared" si="19"/>
        <v>-1.2315247436956445E-2</v>
      </c>
      <c r="S150" s="4">
        <f t="shared" si="20"/>
        <v>-2.5557443785315548E-2</v>
      </c>
      <c r="T150" s="4">
        <f t="shared" si="21"/>
        <v>-1.2973511846203767E-2</v>
      </c>
      <c r="U150" s="4">
        <f t="shared" si="22"/>
        <v>-1.1834050011376607E-2</v>
      </c>
      <c r="V150" s="4">
        <f t="shared" si="23"/>
        <v>-1.0843978622056216E-2</v>
      </c>
      <c r="W150" s="4">
        <f t="shared" si="24"/>
        <v>-2.8253142571297296E-2</v>
      </c>
    </row>
    <row r="151" spans="1:23" x14ac:dyDescent="0.25">
      <c r="A151" s="1">
        <v>44813</v>
      </c>
      <c r="B151">
        <v>4695.6499020000001</v>
      </c>
      <c r="C151">
        <v>9.6962200000000003</v>
      </c>
      <c r="D151">
        <v>6.9444860000000004</v>
      </c>
      <c r="E151">
        <v>6.5906000000000006E-2</v>
      </c>
      <c r="F151">
        <v>9.1575279999999992</v>
      </c>
      <c r="G151">
        <v>18.657115999999998</v>
      </c>
      <c r="H151">
        <v>7.6120679999999998</v>
      </c>
      <c r="I151">
        <v>46.728133999999997</v>
      </c>
      <c r="J151">
        <v>4.8520159999999999</v>
      </c>
      <c r="K151">
        <v>32.495361000000003</v>
      </c>
      <c r="L151">
        <v>23.859044999999998</v>
      </c>
      <c r="M151" s="4">
        <f t="shared" si="17"/>
        <v>-1.5068794790110029E-2</v>
      </c>
      <c r="N151" s="4">
        <f t="shared" si="17"/>
        <v>-1.3592300172027283E-2</v>
      </c>
      <c r="O151" s="4">
        <f t="shared" si="18"/>
        <v>-7.195109695614843E-2</v>
      </c>
      <c r="P151" s="4">
        <f t="shared" si="18"/>
        <v>-1.5549613873661272E-2</v>
      </c>
      <c r="Q151" s="4">
        <f t="shared" si="18"/>
        <v>-3.4232414594029925E-2</v>
      </c>
      <c r="R151" s="4">
        <f t="shared" si="19"/>
        <v>-2.7669882192804862E-2</v>
      </c>
      <c r="S151" s="4">
        <f t="shared" si="20"/>
        <v>-3.692106973175735E-2</v>
      </c>
      <c r="T151" s="4">
        <f t="shared" si="21"/>
        <v>-4.7896384603316466E-3</v>
      </c>
      <c r="U151" s="4">
        <f t="shared" si="22"/>
        <v>-6.6616099112406513E-3</v>
      </c>
      <c r="V151" s="4">
        <f t="shared" si="23"/>
        <v>-1.301709531378914E-2</v>
      </c>
      <c r="W151" s="4">
        <f t="shared" si="24"/>
        <v>-1.9856511917358821E-3</v>
      </c>
    </row>
    <row r="152" spans="1:23" x14ac:dyDescent="0.25">
      <c r="A152" s="1">
        <v>44816</v>
      </c>
      <c r="B152">
        <v>4767.4902339999999</v>
      </c>
      <c r="C152">
        <v>9.8298299999999994</v>
      </c>
      <c r="D152">
        <v>7.482888</v>
      </c>
      <c r="E152">
        <v>6.6947000000000007E-2</v>
      </c>
      <c r="F152">
        <v>9.4821240000000007</v>
      </c>
      <c r="G152">
        <v>19.188047000000001</v>
      </c>
      <c r="H152">
        <v>7.9038880000000002</v>
      </c>
      <c r="I152">
        <v>46.953021999999997</v>
      </c>
      <c r="J152">
        <v>4.8845549999999998</v>
      </c>
      <c r="K152">
        <v>32.923935</v>
      </c>
      <c r="L152">
        <v>23.906514999999999</v>
      </c>
      <c r="M152" s="4">
        <f t="shared" si="17"/>
        <v>1.4931851903025928E-2</v>
      </c>
      <c r="N152" s="4">
        <f t="shared" si="17"/>
        <v>1.1787788920330611E-2</v>
      </c>
      <c r="O152" s="4">
        <f t="shared" si="18"/>
        <v>6.0802033912433329E-2</v>
      </c>
      <c r="P152" s="4">
        <f t="shared" si="18"/>
        <v>3.4233983717229854E-2</v>
      </c>
      <c r="Q152" s="4">
        <f t="shared" si="18"/>
        <v>4.2220364183216841E-2</v>
      </c>
      <c r="R152" s="4">
        <f t="shared" si="19"/>
        <v>2.4875550940030466E-2</v>
      </c>
      <c r="S152" s="4">
        <f t="shared" si="20"/>
        <v>1.8181968081913302E-2</v>
      </c>
      <c r="T152" s="4">
        <f t="shared" si="21"/>
        <v>6.2389328840104064E-2</v>
      </c>
      <c r="U152" s="4">
        <f t="shared" si="22"/>
        <v>8.2972776589682606E-3</v>
      </c>
      <c r="V152" s="4">
        <f t="shared" si="23"/>
        <v>-9.1717102737004508E-3</v>
      </c>
      <c r="W152" s="4">
        <f t="shared" si="24"/>
        <v>1.9845999148767168E-2</v>
      </c>
    </row>
    <row r="153" spans="1:23" x14ac:dyDescent="0.25">
      <c r="A153" s="1">
        <v>44817</v>
      </c>
      <c r="B153">
        <v>4697.3500979999999</v>
      </c>
      <c r="C153">
        <v>9.7153080000000003</v>
      </c>
      <c r="D153">
        <v>7.0539909999999999</v>
      </c>
      <c r="E153">
        <v>6.4730999999999997E-2</v>
      </c>
      <c r="F153">
        <v>9.0980030000000003</v>
      </c>
      <c r="G153">
        <v>18.722318999999999</v>
      </c>
      <c r="H153">
        <v>7.7627459999999999</v>
      </c>
      <c r="I153">
        <v>44.195683000000002</v>
      </c>
      <c r="J153">
        <v>4.84436</v>
      </c>
      <c r="K153">
        <v>33.228698999999999</v>
      </c>
      <c r="L153">
        <v>23.441299000000001</v>
      </c>
      <c r="M153" s="4">
        <f t="shared" si="17"/>
        <v>1.2787741912807515E-2</v>
      </c>
      <c r="N153" s="4">
        <f t="shared" si="17"/>
        <v>7.9207715355182895E-3</v>
      </c>
      <c r="O153" s="4">
        <f t="shared" si="18"/>
        <v>-3.2540767335769716E-2</v>
      </c>
      <c r="P153" s="4">
        <f t="shared" si="18"/>
        <v>-5.6682027649770372E-3</v>
      </c>
      <c r="Q153" s="4">
        <f t="shared" si="18"/>
        <v>-1.8265881308405674E-2</v>
      </c>
      <c r="R153" s="4">
        <f t="shared" si="19"/>
        <v>1.2084642609713203E-2</v>
      </c>
      <c r="S153" s="4">
        <f t="shared" si="20"/>
        <v>1.5469044186449121E-2</v>
      </c>
      <c r="T153" s="4">
        <f t="shared" si="21"/>
        <v>5.1145770836826809E-3</v>
      </c>
      <c r="U153" s="4">
        <f t="shared" si="22"/>
        <v>1.8510965209208141E-2</v>
      </c>
      <c r="V153" s="4">
        <f t="shared" si="23"/>
        <v>1.9877212165908098E-2</v>
      </c>
      <c r="W153" s="4">
        <f t="shared" si="24"/>
        <v>4.6186484457025223E-2</v>
      </c>
    </row>
    <row r="154" spans="1:23" x14ac:dyDescent="0.25">
      <c r="A154" s="1">
        <v>44818</v>
      </c>
      <c r="B154">
        <v>4638.0400390000004</v>
      </c>
      <c r="C154">
        <v>9.6389600000000009</v>
      </c>
      <c r="D154">
        <v>7.2912540000000003</v>
      </c>
      <c r="E154">
        <v>6.5100000000000005E-2</v>
      </c>
      <c r="F154">
        <v>9.2672779999999992</v>
      </c>
      <c r="G154">
        <v>18.498767999999998</v>
      </c>
      <c r="H154">
        <v>7.6444929999999998</v>
      </c>
      <c r="I154">
        <v>43.970790999999998</v>
      </c>
      <c r="J154">
        <v>4.756316</v>
      </c>
      <c r="K154">
        <v>32.581077999999998</v>
      </c>
      <c r="L154">
        <v>22.406424999999999</v>
      </c>
      <c r="M154" s="4">
        <f t="shared" si="17"/>
        <v>-1.6122479774390852E-3</v>
      </c>
      <c r="N154" s="4">
        <f t="shared" si="17"/>
        <v>-1.7509582863355133E-2</v>
      </c>
      <c r="O154" s="4">
        <f t="shared" si="18"/>
        <v>3.768785764298288E-3</v>
      </c>
      <c r="P154" s="4">
        <f t="shared" si="18"/>
        <v>4.1492495873889368E-3</v>
      </c>
      <c r="Q154" s="4">
        <f t="shared" si="18"/>
        <v>-2.6477607082937782E-2</v>
      </c>
      <c r="R154" s="4">
        <f t="shared" si="19"/>
        <v>0</v>
      </c>
      <c r="S154" s="4">
        <f t="shared" si="20"/>
        <v>-1.3536798679122719E-2</v>
      </c>
      <c r="T154" s="4">
        <f t="shared" si="21"/>
        <v>9.8810385212042551E-3</v>
      </c>
      <c r="U154" s="4">
        <f t="shared" si="22"/>
        <v>1.2426302773685061E-2</v>
      </c>
      <c r="V154" s="4">
        <f t="shared" si="23"/>
        <v>-1.0127326287119431E-2</v>
      </c>
      <c r="W154" s="4">
        <f t="shared" si="24"/>
        <v>7.2556001737735798E-3</v>
      </c>
    </row>
    <row r="155" spans="1:23" x14ac:dyDescent="0.25">
      <c r="A155" s="1">
        <v>44819</v>
      </c>
      <c r="B155">
        <v>4645.5297849999997</v>
      </c>
      <c r="C155">
        <v>9.8107419999999994</v>
      </c>
      <c r="D155">
        <v>7.2638780000000001</v>
      </c>
      <c r="E155">
        <v>6.4831E-2</v>
      </c>
      <c r="F155">
        <v>9.5193270000000005</v>
      </c>
      <c r="G155">
        <v>18.498767999999998</v>
      </c>
      <c r="H155">
        <v>7.7493949999999998</v>
      </c>
      <c r="I155">
        <v>43.540565000000001</v>
      </c>
      <c r="J155">
        <v>4.6979379999999997</v>
      </c>
      <c r="K155">
        <v>32.914413000000003</v>
      </c>
      <c r="L155">
        <v>22.245024000000001</v>
      </c>
      <c r="M155" s="4">
        <f t="shared" si="17"/>
        <v>9.4391770853050616E-3</v>
      </c>
      <c r="N155" s="4">
        <f t="shared" si="17"/>
        <v>7.8430143835339639E-3</v>
      </c>
      <c r="O155" s="4">
        <f t="shared" si="18"/>
        <v>-1.118008735902376E-2</v>
      </c>
      <c r="P155" s="4">
        <f t="shared" si="18"/>
        <v>-8.2302008597346932E-3</v>
      </c>
      <c r="Q155" s="4">
        <f t="shared" si="18"/>
        <v>-7.2076304894782894E-2</v>
      </c>
      <c r="R155" s="4">
        <f t="shared" si="19"/>
        <v>5.0607363337136224E-3</v>
      </c>
      <c r="S155" s="4">
        <f t="shared" si="20"/>
        <v>5.3955873202609972E-2</v>
      </c>
      <c r="T155" s="4">
        <f t="shared" si="21"/>
        <v>1.7131148973252852E-2</v>
      </c>
      <c r="U155" s="4">
        <f t="shared" si="22"/>
        <v>6.9848258535955443E-2</v>
      </c>
      <c r="V155" s="4">
        <f t="shared" si="23"/>
        <v>-1.5104051930900253E-2</v>
      </c>
      <c r="W155" s="4">
        <f t="shared" si="24"/>
        <v>2.7631738019741725E-2</v>
      </c>
    </row>
    <row r="156" spans="1:23" x14ac:dyDescent="0.25">
      <c r="A156" s="1">
        <v>44820</v>
      </c>
      <c r="B156">
        <v>4602.0898440000001</v>
      </c>
      <c r="C156">
        <v>9.7343949999999992</v>
      </c>
      <c r="D156">
        <v>7.3460070000000002</v>
      </c>
      <c r="E156">
        <v>6.5368999999999997E-2</v>
      </c>
      <c r="F156">
        <v>10.258739</v>
      </c>
      <c r="G156">
        <v>18.405622000000001</v>
      </c>
      <c r="H156">
        <v>7.3526749999999996</v>
      </c>
      <c r="I156">
        <v>42.807228000000002</v>
      </c>
      <c r="J156">
        <v>4.3912190000000004</v>
      </c>
      <c r="K156">
        <v>33.419178000000002</v>
      </c>
      <c r="L156">
        <v>21.646882999999999</v>
      </c>
      <c r="M156" s="4">
        <f t="shared" si="17"/>
        <v>8.5401492839991544E-3</v>
      </c>
      <c r="N156" s="4">
        <f t="shared" si="17"/>
        <v>1.9999947608456914E-2</v>
      </c>
      <c r="O156" s="4">
        <f t="shared" si="18"/>
        <v>3.4704397517669738E-2</v>
      </c>
      <c r="P156" s="4">
        <f t="shared" si="18"/>
        <v>-1.5274404680077902E-3</v>
      </c>
      <c r="Q156" s="4">
        <f t="shared" si="18"/>
        <v>-1.8099041191592669E-3</v>
      </c>
      <c r="R156" s="4">
        <f t="shared" si="19"/>
        <v>-5.0352542396335798E-3</v>
      </c>
      <c r="S156" s="4">
        <f t="shared" si="20"/>
        <v>0</v>
      </c>
      <c r="T156" s="4">
        <f t="shared" si="21"/>
        <v>8.9880945365921061E-3</v>
      </c>
      <c r="U156" s="4">
        <f t="shared" si="22"/>
        <v>-1.0884175297143361E-4</v>
      </c>
      <c r="V156" s="4">
        <f t="shared" si="23"/>
        <v>8.9132523381278972E-3</v>
      </c>
      <c r="W156" s="4">
        <f t="shared" si="24"/>
        <v>-9.5570233914090696E-3</v>
      </c>
    </row>
    <row r="157" spans="1:23" x14ac:dyDescent="0.25">
      <c r="A157" s="1">
        <v>44823</v>
      </c>
      <c r="B157">
        <v>4563.1201170000004</v>
      </c>
      <c r="C157">
        <v>9.5435250000000007</v>
      </c>
      <c r="D157">
        <v>7.0996189999999997</v>
      </c>
      <c r="E157">
        <v>6.5468999999999999E-2</v>
      </c>
      <c r="F157">
        <v>10.277340000000001</v>
      </c>
      <c r="G157">
        <v>18.498767999999998</v>
      </c>
      <c r="H157">
        <v>7.3526749999999996</v>
      </c>
      <c r="I157">
        <v>42.425899999999999</v>
      </c>
      <c r="J157">
        <v>4.3916969999999997</v>
      </c>
      <c r="K157">
        <v>33.123936</v>
      </c>
      <c r="L157">
        <v>21.855758999999999</v>
      </c>
      <c r="M157" s="4">
        <f t="shared" si="17"/>
        <v>1.5805454473781122E-2</v>
      </c>
      <c r="N157" s="4">
        <f t="shared" si="17"/>
        <v>3.009071882461356E-3</v>
      </c>
      <c r="O157" s="4">
        <f t="shared" si="18"/>
        <v>2.5773268667861338E-3</v>
      </c>
      <c r="P157" s="4">
        <f t="shared" si="18"/>
        <v>0</v>
      </c>
      <c r="Q157" s="4">
        <f t="shared" si="18"/>
        <v>-8.6776874191392905E-2</v>
      </c>
      <c r="R157" s="4">
        <f t="shared" si="19"/>
        <v>4.1972724294074171E-2</v>
      </c>
      <c r="S157" s="4">
        <f t="shared" si="20"/>
        <v>1.474082114419728E-2</v>
      </c>
      <c r="T157" s="4">
        <f t="shared" si="21"/>
        <v>1.4733571058580308E-2</v>
      </c>
      <c r="U157" s="4">
        <f t="shared" si="22"/>
        <v>-2.3912913109375156E-3</v>
      </c>
      <c r="V157" s="4">
        <f t="shared" si="23"/>
        <v>1.3994212470830547E-2</v>
      </c>
      <c r="W157" s="4">
        <f t="shared" si="24"/>
        <v>2.2202515255801636E-2</v>
      </c>
    </row>
    <row r="158" spans="1:23" x14ac:dyDescent="0.25">
      <c r="A158" s="1">
        <v>44824</v>
      </c>
      <c r="B158">
        <v>4492.1201170000004</v>
      </c>
      <c r="C158">
        <v>9.514894</v>
      </c>
      <c r="D158">
        <v>7.0813680000000003</v>
      </c>
      <c r="E158">
        <v>6.5468999999999999E-2</v>
      </c>
      <c r="F158">
        <v>11.253920000000001</v>
      </c>
      <c r="G158">
        <v>17.753601</v>
      </c>
      <c r="H158">
        <v>7.2458650000000002</v>
      </c>
      <c r="I158">
        <v>41.809891</v>
      </c>
      <c r="J158">
        <v>4.4022240000000004</v>
      </c>
      <c r="K158">
        <v>32.666789999999999</v>
      </c>
      <c r="L158">
        <v>21.381046000000001</v>
      </c>
      <c r="M158" s="4">
        <f t="shared" si="17"/>
        <v>-1.1739104172668657E-2</v>
      </c>
      <c r="N158" s="4">
        <f t="shared" si="17"/>
        <v>6.0545811044454556E-3</v>
      </c>
      <c r="O158" s="4">
        <f t="shared" si="18"/>
        <v>0</v>
      </c>
      <c r="P158" s="4">
        <f t="shared" si="18"/>
        <v>7.2308804750842448E-3</v>
      </c>
      <c r="Q158" s="4">
        <f t="shared" si="18"/>
        <v>-8.6792420371895607E-2</v>
      </c>
      <c r="R158" s="4">
        <f t="shared" si="19"/>
        <v>-9.3554790195311543E-3</v>
      </c>
      <c r="S158" s="4">
        <f t="shared" si="20"/>
        <v>-9.903607961528893E-3</v>
      </c>
      <c r="T158" s="4">
        <f t="shared" si="21"/>
        <v>-1.7011644128133829E-2</v>
      </c>
      <c r="U158" s="4">
        <f t="shared" si="22"/>
        <v>-3.1421389914176867E-3</v>
      </c>
      <c r="V158" s="4">
        <f t="shared" si="23"/>
        <v>2.6307294068048659E-3</v>
      </c>
      <c r="W158" s="4">
        <f t="shared" si="24"/>
        <v>-2.6571961363391905E-3</v>
      </c>
    </row>
    <row r="159" spans="1:23" x14ac:dyDescent="0.25">
      <c r="A159" s="1">
        <v>44825</v>
      </c>
      <c r="B159">
        <v>4545.4799800000001</v>
      </c>
      <c r="C159">
        <v>9.4576320000000003</v>
      </c>
      <c r="D159">
        <v>7.0813680000000003</v>
      </c>
      <c r="E159">
        <v>6.4999000000000001E-2</v>
      </c>
      <c r="F159">
        <v>12.323506999999999</v>
      </c>
      <c r="G159">
        <v>17.921263</v>
      </c>
      <c r="H159">
        <v>7.3183429999999996</v>
      </c>
      <c r="I159">
        <v>42.533454999999996</v>
      </c>
      <c r="J159">
        <v>4.4161000000000001</v>
      </c>
      <c r="K159">
        <v>32.581077999999998</v>
      </c>
      <c r="L159">
        <v>21.438010999999999</v>
      </c>
      <c r="M159" s="4">
        <f t="shared" si="17"/>
        <v>1.5239260706907176E-2</v>
      </c>
      <c r="N159" s="4">
        <f t="shared" si="17"/>
        <v>-4.0201954399451401E-3</v>
      </c>
      <c r="O159" s="4">
        <f t="shared" si="18"/>
        <v>2.1052692289946107E-2</v>
      </c>
      <c r="P159" s="4">
        <f t="shared" si="18"/>
        <v>1.3076683291770586E-2</v>
      </c>
      <c r="Q159" s="4">
        <f t="shared" si="18"/>
        <v>-7.342658735991725E-2</v>
      </c>
      <c r="R159" s="4">
        <f t="shared" si="19"/>
        <v>2.8876849938897386E-2</v>
      </c>
      <c r="S159" s="4">
        <f t="shared" si="20"/>
        <v>5.2674859827333664E-2</v>
      </c>
      <c r="T159" s="4">
        <f t="shared" si="21"/>
        <v>7.1776833238301752E-3</v>
      </c>
      <c r="U159" s="4">
        <f t="shared" si="22"/>
        <v>2.6813263262355669E-2</v>
      </c>
      <c r="V159" s="4">
        <f t="shared" si="23"/>
        <v>2.980123407701174E-2</v>
      </c>
      <c r="W159" s="4">
        <f t="shared" si="24"/>
        <v>5.6127184881082481E-2</v>
      </c>
    </row>
    <row r="160" spans="1:23" x14ac:dyDescent="0.25">
      <c r="A160" s="1">
        <v>44826</v>
      </c>
      <c r="B160">
        <v>4477.25</v>
      </c>
      <c r="C160">
        <v>9.4958069999999992</v>
      </c>
      <c r="D160">
        <v>6.9353600000000002</v>
      </c>
      <c r="E160">
        <v>6.4159999999999995E-2</v>
      </c>
      <c r="F160">
        <v>13.300087</v>
      </c>
      <c r="G160">
        <v>17.418278000000001</v>
      </c>
      <c r="H160">
        <v>6.95214</v>
      </c>
      <c r="I160">
        <v>42.230339000000001</v>
      </c>
      <c r="J160">
        <v>4.3007819999999999</v>
      </c>
      <c r="K160">
        <v>31.63822</v>
      </c>
      <c r="L160">
        <v>20.298701999999999</v>
      </c>
      <c r="M160" s="4">
        <f t="shared" si="17"/>
        <v>1.9549596920312551E-2</v>
      </c>
      <c r="N160" s="4">
        <f t="shared" si="17"/>
        <v>1.3238416772125339E-2</v>
      </c>
      <c r="O160" s="4">
        <f t="shared" si="18"/>
        <v>3.962950695890477E-3</v>
      </c>
      <c r="P160" s="4">
        <f t="shared" si="18"/>
        <v>3.9146138023743449E-2</v>
      </c>
      <c r="Q160" s="4">
        <f t="shared" si="18"/>
        <v>3.2490958194248742E-2</v>
      </c>
      <c r="R160" s="4">
        <f t="shared" si="19"/>
        <v>1.6304489254172383E-2</v>
      </c>
      <c r="S160" s="4">
        <f t="shared" si="20"/>
        <v>2.015110023545752E-2</v>
      </c>
      <c r="T160" s="4">
        <f t="shared" si="21"/>
        <v>2.2006530479762976E-2</v>
      </c>
      <c r="U160" s="4">
        <f t="shared" si="22"/>
        <v>2.7787516086132058E-2</v>
      </c>
      <c r="V160" s="4">
        <f t="shared" si="23"/>
        <v>2.0897403170387463E-2</v>
      </c>
      <c r="W160" s="4">
        <f t="shared" si="24"/>
        <v>1.3270195741377222E-2</v>
      </c>
    </row>
    <row r="161" spans="1:23" x14ac:dyDescent="0.25">
      <c r="A161" s="1">
        <v>44827</v>
      </c>
      <c r="B161">
        <v>4391.3999020000001</v>
      </c>
      <c r="C161">
        <v>9.3717400000000008</v>
      </c>
      <c r="D161">
        <v>6.9079839999999999</v>
      </c>
      <c r="E161">
        <v>6.1742999999999999E-2</v>
      </c>
      <c r="F161">
        <v>12.881553</v>
      </c>
      <c r="G161">
        <v>17.138838</v>
      </c>
      <c r="H161">
        <v>6.8148140000000001</v>
      </c>
      <c r="I161">
        <v>41.321007000000002</v>
      </c>
      <c r="J161">
        <v>4.1845049999999997</v>
      </c>
      <c r="K161">
        <v>30.990597000000001</v>
      </c>
      <c r="L161">
        <v>20.032862000000002</v>
      </c>
      <c r="M161" s="4">
        <f t="shared" si="17"/>
        <v>5.1568905452996638E-3</v>
      </c>
      <c r="N161" s="4">
        <f t="shared" si="17"/>
        <v>-1.2072509480287263E-2</v>
      </c>
      <c r="O161" s="4">
        <f t="shared" si="18"/>
        <v>1.2032045802320646E-2</v>
      </c>
      <c r="P161" s="4">
        <f t="shared" si="18"/>
        <v>2.1102419501546343E-2</v>
      </c>
      <c r="Q161" s="4">
        <f t="shared" si="18"/>
        <v>7.2256198837639118E-4</v>
      </c>
      <c r="R161" s="4">
        <f t="shared" si="19"/>
        <v>-6.4795374819701657E-3</v>
      </c>
      <c r="S161" s="4">
        <f t="shared" si="20"/>
        <v>2.2025206843901524E-2</v>
      </c>
      <c r="T161" s="4">
        <f t="shared" si="21"/>
        <v>2.3719394318175713E-3</v>
      </c>
      <c r="U161" s="4">
        <f t="shared" si="22"/>
        <v>-1.4847065914816993E-3</v>
      </c>
      <c r="V161" s="4">
        <f t="shared" si="23"/>
        <v>1.2760669329423324E-2</v>
      </c>
      <c r="W161" s="4">
        <f t="shared" si="24"/>
        <v>2.0309353530025831E-2</v>
      </c>
    </row>
    <row r="162" spans="1:23" x14ac:dyDescent="0.25">
      <c r="A162" s="1">
        <v>44830</v>
      </c>
      <c r="B162">
        <v>4368.8701170000004</v>
      </c>
      <c r="C162">
        <v>9.4862629999999992</v>
      </c>
      <c r="D162">
        <v>6.8258549999999998</v>
      </c>
      <c r="E162">
        <v>6.0467E-2</v>
      </c>
      <c r="F162">
        <v>12.872252</v>
      </c>
      <c r="G162">
        <v>17.250613999999999</v>
      </c>
      <c r="H162">
        <v>6.6679510000000004</v>
      </c>
      <c r="I162">
        <v>41.223227999999999</v>
      </c>
      <c r="J162">
        <v>4.1907269999999999</v>
      </c>
      <c r="K162">
        <v>30.600118999999999</v>
      </c>
      <c r="L162">
        <v>19.634105999999999</v>
      </c>
      <c r="M162" s="4">
        <f t="shared" si="17"/>
        <v>-3.4261853127274255E-3</v>
      </c>
      <c r="N162" s="4">
        <f t="shared" si="17"/>
        <v>8.1135695699694477E-3</v>
      </c>
      <c r="O162" s="4">
        <f t="shared" si="18"/>
        <v>2.6809726300176528E-3</v>
      </c>
      <c r="P162" s="4">
        <f t="shared" si="18"/>
        <v>-1.1068160042290165E-3</v>
      </c>
      <c r="Q162" s="4">
        <f t="shared" si="18"/>
        <v>3.0912431742030844E-2</v>
      </c>
      <c r="R162" s="4">
        <f t="shared" si="19"/>
        <v>3.2503573043476397E-3</v>
      </c>
      <c r="S162" s="4">
        <f t="shared" si="20"/>
        <v>1.7758396606633031E-2</v>
      </c>
      <c r="T162" s="4">
        <f t="shared" si="21"/>
        <v>-2.6103048609221413E-2</v>
      </c>
      <c r="U162" s="4">
        <f t="shared" si="22"/>
        <v>-6.9167269956860178E-3</v>
      </c>
      <c r="V162" s="4">
        <f t="shared" si="23"/>
        <v>-5.8786778406768603E-3</v>
      </c>
      <c r="W162" s="4">
        <f t="shared" si="24"/>
        <v>7.3063949502176762E-3</v>
      </c>
    </row>
    <row r="163" spans="1:23" x14ac:dyDescent="0.25">
      <c r="A163" s="1">
        <v>44831</v>
      </c>
      <c r="B163">
        <v>4383.8901370000003</v>
      </c>
      <c r="C163">
        <v>9.4099149999999998</v>
      </c>
      <c r="D163">
        <v>6.8076040000000004</v>
      </c>
      <c r="E163">
        <v>6.0533999999999998E-2</v>
      </c>
      <c r="F163">
        <v>12.486271</v>
      </c>
      <c r="G163">
        <v>17.194724999999998</v>
      </c>
      <c r="H163">
        <v>6.5516050000000003</v>
      </c>
      <c r="I163">
        <v>42.328121000000003</v>
      </c>
      <c r="J163">
        <v>4.2199150000000003</v>
      </c>
      <c r="K163">
        <v>30.781071000000001</v>
      </c>
      <c r="L163">
        <v>19.491692</v>
      </c>
      <c r="M163" s="4">
        <f t="shared" si="17"/>
        <v>-3.9080563246051137E-3</v>
      </c>
      <c r="N163" s="4">
        <f t="shared" si="17"/>
        <v>-2.0242863454691395E-3</v>
      </c>
      <c r="O163" s="4">
        <f t="shared" si="18"/>
        <v>1.4966104451872297E-2</v>
      </c>
      <c r="P163" s="4">
        <f t="shared" si="18"/>
        <v>2.9104756723674852E-2</v>
      </c>
      <c r="Q163" s="4">
        <f t="shared" si="18"/>
        <v>3.7262791208192425E-4</v>
      </c>
      <c r="R163" s="4">
        <f t="shared" si="19"/>
        <v>1.0952741333770888E-2</v>
      </c>
      <c r="S163" s="4">
        <f t="shared" si="20"/>
        <v>2.4455822760959256E-2</v>
      </c>
      <c r="T163" s="4">
        <f t="shared" si="21"/>
        <v>-2.4120869782296106E-2</v>
      </c>
      <c r="U163" s="4">
        <f t="shared" si="22"/>
        <v>-1.5406859812578166E-2</v>
      </c>
      <c r="V163" s="4">
        <f t="shared" si="23"/>
        <v>-8.5889668165530786E-3</v>
      </c>
      <c r="W163" s="4">
        <f t="shared" si="24"/>
        <v>-1.534762485990504E-2</v>
      </c>
    </row>
    <row r="164" spans="1:23" x14ac:dyDescent="0.25">
      <c r="A164" s="1">
        <v>44832</v>
      </c>
      <c r="B164">
        <v>4401.0898440000001</v>
      </c>
      <c r="C164">
        <v>9.4290020000000005</v>
      </c>
      <c r="D164">
        <v>6.7072229999999999</v>
      </c>
      <c r="E164">
        <v>5.8821999999999999E-2</v>
      </c>
      <c r="F164">
        <v>12.481619999999999</v>
      </c>
      <c r="G164">
        <v>17.008436</v>
      </c>
      <c r="H164">
        <v>6.3952049999999998</v>
      </c>
      <c r="I164">
        <v>43.374347999999998</v>
      </c>
      <c r="J164">
        <v>4.2859480000000003</v>
      </c>
      <c r="K164">
        <v>31.047739</v>
      </c>
      <c r="L164">
        <v>19.795506</v>
      </c>
      <c r="M164" s="4">
        <f t="shared" si="17"/>
        <v>2.2871713437805807E-2</v>
      </c>
      <c r="N164" s="4">
        <f t="shared" si="17"/>
        <v>1.9607847377854482E-2</v>
      </c>
      <c r="O164" s="4">
        <f t="shared" si="18"/>
        <v>1.3623270367200124E-3</v>
      </c>
      <c r="P164" s="4">
        <f t="shared" si="18"/>
        <v>2.5166440098992604E-2</v>
      </c>
      <c r="Q164" s="4">
        <f t="shared" si="18"/>
        <v>2.1308956674381818E-2</v>
      </c>
      <c r="R164" s="4">
        <f t="shared" si="19"/>
        <v>2.4691430171219775E-2</v>
      </c>
      <c r="S164" s="4">
        <f t="shared" si="20"/>
        <v>3.2645404164778125E-2</v>
      </c>
      <c r="T164" s="4">
        <f t="shared" si="21"/>
        <v>2.2806820925855842E-3</v>
      </c>
      <c r="U164" s="4">
        <f t="shared" si="22"/>
        <v>2.6237372110859081E-2</v>
      </c>
      <c r="V164" s="4">
        <f t="shared" si="23"/>
        <v>3.2298912230148469E-2</v>
      </c>
      <c r="W164" s="4">
        <f t="shared" si="24"/>
        <v>3.5253250622574228E-2</v>
      </c>
    </row>
    <row r="165" spans="1:23" x14ac:dyDescent="0.25">
      <c r="A165" s="1">
        <v>44833</v>
      </c>
      <c r="B165">
        <v>4302.6801759999998</v>
      </c>
      <c r="C165">
        <v>9.2476749999999992</v>
      </c>
      <c r="D165">
        <v>6.6980979999999999</v>
      </c>
      <c r="E165">
        <v>5.7377999999999998E-2</v>
      </c>
      <c r="F165">
        <v>12.221199</v>
      </c>
      <c r="G165">
        <v>16.598593000000001</v>
      </c>
      <c r="H165">
        <v>6.1930310000000004</v>
      </c>
      <c r="I165">
        <v>43.275649999999999</v>
      </c>
      <c r="J165">
        <v>4.1763709999999996</v>
      </c>
      <c r="K165">
        <v>30.076307</v>
      </c>
      <c r="L165">
        <v>19.121414000000001</v>
      </c>
      <c r="M165" s="4">
        <f t="shared" si="17"/>
        <v>-1.8186398515831259E-2</v>
      </c>
      <c r="N165" s="4">
        <f t="shared" si="17"/>
        <v>2.0682470601134373E-3</v>
      </c>
      <c r="O165" s="4">
        <f t="shared" si="18"/>
        <v>-4.0704937674281849E-3</v>
      </c>
      <c r="P165" s="4">
        <f t="shared" si="18"/>
        <v>-3.6101264972197455E-2</v>
      </c>
      <c r="Q165" s="4">
        <f t="shared" si="18"/>
        <v>-4.5751641641967544E-2</v>
      </c>
      <c r="R165" s="4">
        <f t="shared" si="19"/>
        <v>-3.2573335845747287E-2</v>
      </c>
      <c r="S165" s="4">
        <f t="shared" si="20"/>
        <v>-5.2800487714304123E-2</v>
      </c>
      <c r="T165" s="4">
        <f t="shared" si="21"/>
        <v>-2.1205360651626037E-2</v>
      </c>
      <c r="U165" s="4">
        <f t="shared" si="22"/>
        <v>-1.2781173404853186E-2</v>
      </c>
      <c r="V165" s="4">
        <f t="shared" si="23"/>
        <v>-3.0693688280511444E-2</v>
      </c>
      <c r="W165" s="4">
        <f t="shared" si="24"/>
        <v>-3.3125345927933258E-2</v>
      </c>
    </row>
    <row r="166" spans="1:23" x14ac:dyDescent="0.25">
      <c r="A166" s="1">
        <v>44834</v>
      </c>
      <c r="B166">
        <v>4382.3798829999996</v>
      </c>
      <c r="C166">
        <v>9.2285880000000002</v>
      </c>
      <c r="D166">
        <v>6.7254740000000002</v>
      </c>
      <c r="E166">
        <v>5.9526999999999997E-2</v>
      </c>
      <c r="F166">
        <v>12.807147000000001</v>
      </c>
      <c r="G166">
        <v>17.157468999999999</v>
      </c>
      <c r="H166">
        <v>6.5382540000000002</v>
      </c>
      <c r="I166">
        <v>44.213206999999997</v>
      </c>
      <c r="J166">
        <v>4.2304409999999999</v>
      </c>
      <c r="K166">
        <v>31.028691999999999</v>
      </c>
      <c r="L166">
        <v>19.776517999999999</v>
      </c>
      <c r="M166" s="4">
        <f t="shared" si="17"/>
        <v>-1.4954285581666449E-2</v>
      </c>
      <c r="N166" s="4">
        <f t="shared" si="17"/>
        <v>1.3626854874973171E-2</v>
      </c>
      <c r="O166" s="4">
        <f t="shared" si="18"/>
        <v>-3.2808421408675348E-2</v>
      </c>
      <c r="P166" s="4">
        <f t="shared" si="18"/>
        <v>1.8391158557448772E-2</v>
      </c>
      <c r="Q166" s="4">
        <f t="shared" si="18"/>
        <v>-1.7130602250972959E-2</v>
      </c>
      <c r="R166" s="4">
        <f t="shared" si="19"/>
        <v>5.4585230249097894E-3</v>
      </c>
      <c r="S166" s="4">
        <f t="shared" si="20"/>
        <v>-4.2458112831192607E-2</v>
      </c>
      <c r="T166" s="4">
        <f t="shared" si="21"/>
        <v>5.8373921649790272E-3</v>
      </c>
      <c r="U166" s="4">
        <f t="shared" si="22"/>
        <v>-1.8321137496362661E-2</v>
      </c>
      <c r="V166" s="4">
        <f t="shared" si="23"/>
        <v>-2.6300014099318259E-2</v>
      </c>
      <c r="W166" s="4">
        <f t="shared" si="24"/>
        <v>-1.6525088645190422E-2</v>
      </c>
    </row>
    <row r="167" spans="1:23" x14ac:dyDescent="0.25">
      <c r="A167" s="1">
        <v>44837</v>
      </c>
      <c r="B167">
        <v>4448.9101559999999</v>
      </c>
      <c r="C167">
        <v>9.1045219999999993</v>
      </c>
      <c r="D167">
        <v>6.9536110000000004</v>
      </c>
      <c r="E167">
        <v>5.8451999999999997E-2</v>
      </c>
      <c r="F167">
        <v>13.030365</v>
      </c>
      <c r="G167">
        <v>17.064323000000002</v>
      </c>
      <c r="H167">
        <v>6.8281650000000003</v>
      </c>
      <c r="I167">
        <v>43.956614999999999</v>
      </c>
      <c r="J167">
        <v>4.3093940000000002</v>
      </c>
      <c r="K167">
        <v>31.866789000000001</v>
      </c>
      <c r="L167">
        <v>20.108817999999999</v>
      </c>
      <c r="M167" s="4">
        <f t="shared" si="17"/>
        <v>-3.0191326977565325E-2</v>
      </c>
      <c r="N167" s="4">
        <f t="shared" si="17"/>
        <v>-4.7904275526393869E-2</v>
      </c>
      <c r="O167" s="4">
        <f t="shared" si="18"/>
        <v>-2.3076987919138703E-2</v>
      </c>
      <c r="P167" s="4">
        <f t="shared" si="18"/>
        <v>-2.0264494393322341E-2</v>
      </c>
      <c r="Q167" s="4">
        <f t="shared" si="18"/>
        <v>2.1459782001285177E-3</v>
      </c>
      <c r="R167" s="4">
        <f t="shared" si="19"/>
        <v>-1.0904439168618607E-3</v>
      </c>
      <c r="S167" s="4">
        <f t="shared" si="20"/>
        <v>-5.9379828345099583E-2</v>
      </c>
      <c r="T167" s="4">
        <f t="shared" si="21"/>
        <v>-3.6556382964663237E-2</v>
      </c>
      <c r="U167" s="4">
        <f t="shared" si="22"/>
        <v>-3.1404876202429377E-2</v>
      </c>
      <c r="V167" s="4">
        <f t="shared" si="23"/>
        <v>-3.7676191401122106E-2</v>
      </c>
      <c r="W167" s="4">
        <f t="shared" si="24"/>
        <v>-4.1628829194302219E-2</v>
      </c>
    </row>
    <row r="168" spans="1:23" x14ac:dyDescent="0.25">
      <c r="A168" s="1">
        <v>44838</v>
      </c>
      <c r="B168">
        <v>4587.4101559999999</v>
      </c>
      <c r="C168">
        <v>9.5626119999999997</v>
      </c>
      <c r="D168">
        <v>7.1178699999999999</v>
      </c>
      <c r="E168">
        <v>5.9660999999999999E-2</v>
      </c>
      <c r="F168">
        <v>13.002462</v>
      </c>
      <c r="G168">
        <v>17.082951000000001</v>
      </c>
      <c r="H168">
        <v>7.2592160000000003</v>
      </c>
      <c r="I168">
        <v>45.624481000000003</v>
      </c>
      <c r="J168">
        <v>4.4491180000000004</v>
      </c>
      <c r="K168">
        <v>33.114413999999996</v>
      </c>
      <c r="L168">
        <v>20.982285999999998</v>
      </c>
      <c r="M168" s="4">
        <f t="shared" si="17"/>
        <v>1.3570493709553988E-2</v>
      </c>
      <c r="N168" s="4">
        <f t="shared" si="17"/>
        <v>4.0081109256115965E-3</v>
      </c>
      <c r="O168" s="4">
        <f t="shared" si="18"/>
        <v>1.2836302329033433E-3</v>
      </c>
      <c r="P168" s="4">
        <f t="shared" si="18"/>
        <v>-1.4974904239862585E-2</v>
      </c>
      <c r="Q168" s="4">
        <f t="shared" si="18"/>
        <v>2.7941024750109289E-2</v>
      </c>
      <c r="R168" s="4">
        <f t="shared" si="19"/>
        <v>1.3259724545357621E-2</v>
      </c>
      <c r="S168" s="4">
        <f t="shared" si="20"/>
        <v>9.2812460157936094E-3</v>
      </c>
      <c r="T168" s="4">
        <f t="shared" si="21"/>
        <v>-5.3786030992339917E-3</v>
      </c>
      <c r="U168" s="4">
        <f t="shared" si="22"/>
        <v>7.3674669919865376E-3</v>
      </c>
      <c r="V168" s="4">
        <f t="shared" si="23"/>
        <v>1.2816739840135094E-2</v>
      </c>
      <c r="W168" s="4">
        <f t="shared" si="24"/>
        <v>1.7964040481057264E-2</v>
      </c>
    </row>
    <row r="169" spans="1:23" x14ac:dyDescent="0.25">
      <c r="A169" s="1">
        <v>44839</v>
      </c>
      <c r="B169">
        <v>4525.9902339999999</v>
      </c>
      <c r="C169">
        <v>9.5244370000000007</v>
      </c>
      <c r="D169">
        <v>7.1087449999999999</v>
      </c>
      <c r="E169">
        <v>6.0567999999999997E-2</v>
      </c>
      <c r="F169">
        <v>12.649035</v>
      </c>
      <c r="G169">
        <v>16.859400000000001</v>
      </c>
      <c r="H169">
        <v>7.1924609999999998</v>
      </c>
      <c r="I169">
        <v>45.871203999999999</v>
      </c>
      <c r="J169">
        <v>4.4165789999999996</v>
      </c>
      <c r="K169">
        <v>32.695366</v>
      </c>
      <c r="L169">
        <v>20.612010999999999</v>
      </c>
      <c r="M169" s="4">
        <f t="shared" si="17"/>
        <v>6.6300852797496201E-3</v>
      </c>
      <c r="N169" s="4">
        <f t="shared" si="17"/>
        <v>2.6748901987493801E-2</v>
      </c>
      <c r="O169" s="4">
        <f t="shared" si="18"/>
        <v>1.6971399460924186E-2</v>
      </c>
      <c r="P169" s="4">
        <f t="shared" si="18"/>
        <v>-2.1676627362300138E-2</v>
      </c>
      <c r="Q169" s="4">
        <f t="shared" si="18"/>
        <v>5.9172327006411507E-3</v>
      </c>
      <c r="R169" s="4">
        <f t="shared" si="19"/>
        <v>6.6742008701772271E-3</v>
      </c>
      <c r="S169" s="4">
        <f t="shared" si="20"/>
        <v>2.2505478270734347E-2</v>
      </c>
      <c r="T169" s="4">
        <f t="shared" si="21"/>
        <v>-2.1518675335363557E-4</v>
      </c>
      <c r="U169" s="4">
        <f t="shared" si="22"/>
        <v>3.1519280659921822E-3</v>
      </c>
      <c r="V169" s="4">
        <f t="shared" si="23"/>
        <v>6.1548785378933157E-3</v>
      </c>
      <c r="W169" s="4">
        <f t="shared" si="24"/>
        <v>5.5580812662414658E-3</v>
      </c>
    </row>
    <row r="170" spans="1:23" x14ac:dyDescent="0.25">
      <c r="A170" s="1">
        <v>44840</v>
      </c>
      <c r="B170">
        <v>4496.1801759999998</v>
      </c>
      <c r="C170">
        <v>9.2763059999999999</v>
      </c>
      <c r="D170">
        <v>6.990113</v>
      </c>
      <c r="E170">
        <v>6.191E-2</v>
      </c>
      <c r="F170">
        <v>12.574628000000001</v>
      </c>
      <c r="G170">
        <v>16.747623000000001</v>
      </c>
      <c r="H170">
        <v>7.034154</v>
      </c>
      <c r="I170">
        <v>45.881076999999998</v>
      </c>
      <c r="J170">
        <v>4.4027019999999997</v>
      </c>
      <c r="K170">
        <v>32.495361000000003</v>
      </c>
      <c r="L170">
        <v>20.498080999999999</v>
      </c>
      <c r="M170" s="4">
        <f t="shared" si="17"/>
        <v>2.0673789265718501E-2</v>
      </c>
      <c r="N170" s="4">
        <f t="shared" si="17"/>
        <v>8.298733537696501E-3</v>
      </c>
      <c r="O170" s="4">
        <f t="shared" si="18"/>
        <v>2.4064091604641513E-2</v>
      </c>
      <c r="P170" s="4">
        <f t="shared" si="18"/>
        <v>2.3864256536623385E-2</v>
      </c>
      <c r="Q170" s="4">
        <f t="shared" si="18"/>
        <v>2.7355759682001324E-2</v>
      </c>
      <c r="R170" s="4">
        <f t="shared" si="19"/>
        <v>2.6255526098011961E-2</v>
      </c>
      <c r="S170" s="4">
        <f t="shared" si="20"/>
        <v>3.2474835261194102E-2</v>
      </c>
      <c r="T170" s="4">
        <f t="shared" si="21"/>
        <v>3.564279189108932E-2</v>
      </c>
      <c r="U170" s="4">
        <f t="shared" si="22"/>
        <v>1.6460244087023845E-2</v>
      </c>
      <c r="V170" s="4">
        <f t="shared" si="23"/>
        <v>2.4009583072803986E-2</v>
      </c>
      <c r="W170" s="4">
        <f t="shared" si="24"/>
        <v>2.8584995694843407E-2</v>
      </c>
    </row>
    <row r="171" spans="1:23" x14ac:dyDescent="0.25">
      <c r="A171" s="1">
        <v>44841</v>
      </c>
      <c r="B171">
        <v>4405.1098629999997</v>
      </c>
      <c r="C171">
        <v>9.1999580000000005</v>
      </c>
      <c r="D171">
        <v>6.8258549999999998</v>
      </c>
      <c r="E171">
        <v>6.0467E-2</v>
      </c>
      <c r="F171">
        <v>12.239799</v>
      </c>
      <c r="G171">
        <v>16.319154999999999</v>
      </c>
      <c r="H171">
        <v>6.8129059999999999</v>
      </c>
      <c r="I171">
        <v>44.302028999999997</v>
      </c>
      <c r="J171">
        <v>4.3314060000000003</v>
      </c>
      <c r="K171">
        <v>31.733453999999998</v>
      </c>
      <c r="L171">
        <v>19.928426999999999</v>
      </c>
      <c r="M171" s="4">
        <f t="shared" si="17"/>
        <v>1.3456845645209992E-3</v>
      </c>
      <c r="N171" s="4">
        <f t="shared" si="17"/>
        <v>1.3669952625037007E-2</v>
      </c>
      <c r="O171" s="4">
        <f t="shared" si="18"/>
        <v>-1.4492722236539857E-2</v>
      </c>
      <c r="P171" s="4">
        <f t="shared" si="18"/>
        <v>-5.4545454545451566E-4</v>
      </c>
      <c r="Q171" s="4">
        <f t="shared" si="18"/>
        <v>1.1409431655058366E-3</v>
      </c>
      <c r="R171" s="4">
        <f t="shared" si="19"/>
        <v>0</v>
      </c>
      <c r="S171" s="4">
        <f t="shared" si="20"/>
        <v>5.0646337910253969E-3</v>
      </c>
      <c r="T171" s="4">
        <f t="shared" si="21"/>
        <v>6.7279524575296623E-3</v>
      </c>
      <c r="U171" s="4">
        <f t="shared" si="22"/>
        <v>6.3369353767346315E-3</v>
      </c>
      <c r="V171" s="4">
        <f t="shared" si="23"/>
        <v>-2.6938477653566384E-3</v>
      </c>
      <c r="W171" s="4">
        <f t="shared" si="24"/>
        <v>-1.0838747387735603E-2</v>
      </c>
    </row>
    <row r="172" spans="1:23" x14ac:dyDescent="0.25">
      <c r="A172" s="1">
        <v>44844</v>
      </c>
      <c r="B172">
        <v>4399.1899409999996</v>
      </c>
      <c r="C172">
        <v>9.0758910000000004</v>
      </c>
      <c r="D172">
        <v>6.9262350000000001</v>
      </c>
      <c r="E172">
        <v>6.0499999999999998E-2</v>
      </c>
      <c r="F172">
        <v>12.225849999999999</v>
      </c>
      <c r="G172">
        <v>16.319154999999999</v>
      </c>
      <c r="H172">
        <v>6.778575</v>
      </c>
      <c r="I172">
        <v>44.005958999999997</v>
      </c>
      <c r="J172">
        <v>4.3041309999999999</v>
      </c>
      <c r="K172">
        <v>31.81917</v>
      </c>
      <c r="L172">
        <v>20.146792999999999</v>
      </c>
      <c r="M172" s="4">
        <f t="shared" si="17"/>
        <v>-3.4995080520716648E-4</v>
      </c>
      <c r="N172" s="4">
        <f t="shared" si="17"/>
        <v>-6.2696858357677021E-3</v>
      </c>
      <c r="O172" s="4">
        <f t="shared" si="18"/>
        <v>1.7426248647835596E-2</v>
      </c>
      <c r="P172" s="4">
        <f t="shared" si="18"/>
        <v>-1.0985418165173622E-2</v>
      </c>
      <c r="Q172" s="4">
        <f t="shared" si="18"/>
        <v>2.8158137135574801E-2</v>
      </c>
      <c r="R172" s="4">
        <f t="shared" si="19"/>
        <v>-1.2401359083557995E-2</v>
      </c>
      <c r="S172" s="4">
        <f t="shared" si="20"/>
        <v>2.8155433932353091E-4</v>
      </c>
      <c r="T172" s="4">
        <f t="shared" si="21"/>
        <v>5.8650448588204451E-3</v>
      </c>
      <c r="U172" s="4">
        <f t="shared" si="22"/>
        <v>-1.5539930825386739E-3</v>
      </c>
      <c r="V172" s="4">
        <f t="shared" si="23"/>
        <v>-1.7926790406193049E-3</v>
      </c>
      <c r="W172" s="4">
        <f t="shared" si="24"/>
        <v>-1.7592573358506614E-2</v>
      </c>
    </row>
    <row r="173" spans="1:23" x14ac:dyDescent="0.25">
      <c r="A173" s="1">
        <v>44845</v>
      </c>
      <c r="B173">
        <v>4400.7299800000001</v>
      </c>
      <c r="C173">
        <v>9.1331530000000001</v>
      </c>
      <c r="D173">
        <v>6.8076040000000004</v>
      </c>
      <c r="E173">
        <v>6.1171999999999997E-2</v>
      </c>
      <c r="F173">
        <v>11.891021</v>
      </c>
      <c r="G173">
        <v>16.524076000000001</v>
      </c>
      <c r="H173">
        <v>6.7766669999999998</v>
      </c>
      <c r="I173">
        <v>43.749366999999999</v>
      </c>
      <c r="J173">
        <v>4.3108300000000002</v>
      </c>
      <c r="K173">
        <v>31.876314000000001</v>
      </c>
      <c r="L173">
        <v>20.507574000000002</v>
      </c>
      <c r="M173" s="4">
        <f t="shared" si="17"/>
        <v>2.757146836845914E-3</v>
      </c>
      <c r="N173" s="4">
        <f t="shared" si="17"/>
        <v>-1.3401974545700468E-2</v>
      </c>
      <c r="O173" s="4">
        <f t="shared" si="18"/>
        <v>-1.453101223164377E-2</v>
      </c>
      <c r="P173" s="4">
        <f t="shared" si="18"/>
        <v>-1.4594542349946948E-2</v>
      </c>
      <c r="Q173" s="4">
        <f t="shared" si="18"/>
        <v>4.32048772169491E-3</v>
      </c>
      <c r="R173" s="4">
        <f t="shared" si="19"/>
        <v>7.9545941845484691E-3</v>
      </c>
      <c r="S173" s="4">
        <f t="shared" si="20"/>
        <v>4.8076559518985817E-3</v>
      </c>
      <c r="T173" s="4">
        <f t="shared" si="21"/>
        <v>-2.69963426927744E-3</v>
      </c>
      <c r="U173" s="4">
        <f t="shared" si="22"/>
        <v>-6.8349315758079454E-3</v>
      </c>
      <c r="V173" s="4">
        <f t="shared" si="23"/>
        <v>5.9794838006332895E-4</v>
      </c>
      <c r="W173" s="4">
        <f t="shared" si="24"/>
        <v>1.7907614378129599E-2</v>
      </c>
    </row>
    <row r="174" spans="1:23" x14ac:dyDescent="0.25">
      <c r="A174" s="1">
        <v>44846</v>
      </c>
      <c r="B174">
        <v>4388.6298829999996</v>
      </c>
      <c r="C174">
        <v>9.2572179999999999</v>
      </c>
      <c r="D174">
        <v>6.9079839999999999</v>
      </c>
      <c r="E174">
        <v>6.2078000000000001E-2</v>
      </c>
      <c r="F174">
        <v>11.839867</v>
      </c>
      <c r="G174">
        <v>16.393671000000001</v>
      </c>
      <c r="H174">
        <v>6.744243</v>
      </c>
      <c r="I174">
        <v>43.867794000000004</v>
      </c>
      <c r="J174">
        <v>4.340497</v>
      </c>
      <c r="K174">
        <v>31.857265000000002</v>
      </c>
      <c r="L174">
        <v>20.146792999999999</v>
      </c>
      <c r="M174" s="4">
        <f t="shared" si="17"/>
        <v>-7.6855423031578773E-3</v>
      </c>
      <c r="N174" s="4">
        <f t="shared" si="17"/>
        <v>-6.1476325033710255E-3</v>
      </c>
      <c r="O174" s="4">
        <f t="shared" si="18"/>
        <v>2.6490141199957407E-3</v>
      </c>
      <c r="P174" s="4">
        <f t="shared" si="18"/>
        <v>-7.5142290720727756E-3</v>
      </c>
      <c r="Q174" s="4">
        <f t="shared" si="18"/>
        <v>-5.2122177379874568E-2</v>
      </c>
      <c r="R174" s="4">
        <f t="shared" si="19"/>
        <v>-2.2674314115083138E-3</v>
      </c>
      <c r="S174" s="4">
        <f t="shared" si="20"/>
        <v>-2.990402955061322E-2</v>
      </c>
      <c r="T174" s="4">
        <f t="shared" si="21"/>
        <v>-2.2217289846331312E-2</v>
      </c>
      <c r="U174" s="4">
        <f t="shared" si="22"/>
        <v>-1.7652394684704809E-2</v>
      </c>
      <c r="V174" s="4">
        <f t="shared" si="23"/>
        <v>5.9814899833754431E-4</v>
      </c>
      <c r="W174" s="4">
        <f t="shared" si="24"/>
        <v>-2.2570238294555511E-2</v>
      </c>
    </row>
    <row r="175" spans="1:23" x14ac:dyDescent="0.25">
      <c r="A175" s="1">
        <v>44847</v>
      </c>
      <c r="B175">
        <v>4422.6201170000004</v>
      </c>
      <c r="C175">
        <v>9.3144799999999996</v>
      </c>
      <c r="D175">
        <v>6.8897329999999997</v>
      </c>
      <c r="E175">
        <v>6.2548000000000006E-2</v>
      </c>
      <c r="F175">
        <v>12.490921</v>
      </c>
      <c r="G175">
        <v>16.430927000000001</v>
      </c>
      <c r="H175">
        <v>6.95214</v>
      </c>
      <c r="I175">
        <v>44.864562999999997</v>
      </c>
      <c r="J175">
        <v>4.4184939999999999</v>
      </c>
      <c r="K175">
        <v>31.838221000000001</v>
      </c>
      <c r="L175">
        <v>20.612010999999999</v>
      </c>
      <c r="M175" s="4">
        <f t="shared" si="17"/>
        <v>-1.4374475903962125E-2</v>
      </c>
      <c r="N175" s="4">
        <f t="shared" si="17"/>
        <v>-8.1300605228847855E-3</v>
      </c>
      <c r="O175" s="4">
        <f t="shared" si="18"/>
        <v>-7.884384819841328E-3</v>
      </c>
      <c r="P175" s="4">
        <f t="shared" si="18"/>
        <v>-1.8962623711905935E-2</v>
      </c>
      <c r="Q175" s="4">
        <f t="shared" si="18"/>
        <v>-2.1137022640630221E-2</v>
      </c>
      <c r="R175" s="4">
        <f t="shared" si="19"/>
        <v>-2.3256072472093936E-2</v>
      </c>
      <c r="S175" s="4">
        <f t="shared" si="20"/>
        <v>-5.7282457735363668E-3</v>
      </c>
      <c r="T175" s="4">
        <f t="shared" si="21"/>
        <v>2.318246393449086E-2</v>
      </c>
      <c r="U175" s="4">
        <f t="shared" si="22"/>
        <v>-4.3276558018301436E-4</v>
      </c>
      <c r="V175" s="4">
        <f t="shared" si="23"/>
        <v>-5.3778631445531078E-2</v>
      </c>
      <c r="W175" s="4">
        <f t="shared" si="24"/>
        <v>-1.9864565250822253E-2</v>
      </c>
    </row>
    <row r="176" spans="1:23" x14ac:dyDescent="0.25">
      <c r="A176" s="1">
        <v>44848</v>
      </c>
      <c r="B176">
        <v>4487.1201170000004</v>
      </c>
      <c r="C176">
        <v>9.3908280000000008</v>
      </c>
      <c r="D176">
        <v>6.9444860000000004</v>
      </c>
      <c r="E176">
        <v>6.3756999999999994E-2</v>
      </c>
      <c r="F176">
        <v>12.760643</v>
      </c>
      <c r="G176">
        <v>16.822144000000002</v>
      </c>
      <c r="H176">
        <v>6.9921930000000003</v>
      </c>
      <c r="I176">
        <v>43.848056999999997</v>
      </c>
      <c r="J176">
        <v>4.420407</v>
      </c>
      <c r="K176">
        <v>33.647751</v>
      </c>
      <c r="L176">
        <v>21.029758000000001</v>
      </c>
      <c r="M176" s="4">
        <f t="shared" si="17"/>
        <v>-1.9748663600601679E-2</v>
      </c>
      <c r="N176" s="4">
        <f t="shared" si="17"/>
        <v>-4.048572690937946E-3</v>
      </c>
      <c r="O176" s="4">
        <f t="shared" si="18"/>
        <v>-3.4263985156741672E-2</v>
      </c>
      <c r="P176" s="4">
        <f t="shared" si="18"/>
        <v>-1.1458074919374894E-2</v>
      </c>
      <c r="Q176" s="4">
        <f t="shared" si="18"/>
        <v>-7.9536958509754951E-3</v>
      </c>
      <c r="R176" s="4">
        <f t="shared" si="19"/>
        <v>-1.9543966537255431E-2</v>
      </c>
      <c r="S176" s="4">
        <f t="shared" si="20"/>
        <v>-3.1184012317146514E-2</v>
      </c>
      <c r="T176" s="4">
        <f t="shared" si="21"/>
        <v>-2.9488843983451862E-2</v>
      </c>
      <c r="U176" s="4">
        <f t="shared" si="22"/>
        <v>-2.0983572863897626E-2</v>
      </c>
      <c r="V176" s="4">
        <f t="shared" si="23"/>
        <v>-2.564793458449266E-2</v>
      </c>
      <c r="W176" s="4">
        <f t="shared" si="24"/>
        <v>-1.947769591485371E-2</v>
      </c>
    </row>
    <row r="177" spans="1:23" x14ac:dyDescent="0.25">
      <c r="A177" s="1">
        <v>44851</v>
      </c>
      <c r="B177">
        <v>4577.5200199999999</v>
      </c>
      <c r="C177">
        <v>9.4290020000000005</v>
      </c>
      <c r="D177">
        <v>7.190874</v>
      </c>
      <c r="E177">
        <v>6.4495999999999998E-2</v>
      </c>
      <c r="F177">
        <v>12.862951000000001</v>
      </c>
      <c r="G177">
        <v>17.157468999999999</v>
      </c>
      <c r="H177">
        <v>7.2172559999999999</v>
      </c>
      <c r="I177">
        <v>45.180374</v>
      </c>
      <c r="J177">
        <v>4.5151510000000004</v>
      </c>
      <c r="K177">
        <v>34.533462999999998</v>
      </c>
      <c r="L177">
        <v>21.447506000000001</v>
      </c>
      <c r="M177" s="4">
        <f t="shared" si="17"/>
        <v>-6.6361574943374357E-3</v>
      </c>
      <c r="N177" s="4">
        <f t="shared" si="17"/>
        <v>-1.2000073348160112E-2</v>
      </c>
      <c r="O177" s="4">
        <f t="shared" si="18"/>
        <v>-1.0050278928142808E-2</v>
      </c>
      <c r="P177" s="4">
        <f t="shared" si="18"/>
        <v>-7.7385805935475949E-3</v>
      </c>
      <c r="Q177" s="4">
        <f t="shared" si="18"/>
        <v>-3.6023209345397156E-3</v>
      </c>
      <c r="R177" s="4">
        <f t="shared" si="19"/>
        <v>-1.084588595151259E-3</v>
      </c>
      <c r="S177" s="4">
        <f t="shared" si="20"/>
        <v>-3.6861064075744965E-3</v>
      </c>
      <c r="T177" s="4">
        <f t="shared" si="21"/>
        <v>-5.4311857083890747E-3</v>
      </c>
      <c r="U177" s="4">
        <f t="shared" si="22"/>
        <v>-1.1730141091324309E-2</v>
      </c>
      <c r="V177" s="4">
        <f t="shared" si="23"/>
        <v>2.1408352774032968E-2</v>
      </c>
      <c r="W177" s="4">
        <f t="shared" si="24"/>
        <v>-2.5453037550366431E-2</v>
      </c>
    </row>
    <row r="178" spans="1:23" x14ac:dyDescent="0.25">
      <c r="A178" s="1">
        <v>44852</v>
      </c>
      <c r="B178">
        <v>4608.1000979999999</v>
      </c>
      <c r="C178">
        <v>9.5435250000000007</v>
      </c>
      <c r="D178">
        <v>7.2638780000000001</v>
      </c>
      <c r="E178">
        <v>6.4999000000000001E-2</v>
      </c>
      <c r="F178">
        <v>12.909454999999999</v>
      </c>
      <c r="G178">
        <v>17.176098</v>
      </c>
      <c r="H178">
        <v>7.2439580000000001</v>
      </c>
      <c r="I178">
        <v>45.427097000000003</v>
      </c>
      <c r="J178">
        <v>4.5687430000000004</v>
      </c>
      <c r="K178">
        <v>33.809654000000002</v>
      </c>
      <c r="L178">
        <v>22.007667999999999</v>
      </c>
      <c r="M178" s="4">
        <f t="shared" si="17"/>
        <v>6.5617398227320045E-3</v>
      </c>
      <c r="N178" s="4">
        <f t="shared" si="17"/>
        <v>-1.9960027657713875E-3</v>
      </c>
      <c r="O178" s="4">
        <f t="shared" si="18"/>
        <v>-4.9998774036252858E-3</v>
      </c>
      <c r="P178" s="4">
        <f t="shared" si="18"/>
        <v>-2.5677539273294081E-2</v>
      </c>
      <c r="Q178" s="4">
        <f t="shared" si="18"/>
        <v>-1.7978449367054283E-3</v>
      </c>
      <c r="R178" s="4">
        <f t="shared" si="19"/>
        <v>1.7659937031762052E-2</v>
      </c>
      <c r="S178" s="4">
        <f t="shared" si="20"/>
        <v>1.659527022238505E-2</v>
      </c>
      <c r="T178" s="4">
        <f t="shared" si="21"/>
        <v>2.5395405704781826E-2</v>
      </c>
      <c r="U178" s="4">
        <f t="shared" si="22"/>
        <v>5.6877715223566661E-3</v>
      </c>
      <c r="V178" s="4">
        <f t="shared" si="23"/>
        <v>2.4826765827021591E-2</v>
      </c>
      <c r="W178" s="4">
        <f t="shared" si="24"/>
        <v>1.6220993536315786E-2</v>
      </c>
    </row>
    <row r="179" spans="1:23" x14ac:dyDescent="0.25">
      <c r="A179" s="1">
        <v>44853</v>
      </c>
      <c r="B179">
        <v>4578.0600590000004</v>
      </c>
      <c r="C179">
        <v>9.5626119999999997</v>
      </c>
      <c r="D179">
        <v>7.3003790000000004</v>
      </c>
      <c r="E179">
        <v>6.6711999999999994E-2</v>
      </c>
      <c r="F179">
        <v>12.932706</v>
      </c>
      <c r="G179">
        <v>16.878032999999999</v>
      </c>
      <c r="H179">
        <v>7.125705</v>
      </c>
      <c r="I179">
        <v>44.302028999999997</v>
      </c>
      <c r="J179">
        <v>4.5429040000000001</v>
      </c>
      <c r="K179">
        <v>32.990603999999998</v>
      </c>
      <c r="L179">
        <v>21.656379999999999</v>
      </c>
      <c r="M179" s="4">
        <f t="shared" si="17"/>
        <v>9.3614869218130448E-3</v>
      </c>
      <c r="N179" s="4">
        <f t="shared" si="17"/>
        <v>7.0352103828563717E-3</v>
      </c>
      <c r="O179" s="4">
        <f t="shared" si="18"/>
        <v>8.8271942476068066E-3</v>
      </c>
      <c r="P179" s="4">
        <f t="shared" si="18"/>
        <v>5.0991331473637658E-4</v>
      </c>
      <c r="Q179" s="4">
        <f t="shared" si="18"/>
        <v>-6.4309570977075792E-3</v>
      </c>
      <c r="R179" s="4">
        <f t="shared" si="19"/>
        <v>4.4347271648059738E-3</v>
      </c>
      <c r="S179" s="4">
        <f t="shared" si="20"/>
        <v>-1.0331120860989307E-2</v>
      </c>
      <c r="T179" s="4">
        <f t="shared" si="21"/>
        <v>-1.3189774093845252E-2</v>
      </c>
      <c r="U179" s="4">
        <f t="shared" si="22"/>
        <v>8.2430891414852825E-2</v>
      </c>
      <c r="V179" s="4">
        <f t="shared" si="23"/>
        <v>-8.6531535493206135E-4</v>
      </c>
      <c r="W179" s="4">
        <f t="shared" si="24"/>
        <v>-1.313450830353502E-3</v>
      </c>
    </row>
    <row r="180" spans="1:23" x14ac:dyDescent="0.25">
      <c r="A180" s="1">
        <v>44854</v>
      </c>
      <c r="B180">
        <v>4535.6000979999999</v>
      </c>
      <c r="C180">
        <v>9.4958069999999992</v>
      </c>
      <c r="D180">
        <v>7.2365009999999996</v>
      </c>
      <c r="E180">
        <v>6.6678000000000001E-2</v>
      </c>
      <c r="F180">
        <v>13.016413999999999</v>
      </c>
      <c r="G180">
        <v>16.803514</v>
      </c>
      <c r="H180">
        <v>7.2000900000000003</v>
      </c>
      <c r="I180">
        <v>44.894173000000002</v>
      </c>
      <c r="J180">
        <v>4.1969459999999996</v>
      </c>
      <c r="K180">
        <v>33.019176000000002</v>
      </c>
      <c r="L180">
        <v>21.684861999999999</v>
      </c>
      <c r="M180" s="4">
        <f t="shared" si="17"/>
        <v>-4.402905961142789E-5</v>
      </c>
      <c r="N180" s="4">
        <f t="shared" si="17"/>
        <v>0</v>
      </c>
      <c r="O180" s="4">
        <f t="shared" si="18"/>
        <v>1.0191111966683319E-2</v>
      </c>
      <c r="P180" s="4">
        <f t="shared" si="18"/>
        <v>2.6352245790105755E-2</v>
      </c>
      <c r="Q180" s="4">
        <f t="shared" si="18"/>
        <v>0</v>
      </c>
      <c r="R180" s="4">
        <f t="shared" si="19"/>
        <v>-1.1074688220480411E-3</v>
      </c>
      <c r="S180" s="4">
        <f t="shared" si="20"/>
        <v>3.7223694020176445E-3</v>
      </c>
      <c r="T180" s="4">
        <f t="shared" si="21"/>
        <v>-1.6219733599799224E-2</v>
      </c>
      <c r="U180" s="4">
        <f t="shared" si="22"/>
        <v>1.8344263022999741E-2</v>
      </c>
      <c r="V180" s="4">
        <f t="shared" si="23"/>
        <v>-2.0149404086496903E-3</v>
      </c>
      <c r="W180" s="4">
        <f t="shared" si="24"/>
        <v>-9.9696259396274689E-3</v>
      </c>
    </row>
    <row r="181" spans="1:23" x14ac:dyDescent="0.25">
      <c r="A181" s="1">
        <v>44855</v>
      </c>
      <c r="B181">
        <v>4535.7998049999997</v>
      </c>
      <c r="C181">
        <v>9.4958069999999992</v>
      </c>
      <c r="D181">
        <v>7.1634969999999996</v>
      </c>
      <c r="E181">
        <v>6.4965999999999996E-2</v>
      </c>
      <c r="F181">
        <v>13.016413999999999</v>
      </c>
      <c r="G181">
        <v>16.822144000000002</v>
      </c>
      <c r="H181">
        <v>7.1733880000000001</v>
      </c>
      <c r="I181">
        <v>45.634349999999998</v>
      </c>
      <c r="J181">
        <v>4.1213430000000004</v>
      </c>
      <c r="K181">
        <v>33.085842</v>
      </c>
      <c r="L181">
        <v>21.903229</v>
      </c>
      <c r="M181" s="4">
        <f t="shared" si="17"/>
        <v>-9.639927973059681E-3</v>
      </c>
      <c r="N181" s="4">
        <f t="shared" si="17"/>
        <v>7.0850552370227415E-3</v>
      </c>
      <c r="O181" s="4">
        <f t="shared" si="18"/>
        <v>-1.0088300962025731E-2</v>
      </c>
      <c r="P181" s="4">
        <f t="shared" si="18"/>
        <v>2.6529935057752807E-2</v>
      </c>
      <c r="Q181" s="4">
        <f t="shared" si="18"/>
        <v>7.1507028500472636E-4</v>
      </c>
      <c r="R181" s="4">
        <f t="shared" si="19"/>
        <v>-9.8682133041799736E-3</v>
      </c>
      <c r="S181" s="4">
        <f t="shared" si="20"/>
        <v>-1.1303853321979918E-2</v>
      </c>
      <c r="T181" s="4">
        <f t="shared" si="21"/>
        <v>-1.6379396934017354E-2</v>
      </c>
      <c r="U181" s="4">
        <f t="shared" si="22"/>
        <v>-1.6067960863725417E-2</v>
      </c>
      <c r="V181" s="4">
        <f t="shared" si="23"/>
        <v>-7.4286904338121129E-3</v>
      </c>
      <c r="W181" s="4">
        <f t="shared" si="24"/>
        <v>-2.5348505574473879E-2</v>
      </c>
    </row>
    <row r="182" spans="1:23" x14ac:dyDescent="0.25">
      <c r="A182" s="1">
        <v>44858</v>
      </c>
      <c r="B182">
        <v>4579.9501950000003</v>
      </c>
      <c r="C182">
        <v>9.4290020000000005</v>
      </c>
      <c r="D182">
        <v>7.2365009999999996</v>
      </c>
      <c r="E182">
        <v>6.3286999999999996E-2</v>
      </c>
      <c r="F182">
        <v>13.007113</v>
      </c>
      <c r="G182">
        <v>16.989802999999998</v>
      </c>
      <c r="H182">
        <v>7.2554020000000001</v>
      </c>
      <c r="I182">
        <v>46.394260000000003</v>
      </c>
      <c r="J182">
        <v>4.1886460000000003</v>
      </c>
      <c r="K182">
        <v>33.333466000000001</v>
      </c>
      <c r="L182">
        <v>22.472882999999999</v>
      </c>
      <c r="M182" s="4">
        <f t="shared" si="17"/>
        <v>-8.7331151013909647E-3</v>
      </c>
      <c r="N182" s="4">
        <f t="shared" si="17"/>
        <v>-1.0020014831322865E-2</v>
      </c>
      <c r="O182" s="4">
        <f t="shared" si="18"/>
        <v>0</v>
      </c>
      <c r="P182" s="4">
        <f t="shared" si="18"/>
        <v>-2.7341468662588797E-2</v>
      </c>
      <c r="Q182" s="4">
        <f t="shared" si="18"/>
        <v>3.5770148761060661E-4</v>
      </c>
      <c r="R182" s="4">
        <f t="shared" si="19"/>
        <v>-1.2987068063551099E-2</v>
      </c>
      <c r="S182" s="4">
        <f t="shared" si="20"/>
        <v>6.6155464717756463E-3</v>
      </c>
      <c r="T182" s="4">
        <f t="shared" si="21"/>
        <v>-1.4878596262738575E-2</v>
      </c>
      <c r="U182" s="4">
        <f t="shared" si="22"/>
        <v>-2.7132725501194277E-2</v>
      </c>
      <c r="V182" s="4">
        <f t="shared" si="23"/>
        <v>-5.6816417475070713E-3</v>
      </c>
      <c r="W182" s="4">
        <f t="shared" si="24"/>
        <v>-2.1079596658222233E-3</v>
      </c>
    </row>
    <row r="183" spans="1:23" x14ac:dyDescent="0.25">
      <c r="A183" s="1">
        <v>44859</v>
      </c>
      <c r="B183">
        <v>4620.2998049999997</v>
      </c>
      <c r="C183">
        <v>9.5244370000000007</v>
      </c>
      <c r="D183">
        <v>7.2365009999999996</v>
      </c>
      <c r="E183">
        <v>6.5065999999999999E-2</v>
      </c>
      <c r="F183">
        <v>13.002462</v>
      </c>
      <c r="G183">
        <v>17.213353999999999</v>
      </c>
      <c r="H183">
        <v>7.207719</v>
      </c>
      <c r="I183">
        <v>47.094966999999997</v>
      </c>
      <c r="J183">
        <v>4.3054649999999999</v>
      </c>
      <c r="K183">
        <v>33.523936999999997</v>
      </c>
      <c r="L183">
        <v>22.520354999999999</v>
      </c>
      <c r="M183" s="4">
        <f t="shared" si="17"/>
        <v>-1.0972834203692883E-2</v>
      </c>
      <c r="N183" s="4">
        <f t="shared" si="17"/>
        <v>3.0150149429113426E-3</v>
      </c>
      <c r="O183" s="4">
        <f t="shared" si="18"/>
        <v>-7.5094078467161651E-3</v>
      </c>
      <c r="P183" s="4">
        <f t="shared" si="18"/>
        <v>-3.8225033997516755E-2</v>
      </c>
      <c r="Q183" s="4">
        <f t="shared" si="18"/>
        <v>7.2045644064757663E-3</v>
      </c>
      <c r="R183" s="4">
        <f t="shared" si="19"/>
        <v>-1.0810711686519703E-3</v>
      </c>
      <c r="S183" s="4">
        <f t="shared" si="20"/>
        <v>-2.6392069953029562E-3</v>
      </c>
      <c r="T183" s="4">
        <f t="shared" si="21"/>
        <v>-1.9921873390424283E-2</v>
      </c>
      <c r="U183" s="4">
        <f t="shared" si="22"/>
        <v>-2.3392097433472259E-3</v>
      </c>
      <c r="V183" s="4">
        <f t="shared" si="23"/>
        <v>-1.7308839916307606E-2</v>
      </c>
      <c r="W183" s="4">
        <f t="shared" si="24"/>
        <v>2.1093454150543423E-2</v>
      </c>
    </row>
    <row r="184" spans="1:23" x14ac:dyDescent="0.25">
      <c r="A184" s="1">
        <v>44860</v>
      </c>
      <c r="B184">
        <v>4671.5600590000004</v>
      </c>
      <c r="C184">
        <v>9.4958069999999992</v>
      </c>
      <c r="D184">
        <v>7.2912540000000003</v>
      </c>
      <c r="E184">
        <v>6.7652000000000004E-2</v>
      </c>
      <c r="F184">
        <v>12.909454999999999</v>
      </c>
      <c r="G184">
        <v>17.231983</v>
      </c>
      <c r="H184">
        <v>7.2267919999999997</v>
      </c>
      <c r="I184">
        <v>48.052258000000002</v>
      </c>
      <c r="J184">
        <v>4.3155599999999996</v>
      </c>
      <c r="K184">
        <v>34.114418000000001</v>
      </c>
      <c r="L184">
        <v>22.055136000000001</v>
      </c>
      <c r="M184" s="4">
        <f t="shared" si="17"/>
        <v>4.1118044282928423E-3</v>
      </c>
      <c r="N184" s="4">
        <f t="shared" si="17"/>
        <v>-1.8737777245021459E-2</v>
      </c>
      <c r="O184" s="4">
        <f t="shared" si="18"/>
        <v>8.8383391150537172E-3</v>
      </c>
      <c r="P184" s="4">
        <f t="shared" si="18"/>
        <v>-1.6114019778941224E-2</v>
      </c>
      <c r="Q184" s="4">
        <f t="shared" si="18"/>
        <v>-7.5080457900228437E-3</v>
      </c>
      <c r="R184" s="4">
        <f t="shared" si="19"/>
        <v>-4.540750370713742E-2</v>
      </c>
      <c r="S184" s="4">
        <f t="shared" si="20"/>
        <v>9.0545248608477902E-3</v>
      </c>
      <c r="T184" s="4">
        <f t="shared" si="21"/>
        <v>7.1051511189354599E-2</v>
      </c>
      <c r="U184" s="4">
        <f t="shared" si="22"/>
        <v>7.7456747283641825E-3</v>
      </c>
      <c r="V184" s="4">
        <f t="shared" si="23"/>
        <v>1.1864390239938016E-2</v>
      </c>
      <c r="W184" s="4">
        <f t="shared" si="24"/>
        <v>3.8893588293105186E-3</v>
      </c>
    </row>
    <row r="185" spans="1:23" x14ac:dyDescent="0.25">
      <c r="A185" s="1">
        <v>44861</v>
      </c>
      <c r="B185">
        <v>4652.4301759999998</v>
      </c>
      <c r="C185">
        <v>9.6771349999999998</v>
      </c>
      <c r="D185">
        <v>7.2273759999999996</v>
      </c>
      <c r="E185">
        <v>6.8760000000000002E-2</v>
      </c>
      <c r="F185">
        <v>13.007113</v>
      </c>
      <c r="G185">
        <v>18.051663999999999</v>
      </c>
      <c r="H185">
        <v>7.1619440000000001</v>
      </c>
      <c r="I185">
        <v>44.864562999999997</v>
      </c>
      <c r="J185">
        <v>4.2823900000000004</v>
      </c>
      <c r="K185">
        <v>33.714416999999997</v>
      </c>
      <c r="L185">
        <v>21.969688000000001</v>
      </c>
      <c r="M185" s="4">
        <f t="shared" si="17"/>
        <v>1.041156340087479E-2</v>
      </c>
      <c r="N185" s="4">
        <f t="shared" si="17"/>
        <v>1.1976121168567833E-2</v>
      </c>
      <c r="O185" s="4">
        <f t="shared" si="18"/>
        <v>-1.246886200438313E-2</v>
      </c>
      <c r="P185" s="4">
        <f t="shared" si="18"/>
        <v>-4.0749989536976283E-2</v>
      </c>
      <c r="Q185" s="4">
        <f t="shared" si="18"/>
        <v>1.1939254608613226E-2</v>
      </c>
      <c r="R185" s="4">
        <f t="shared" si="19"/>
        <v>2.7571324238030659E-2</v>
      </c>
      <c r="S185" s="4">
        <f t="shared" si="20"/>
        <v>-3.6505844037300839E-2</v>
      </c>
      <c r="T185" s="4">
        <f t="shared" si="21"/>
        <v>4.3378405905525774E-2</v>
      </c>
      <c r="U185" s="4">
        <f t="shared" si="22"/>
        <v>8.9913786071571522E-4</v>
      </c>
      <c r="V185" s="4">
        <f t="shared" si="23"/>
        <v>2.4009341532231776E-2</v>
      </c>
      <c r="W185" s="4">
        <f t="shared" si="24"/>
        <v>0</v>
      </c>
    </row>
    <row r="186" spans="1:23" x14ac:dyDescent="0.25">
      <c r="A186" s="1">
        <v>44862</v>
      </c>
      <c r="B186">
        <v>4604.4902339999999</v>
      </c>
      <c r="C186">
        <v>9.5626119999999997</v>
      </c>
      <c r="D186">
        <v>7.3186309999999999</v>
      </c>
      <c r="E186">
        <v>7.1680999999999995E-2</v>
      </c>
      <c r="F186">
        <v>12.85365</v>
      </c>
      <c r="G186">
        <v>17.567309999999999</v>
      </c>
      <c r="H186">
        <v>7.4333030000000004</v>
      </c>
      <c r="I186">
        <v>42.999321000000002</v>
      </c>
      <c r="J186">
        <v>4.278543</v>
      </c>
      <c r="K186">
        <v>32.923935</v>
      </c>
      <c r="L186">
        <v>21.969688000000001</v>
      </c>
      <c r="M186" s="4">
        <f t="shared" si="17"/>
        <v>-4.4275215730527062E-4</v>
      </c>
      <c r="N186" s="4">
        <f t="shared" si="17"/>
        <v>-3.9761327874613395E-3</v>
      </c>
      <c r="O186" s="4">
        <f t="shared" si="18"/>
        <v>2.500144170597185E-3</v>
      </c>
      <c r="P186" s="4">
        <f t="shared" si="18"/>
        <v>-4.6517440568762947E-3</v>
      </c>
      <c r="Q186" s="4">
        <f t="shared" si="18"/>
        <v>-2.9835008587862033E-2</v>
      </c>
      <c r="R186" s="4">
        <f t="shared" si="19"/>
        <v>-3.0832253081881977E-2</v>
      </c>
      <c r="S186" s="4">
        <f t="shared" si="20"/>
        <v>-1.5620021781258542E-3</v>
      </c>
      <c r="T186" s="4">
        <f t="shared" si="21"/>
        <v>-1.7365797185439735E-2</v>
      </c>
      <c r="U186" s="4">
        <f t="shared" si="22"/>
        <v>-1.2647037036267794E-2</v>
      </c>
      <c r="V186" s="4">
        <f t="shared" si="23"/>
        <v>1.9463290718440884E-2</v>
      </c>
      <c r="W186" s="4">
        <f t="shared" si="24"/>
        <v>4.7762996385178891E-3</v>
      </c>
    </row>
    <row r="187" spans="1:23" x14ac:dyDescent="0.25">
      <c r="A187" s="1">
        <v>44865</v>
      </c>
      <c r="B187">
        <v>4606.5297849999997</v>
      </c>
      <c r="C187">
        <v>9.6007859999999994</v>
      </c>
      <c r="D187">
        <v>7.3003790000000004</v>
      </c>
      <c r="E187">
        <v>7.2015999999999997E-2</v>
      </c>
      <c r="F187">
        <v>13.248932</v>
      </c>
      <c r="G187">
        <v>18.126180999999999</v>
      </c>
      <c r="H187">
        <v>7.4449319999999997</v>
      </c>
      <c r="I187">
        <v>43.759234999999997</v>
      </c>
      <c r="J187">
        <v>4.3333469999999998</v>
      </c>
      <c r="K187">
        <v>32.295361</v>
      </c>
      <c r="L187">
        <v>21.865252999999999</v>
      </c>
      <c r="M187" s="4">
        <f t="shared" si="17"/>
        <v>-8.6193054521163104E-3</v>
      </c>
      <c r="N187" s="4">
        <f t="shared" si="17"/>
        <v>5.9999842825368965E-3</v>
      </c>
      <c r="O187" s="4">
        <f t="shared" si="18"/>
        <v>-1.8404893952222445E-2</v>
      </c>
      <c r="P187" s="4">
        <f t="shared" si="18"/>
        <v>-3.941524055968304E-2</v>
      </c>
      <c r="Q187" s="4">
        <f t="shared" si="18"/>
        <v>-3.8462154420493277E-3</v>
      </c>
      <c r="R187" s="4">
        <f t="shared" si="19"/>
        <v>-5.1126468426665461E-3</v>
      </c>
      <c r="S187" s="4">
        <f t="shared" si="20"/>
        <v>-2.9805633564210066E-2</v>
      </c>
      <c r="T187" s="4">
        <f t="shared" si="21"/>
        <v>-6.7204165309944219E-3</v>
      </c>
      <c r="U187" s="4">
        <f t="shared" si="22"/>
        <v>3.5625586503269524E-3</v>
      </c>
      <c r="V187" s="4">
        <f t="shared" si="23"/>
        <v>-1.3957557934650811E-2</v>
      </c>
      <c r="W187" s="4">
        <f t="shared" si="24"/>
        <v>-2.2495749369826679E-2</v>
      </c>
    </row>
    <row r="188" spans="1:23" x14ac:dyDescent="0.25">
      <c r="A188" s="1">
        <v>44866</v>
      </c>
      <c r="B188">
        <v>4646.580078</v>
      </c>
      <c r="C188">
        <v>9.5435250000000007</v>
      </c>
      <c r="D188">
        <v>7.4372610000000003</v>
      </c>
      <c r="E188">
        <v>7.4970999999999996E-2</v>
      </c>
      <c r="F188">
        <v>13.300087</v>
      </c>
      <c r="G188">
        <v>18.219329999999999</v>
      </c>
      <c r="H188">
        <v>7.6736500000000003</v>
      </c>
      <c r="I188">
        <v>44.055304999999997</v>
      </c>
      <c r="J188">
        <v>4.3179639999999999</v>
      </c>
      <c r="K188">
        <v>32.752505999999997</v>
      </c>
      <c r="L188">
        <v>22.368448000000001</v>
      </c>
      <c r="M188" s="4">
        <f t="shared" si="17"/>
        <v>5.7837717576674219E-3</v>
      </c>
      <c r="N188" s="4">
        <f t="shared" si="17"/>
        <v>1.8330107322652944E-2</v>
      </c>
      <c r="O188" s="4">
        <f t="shared" si="18"/>
        <v>-2.5119624123857487E-2</v>
      </c>
      <c r="P188" s="4">
        <f t="shared" si="18"/>
        <v>-2.4894322689731352E-2</v>
      </c>
      <c r="Q188" s="4">
        <f t="shared" si="18"/>
        <v>-9.0090177354186229E-3</v>
      </c>
      <c r="R188" s="4">
        <f t="shared" si="19"/>
        <v>3.076894617391579E-3</v>
      </c>
      <c r="S188" s="4">
        <f t="shared" si="20"/>
        <v>1.3569024636371774E-2</v>
      </c>
      <c r="T188" s="4">
        <f t="shared" si="21"/>
        <v>2.2404136891629456E-4</v>
      </c>
      <c r="U188" s="4">
        <f t="shared" si="22"/>
        <v>3.0151099283992622E-3</v>
      </c>
      <c r="V188" s="4">
        <f t="shared" si="23"/>
        <v>5.8188167648265399E-4</v>
      </c>
      <c r="W188" s="4">
        <f t="shared" si="24"/>
        <v>2.1239745062246351E-2</v>
      </c>
    </row>
    <row r="189" spans="1:23" x14ac:dyDescent="0.25">
      <c r="A189" s="1">
        <v>44867</v>
      </c>
      <c r="B189">
        <v>4619.8598629999997</v>
      </c>
      <c r="C189">
        <v>9.3717400000000008</v>
      </c>
      <c r="D189">
        <v>7.6288960000000001</v>
      </c>
      <c r="E189">
        <v>7.6884999999999995E-2</v>
      </c>
      <c r="F189">
        <v>13.420997</v>
      </c>
      <c r="G189">
        <v>18.163443000000001</v>
      </c>
      <c r="H189">
        <v>7.5709200000000001</v>
      </c>
      <c r="I189">
        <v>44.045437</v>
      </c>
      <c r="J189">
        <v>4.3049840000000001</v>
      </c>
      <c r="K189">
        <v>32.733459000000003</v>
      </c>
      <c r="L189">
        <v>21.903229</v>
      </c>
      <c r="M189" s="4">
        <f t="shared" si="17"/>
        <v>6.9946494397292724E-3</v>
      </c>
      <c r="N189" s="4">
        <f t="shared" si="17"/>
        <v>1.0192051054678242E-3</v>
      </c>
      <c r="O189" s="4">
        <f t="shared" si="18"/>
        <v>-4.8900492213735935E-3</v>
      </c>
      <c r="P189" s="4">
        <f t="shared" si="18"/>
        <v>-2.4277265920454982E-2</v>
      </c>
      <c r="Q189" s="4">
        <f t="shared" si="18"/>
        <v>2.2316766379581132E-2</v>
      </c>
      <c r="R189" s="4">
        <f t="shared" si="19"/>
        <v>-1.3157881868920307E-2</v>
      </c>
      <c r="S189" s="4">
        <f t="shared" si="20"/>
        <v>1.2704079551147052E-2</v>
      </c>
      <c r="T189" s="4">
        <f t="shared" si="21"/>
        <v>1.018562965854497E-2</v>
      </c>
      <c r="U189" s="4">
        <f t="shared" si="22"/>
        <v>2.6831774515014173E-2</v>
      </c>
      <c r="V189" s="4">
        <f t="shared" si="23"/>
        <v>5.2646593205443182E-3</v>
      </c>
      <c r="W189" s="4">
        <f t="shared" si="24"/>
        <v>6.1054708864747287E-3</v>
      </c>
    </row>
    <row r="190" spans="1:23" x14ac:dyDescent="0.25">
      <c r="A190" s="1">
        <v>44868</v>
      </c>
      <c r="B190">
        <v>4587.7700199999999</v>
      </c>
      <c r="C190">
        <v>9.3621979999999994</v>
      </c>
      <c r="D190">
        <v>7.666385</v>
      </c>
      <c r="E190">
        <v>7.8798000000000007E-2</v>
      </c>
      <c r="F190">
        <v>13.128022</v>
      </c>
      <c r="G190">
        <v>18.405622000000001</v>
      </c>
      <c r="H190">
        <v>7.4759450000000003</v>
      </c>
      <c r="I190">
        <v>43.601329999999997</v>
      </c>
      <c r="J190">
        <v>4.1924919999999997</v>
      </c>
      <c r="K190">
        <v>32.562030999999998</v>
      </c>
      <c r="L190">
        <v>21.770311</v>
      </c>
      <c r="M190" s="4">
        <f t="shared" si="17"/>
        <v>-2.7674944692075654E-2</v>
      </c>
      <c r="N190" s="4">
        <f t="shared" si="17"/>
        <v>-8.088957769554872E-3</v>
      </c>
      <c r="O190" s="4">
        <f t="shared" si="18"/>
        <v>2.4509518686872678E-3</v>
      </c>
      <c r="P190" s="4">
        <f t="shared" si="18"/>
        <v>-6.1202120688627959E-2</v>
      </c>
      <c r="Q190" s="4">
        <f t="shared" si="18"/>
        <v>-1.8769587857757397E-2</v>
      </c>
      <c r="R190" s="4">
        <f t="shared" si="19"/>
        <v>-2.4197597311594765E-2</v>
      </c>
      <c r="S190" s="4">
        <f t="shared" si="20"/>
        <v>-6.8132411929388792E-2</v>
      </c>
      <c r="T190" s="4">
        <f t="shared" si="21"/>
        <v>-2.8370385053316016E-2</v>
      </c>
      <c r="U190" s="4">
        <f t="shared" si="22"/>
        <v>-8.1883463978302817E-3</v>
      </c>
      <c r="V190" s="4">
        <f t="shared" si="23"/>
        <v>-2.8417174269126488E-2</v>
      </c>
      <c r="W190" s="4">
        <f t="shared" si="24"/>
        <v>-3.2081095951315808E-2</v>
      </c>
    </row>
    <row r="191" spans="1:23" x14ac:dyDescent="0.25">
      <c r="A191" s="1">
        <v>44869</v>
      </c>
      <c r="B191">
        <v>4718.3500979999999</v>
      </c>
      <c r="C191">
        <v>9.4385460000000005</v>
      </c>
      <c r="D191">
        <v>7.6476410000000001</v>
      </c>
      <c r="E191">
        <v>8.3934999999999996E-2</v>
      </c>
      <c r="F191">
        <v>13.379142999999999</v>
      </c>
      <c r="G191">
        <v>18.862037999999998</v>
      </c>
      <c r="H191">
        <v>8.0225399999999993</v>
      </c>
      <c r="I191">
        <v>44.874434999999998</v>
      </c>
      <c r="J191">
        <v>4.2271049999999999</v>
      </c>
      <c r="K191">
        <v>33.514415999999997</v>
      </c>
      <c r="L191">
        <v>22.491875</v>
      </c>
      <c r="M191" s="4">
        <f t="shared" si="17"/>
        <v>-1.0377882430901542E-2</v>
      </c>
      <c r="N191" s="4">
        <f t="shared" si="17"/>
        <v>1.0214585935518494E-2</v>
      </c>
      <c r="O191" s="4">
        <f t="shared" si="18"/>
        <v>-4.8779922887436378E-3</v>
      </c>
      <c r="P191" s="4">
        <f t="shared" si="18"/>
        <v>-3.4752808859551343E-2</v>
      </c>
      <c r="Q191" s="4">
        <f t="shared" si="18"/>
        <v>-2.2093764118146564E-2</v>
      </c>
      <c r="R191" s="4">
        <f t="shared" si="19"/>
        <v>-7.3529516244209558E-3</v>
      </c>
      <c r="S191" s="4">
        <f t="shared" si="20"/>
        <v>-1.7797818805812216E-2</v>
      </c>
      <c r="T191" s="4">
        <f t="shared" si="21"/>
        <v>-2.4248878529839146E-2</v>
      </c>
      <c r="U191" s="4">
        <f t="shared" si="22"/>
        <v>-7.6740782126840656E-3</v>
      </c>
      <c r="V191" s="4">
        <f t="shared" si="23"/>
        <v>-8.7323579235684123E-3</v>
      </c>
      <c r="W191" s="4">
        <f t="shared" si="24"/>
        <v>-2.1478603122053963E-2</v>
      </c>
    </row>
    <row r="192" spans="1:23" x14ac:dyDescent="0.25">
      <c r="A192" s="1">
        <v>44872</v>
      </c>
      <c r="B192">
        <v>4767.830078</v>
      </c>
      <c r="C192">
        <v>9.3431099999999994</v>
      </c>
      <c r="D192">
        <v>7.6851289999999999</v>
      </c>
      <c r="E192">
        <v>8.6957000000000007E-2</v>
      </c>
      <c r="F192">
        <v>13.681417</v>
      </c>
      <c r="G192">
        <v>19.001757000000001</v>
      </c>
      <c r="H192">
        <v>8.1679110000000001</v>
      </c>
      <c r="I192">
        <v>45.989632</v>
      </c>
      <c r="J192">
        <v>4.2597950000000004</v>
      </c>
      <c r="K192">
        <v>33.809654000000002</v>
      </c>
      <c r="L192">
        <v>22.985572999999999</v>
      </c>
      <c r="M192" s="4">
        <f t="shared" si="17"/>
        <v>-8.4372815961346603E-3</v>
      </c>
      <c r="N192" s="4">
        <f t="shared" si="17"/>
        <v>2.0469702780687715E-3</v>
      </c>
      <c r="O192" s="4">
        <f t="shared" si="18"/>
        <v>-1.4423165091287826E-2</v>
      </c>
      <c r="P192" s="4">
        <f t="shared" si="18"/>
        <v>-3.1777844584738979E-2</v>
      </c>
      <c r="Q192" s="4">
        <f t="shared" si="18"/>
        <v>-6.7951137704957976E-4</v>
      </c>
      <c r="R192" s="4">
        <f t="shared" si="19"/>
        <v>-1.9230644164461297E-2</v>
      </c>
      <c r="S192" s="4">
        <f t="shared" si="20"/>
        <v>-1.9999992801096766E-2</v>
      </c>
      <c r="T192" s="4">
        <f t="shared" si="21"/>
        <v>4.5268285838244715E-3</v>
      </c>
      <c r="U192" s="4">
        <f t="shared" si="22"/>
        <v>-1.7409526972945177E-2</v>
      </c>
      <c r="V192" s="4">
        <f t="shared" si="23"/>
        <v>-1.6873162913128015E-3</v>
      </c>
      <c r="W192" s="4">
        <f t="shared" si="24"/>
        <v>-1.7451313863751983E-2</v>
      </c>
    </row>
    <row r="193" spans="1:23" x14ac:dyDescent="0.25">
      <c r="A193" s="1">
        <v>44873</v>
      </c>
      <c r="B193">
        <v>4808.3999020000001</v>
      </c>
      <c r="C193">
        <v>9.3240239999999996</v>
      </c>
      <c r="D193">
        <v>7.7975950000000003</v>
      </c>
      <c r="E193">
        <v>8.9811000000000002E-2</v>
      </c>
      <c r="F193">
        <v>13.690720000000001</v>
      </c>
      <c r="G193">
        <v>19.374338000000002</v>
      </c>
      <c r="H193">
        <v>8.3346029999999995</v>
      </c>
      <c r="I193">
        <v>45.782383000000003</v>
      </c>
      <c r="J193">
        <v>4.3352700000000004</v>
      </c>
      <c r="K193">
        <v>33.866798000000003</v>
      </c>
      <c r="L193">
        <v>23.393826000000001</v>
      </c>
      <c r="M193" s="4">
        <f t="shared" si="17"/>
        <v>-1.2379550282071161E-3</v>
      </c>
      <c r="N193" s="4">
        <f t="shared" si="17"/>
        <v>2.0513843405263188E-3</v>
      </c>
      <c r="O193" s="4">
        <f t="shared" si="18"/>
        <v>4.8309907106938166E-3</v>
      </c>
      <c r="P193" s="4">
        <f t="shared" si="18"/>
        <v>9.0508396371893118E-2</v>
      </c>
      <c r="Q193" s="4">
        <f t="shared" si="18"/>
        <v>-2.371956365213479E-3</v>
      </c>
      <c r="R193" s="4">
        <f t="shared" si="19"/>
        <v>-2.3981366065609633E-3</v>
      </c>
      <c r="S193" s="4">
        <f t="shared" si="20"/>
        <v>-1.0356545090469904E-2</v>
      </c>
      <c r="T193" s="4">
        <f t="shared" si="21"/>
        <v>7.6020253991408993E-3</v>
      </c>
      <c r="U193" s="4">
        <f t="shared" si="22"/>
        <v>1.280304228487239E-2</v>
      </c>
      <c r="V193" s="4">
        <f t="shared" si="23"/>
        <v>3.1029823883543806E-3</v>
      </c>
      <c r="W193" s="4">
        <f t="shared" si="24"/>
        <v>-8.4507378946293565E-3</v>
      </c>
    </row>
    <row r="194" spans="1:23" x14ac:dyDescent="0.25">
      <c r="A194" s="1">
        <v>44874</v>
      </c>
      <c r="B194">
        <v>4814.3598629999997</v>
      </c>
      <c r="C194">
        <v>9.3049359999999997</v>
      </c>
      <c r="D194">
        <v>7.7601060000000004</v>
      </c>
      <c r="E194">
        <v>8.2357E-2</v>
      </c>
      <c r="F194">
        <v>13.723271</v>
      </c>
      <c r="G194">
        <v>19.420912000000001</v>
      </c>
      <c r="H194">
        <v>8.4218240000000009</v>
      </c>
      <c r="I194">
        <v>45.436970000000002</v>
      </c>
      <c r="J194">
        <v>4.2804669999999998</v>
      </c>
      <c r="K194">
        <v>33.762034999999997</v>
      </c>
      <c r="L194">
        <v>23.593205999999999</v>
      </c>
      <c r="M194" s="4">
        <f t="shared" si="17"/>
        <v>-1.2712425021621176E-2</v>
      </c>
      <c r="N194" s="4">
        <f t="shared" si="17"/>
        <v>-2.0471847777311369E-3</v>
      </c>
      <c r="O194" s="4">
        <f t="shared" si="18"/>
        <v>-3.157895525019927E-2</v>
      </c>
      <c r="P194" s="4">
        <f t="shared" si="18"/>
        <v>-1.6045400238948626E-2</v>
      </c>
      <c r="Q194" s="4">
        <f t="shared" si="18"/>
        <v>2.607777161513547E-2</v>
      </c>
      <c r="R194" s="4">
        <f t="shared" si="19"/>
        <v>-9.5012017011705252E-3</v>
      </c>
      <c r="S194" s="4">
        <f t="shared" si="20"/>
        <v>-2.0514041995727372E-2</v>
      </c>
      <c r="T194" s="4">
        <f t="shared" si="21"/>
        <v>-1.3014498953218823E-3</v>
      </c>
      <c r="U194" s="4">
        <f t="shared" si="22"/>
        <v>-2.4326049247924142E-2</v>
      </c>
      <c r="V194" s="4">
        <f t="shared" si="23"/>
        <v>1.4596476689518134E-2</v>
      </c>
      <c r="W194" s="4">
        <f t="shared" si="24"/>
        <v>-2.6635336752229843E-2</v>
      </c>
    </row>
    <row r="195" spans="1:23" x14ac:dyDescent="0.25">
      <c r="A195" s="1">
        <v>44875</v>
      </c>
      <c r="B195">
        <v>4876.3500979999999</v>
      </c>
      <c r="C195">
        <v>9.3240239999999996</v>
      </c>
      <c r="D195">
        <v>8.0131530000000009</v>
      </c>
      <c r="E195">
        <v>8.3699999999999997E-2</v>
      </c>
      <c r="F195">
        <v>13.374494</v>
      </c>
      <c r="G195">
        <v>19.607203999999999</v>
      </c>
      <c r="H195">
        <v>8.5982079999999996</v>
      </c>
      <c r="I195">
        <v>45.496181</v>
      </c>
      <c r="J195">
        <v>4.3871900000000004</v>
      </c>
      <c r="K195">
        <v>33.276318000000003</v>
      </c>
      <c r="L195">
        <v>24.238814999999999</v>
      </c>
      <c r="M195" s="4">
        <f t="shared" si="17"/>
        <v>-2.4466453346142503E-3</v>
      </c>
      <c r="N195" s="4">
        <f t="shared" si="17"/>
        <v>-5.0914771429853012E-3</v>
      </c>
      <c r="O195" s="4">
        <f t="shared" si="18"/>
        <v>-2.2857121952736259E-2</v>
      </c>
      <c r="P195" s="4">
        <f t="shared" si="18"/>
        <v>-2.995885727530867E-2</v>
      </c>
      <c r="Q195" s="4">
        <f t="shared" si="18"/>
        <v>-1.976815815347388E-2</v>
      </c>
      <c r="R195" s="4">
        <f t="shared" si="19"/>
        <v>-1.1737006734906741E-2</v>
      </c>
      <c r="S195" s="4">
        <f t="shared" si="20"/>
        <v>2.6614069191732259E-2</v>
      </c>
      <c r="T195" s="4">
        <f t="shared" si="21"/>
        <v>-1.3692805639982875E-2</v>
      </c>
      <c r="U195" s="4">
        <f t="shared" si="22"/>
        <v>-8.3666990189876778E-3</v>
      </c>
      <c r="V195" s="4">
        <f t="shared" si="23"/>
        <v>2.1040267343319874E-2</v>
      </c>
      <c r="W195" s="4">
        <f t="shared" si="24"/>
        <v>-2.6315746131876261E-2</v>
      </c>
    </row>
    <row r="196" spans="1:23" x14ac:dyDescent="0.25">
      <c r="A196" s="1">
        <v>44876</v>
      </c>
      <c r="B196">
        <v>4888.3100590000004</v>
      </c>
      <c r="C196">
        <v>9.3717400000000008</v>
      </c>
      <c r="D196">
        <v>8.2005949999999999</v>
      </c>
      <c r="E196">
        <v>8.6285000000000001E-2</v>
      </c>
      <c r="F196">
        <v>13.644215000000001</v>
      </c>
      <c r="G196">
        <v>19.840067000000001</v>
      </c>
      <c r="H196">
        <v>8.3753069999999994</v>
      </c>
      <c r="I196">
        <v>46.127800000000001</v>
      </c>
      <c r="J196">
        <v>4.4242059999999999</v>
      </c>
      <c r="K196">
        <v>32.590603000000002</v>
      </c>
      <c r="L196">
        <v>24.893916999999998</v>
      </c>
      <c r="M196" s="4">
        <f t="shared" si="17"/>
        <v>-2.1861435463167433E-3</v>
      </c>
      <c r="N196" s="4">
        <f t="shared" si="17"/>
        <v>-1.9960236805592335E-2</v>
      </c>
      <c r="O196" s="4">
        <f t="shared" si="18"/>
        <v>-1.2415445713345075E-2</v>
      </c>
      <c r="P196" s="4">
        <f t="shared" si="18"/>
        <v>-2.1889453160424455E-2</v>
      </c>
      <c r="Q196" s="4">
        <f t="shared" si="18"/>
        <v>-2.5572950719864096E-2</v>
      </c>
      <c r="R196" s="4">
        <f t="shared" si="19"/>
        <v>9.478636573450272E-3</v>
      </c>
      <c r="S196" s="4">
        <f t="shared" si="20"/>
        <v>8.16614739486754E-3</v>
      </c>
      <c r="T196" s="4">
        <f t="shared" si="21"/>
        <v>-1.9218410623312865E-3</v>
      </c>
      <c r="U196" s="4">
        <f t="shared" si="22"/>
        <v>-1.0855689324982265E-3</v>
      </c>
      <c r="V196" s="4">
        <f t="shared" si="23"/>
        <v>6.1746614033293401E-3</v>
      </c>
      <c r="W196" s="4">
        <f t="shared" si="24"/>
        <v>1.0794061087993745E-2</v>
      </c>
    </row>
    <row r="197" spans="1:23" x14ac:dyDescent="0.25">
      <c r="A197" s="1">
        <v>44879</v>
      </c>
      <c r="B197">
        <v>4899.0200199999999</v>
      </c>
      <c r="C197">
        <v>9.5626119999999997</v>
      </c>
      <c r="D197">
        <v>8.3036890000000003</v>
      </c>
      <c r="E197">
        <v>8.8216000000000003E-2</v>
      </c>
      <c r="F197">
        <v>14.002295</v>
      </c>
      <c r="G197">
        <v>19.653776000000001</v>
      </c>
      <c r="H197">
        <v>8.3074670000000008</v>
      </c>
      <c r="I197">
        <v>46.216621000000004</v>
      </c>
      <c r="J197">
        <v>4.4290139999999996</v>
      </c>
      <c r="K197">
        <v>32.390602000000001</v>
      </c>
      <c r="L197">
        <v>24.628080000000001</v>
      </c>
      <c r="M197" s="4">
        <f t="shared" si="17"/>
        <v>1.1321268346131674E-3</v>
      </c>
      <c r="N197" s="4">
        <f t="shared" si="17"/>
        <v>8.0483747920545579E-3</v>
      </c>
      <c r="O197" s="4">
        <f t="shared" si="18"/>
        <v>2.6651277860271883E-2</v>
      </c>
      <c r="P197" s="4">
        <f t="shared" si="18"/>
        <v>-1.3144500005593307E-2</v>
      </c>
      <c r="Q197" s="4">
        <f t="shared" si="18"/>
        <v>-9.5394016688647998E-3</v>
      </c>
      <c r="R197" s="4">
        <f t="shared" si="19"/>
        <v>4.761963431748617E-3</v>
      </c>
      <c r="S197" s="4">
        <f t="shared" si="20"/>
        <v>-1.4032658643754359E-2</v>
      </c>
      <c r="T197" s="4">
        <f t="shared" si="21"/>
        <v>2.1356185750609491E-4</v>
      </c>
      <c r="U197" s="4">
        <f t="shared" si="22"/>
        <v>-1.4019402095597489E-2</v>
      </c>
      <c r="V197" s="4">
        <f t="shared" si="23"/>
        <v>-4.3910793500315792E-3</v>
      </c>
      <c r="W197" s="4">
        <f t="shared" si="24"/>
        <v>7.7170674623516788E-4</v>
      </c>
    </row>
    <row r="198" spans="1:23" x14ac:dyDescent="0.25">
      <c r="A198" s="1">
        <v>44880</v>
      </c>
      <c r="B198">
        <v>4893.4799800000001</v>
      </c>
      <c r="C198">
        <v>9.4862629999999992</v>
      </c>
      <c r="D198">
        <v>8.0881299999999996</v>
      </c>
      <c r="E198">
        <v>8.9390999999999998E-2</v>
      </c>
      <c r="F198">
        <v>14.137155</v>
      </c>
      <c r="G198">
        <v>19.560628999999999</v>
      </c>
      <c r="H198">
        <v>8.4257019999999994</v>
      </c>
      <c r="I198">
        <v>46.206752999999999</v>
      </c>
      <c r="J198">
        <v>4.4919890000000002</v>
      </c>
      <c r="K198">
        <v>32.533459000000001</v>
      </c>
      <c r="L198">
        <v>24.609089000000001</v>
      </c>
      <c r="M198" s="4">
        <f t="shared" ref="M198:N261" si="25">B198/B199-1</f>
        <v>5.7962123960360046E-3</v>
      </c>
      <c r="N198" s="4">
        <f t="shared" si="25"/>
        <v>1.119015145579727E-2</v>
      </c>
      <c r="O198" s="4">
        <f t="shared" ref="O198:Q261" si="26">D198/D199-1</f>
        <v>1.1723318133960881E-2</v>
      </c>
      <c r="P198" s="4">
        <f t="shared" si="26"/>
        <v>6.5002680645737776E-2</v>
      </c>
      <c r="Q198" s="4">
        <f t="shared" si="26"/>
        <v>-3.2888302950850878E-4</v>
      </c>
      <c r="R198" s="4">
        <f t="shared" si="19"/>
        <v>1.204800264572703E-2</v>
      </c>
      <c r="S198" s="4">
        <f t="shared" si="20"/>
        <v>2.3006342532849722E-4</v>
      </c>
      <c r="T198" s="4">
        <f t="shared" si="21"/>
        <v>1.8490325954354514E-2</v>
      </c>
      <c r="U198" s="4">
        <f t="shared" si="22"/>
        <v>1.8752392667867879E-2</v>
      </c>
      <c r="V198" s="4">
        <f t="shared" si="23"/>
        <v>-1.385682420364287E-2</v>
      </c>
      <c r="W198" s="4">
        <f t="shared" si="24"/>
        <v>2.6534543456993243E-2</v>
      </c>
    </row>
    <row r="199" spans="1:23" x14ac:dyDescent="0.25">
      <c r="A199" s="1">
        <v>44881</v>
      </c>
      <c r="B199">
        <v>4865.2797849999997</v>
      </c>
      <c r="C199">
        <v>9.3812850000000001</v>
      </c>
      <c r="D199">
        <v>7.9944090000000001</v>
      </c>
      <c r="E199">
        <v>8.3934999999999996E-2</v>
      </c>
      <c r="F199">
        <v>14.141806000000001</v>
      </c>
      <c r="G199">
        <v>19.327767999999999</v>
      </c>
      <c r="H199">
        <v>8.4237640000000003</v>
      </c>
      <c r="I199">
        <v>45.367885999999999</v>
      </c>
      <c r="J199">
        <v>4.4093039999999997</v>
      </c>
      <c r="K199">
        <v>32.990603999999998</v>
      </c>
      <c r="L199">
        <v>23.972977</v>
      </c>
      <c r="M199" s="4">
        <f t="shared" si="25"/>
        <v>1.0776066721707389E-2</v>
      </c>
      <c r="N199" s="4">
        <f t="shared" si="25"/>
        <v>4.0858985926528479E-3</v>
      </c>
      <c r="O199" s="4">
        <f t="shared" si="26"/>
        <v>-1.3872794865196991E-2</v>
      </c>
      <c r="P199" s="4">
        <f t="shared" si="26"/>
        <v>-9.9085815393690213E-3</v>
      </c>
      <c r="Q199" s="4">
        <f t="shared" si="26"/>
        <v>2.2872530483350362E-2</v>
      </c>
      <c r="R199" s="4">
        <f t="shared" si="19"/>
        <v>9.7324793273496635E-3</v>
      </c>
      <c r="S199" s="4">
        <f t="shared" si="20"/>
        <v>6.2516208403609053E-3</v>
      </c>
      <c r="T199" s="4">
        <f t="shared" si="21"/>
        <v>2.0648338294930735E-2</v>
      </c>
      <c r="U199" s="4">
        <f t="shared" si="22"/>
        <v>2.5141840633742252E-3</v>
      </c>
      <c r="V199" s="4">
        <f t="shared" si="23"/>
        <v>1.3754855885969697E-2</v>
      </c>
      <c r="W199" s="4">
        <f t="shared" si="24"/>
        <v>1.2024114337684688E-2</v>
      </c>
    </row>
    <row r="200" spans="1:23" x14ac:dyDescent="0.25">
      <c r="A200" s="1">
        <v>44882</v>
      </c>
      <c r="B200">
        <v>4813.4101559999999</v>
      </c>
      <c r="C200">
        <v>9.3431099999999994</v>
      </c>
      <c r="D200">
        <v>8.1068739999999995</v>
      </c>
      <c r="E200">
        <v>8.4775000000000003E-2</v>
      </c>
      <c r="F200">
        <v>13.82558</v>
      </c>
      <c r="G200">
        <v>19.141473999999999</v>
      </c>
      <c r="H200">
        <v>8.3714289999999991</v>
      </c>
      <c r="I200">
        <v>44.450066</v>
      </c>
      <c r="J200">
        <v>4.3982460000000003</v>
      </c>
      <c r="K200">
        <v>32.54298</v>
      </c>
      <c r="L200">
        <v>23.688148000000002</v>
      </c>
      <c r="M200" s="4">
        <f t="shared" si="25"/>
        <v>-1.0378519986706802E-2</v>
      </c>
      <c r="N200" s="4">
        <f t="shared" si="25"/>
        <v>6.1664797693778972E-3</v>
      </c>
      <c r="O200" s="4">
        <f t="shared" si="26"/>
        <v>1.6451167394819111E-2</v>
      </c>
      <c r="P200" s="4">
        <f t="shared" si="26"/>
        <v>1.6925771316155691E-2</v>
      </c>
      <c r="Q200" s="4">
        <f t="shared" si="26"/>
        <v>-1.2948219615340761E-2</v>
      </c>
      <c r="R200" s="4">
        <f t="shared" si="19"/>
        <v>0</v>
      </c>
      <c r="S200" s="4">
        <f t="shared" si="20"/>
        <v>-1.7292580827681148E-2</v>
      </c>
      <c r="T200" s="4">
        <f t="shared" si="21"/>
        <v>-4.4209244743188547E-3</v>
      </c>
      <c r="U200" s="4">
        <f t="shared" si="22"/>
        <v>-2.5976925049595145E-2</v>
      </c>
      <c r="V200" s="4">
        <f t="shared" si="23"/>
        <v>-7.2631846271057343E-3</v>
      </c>
      <c r="W200" s="4">
        <f t="shared" si="24"/>
        <v>-2.7977729626184056E-3</v>
      </c>
    </row>
    <row r="201" spans="1:23" x14ac:dyDescent="0.25">
      <c r="A201" s="1">
        <v>44883</v>
      </c>
      <c r="B201">
        <v>4863.8901370000003</v>
      </c>
      <c r="C201">
        <v>9.2858490000000007</v>
      </c>
      <c r="D201">
        <v>7.9756650000000002</v>
      </c>
      <c r="E201">
        <v>8.3363999999999994E-2</v>
      </c>
      <c r="F201">
        <v>14.006945</v>
      </c>
      <c r="G201">
        <v>19.141473999999999</v>
      </c>
      <c r="H201">
        <v>8.5187399999999993</v>
      </c>
      <c r="I201">
        <v>44.647449000000002</v>
      </c>
      <c r="J201">
        <v>4.5155459999999996</v>
      </c>
      <c r="K201">
        <v>32.781075000000001</v>
      </c>
      <c r="L201">
        <v>23.754608000000001</v>
      </c>
      <c r="M201" s="4">
        <f t="shared" si="25"/>
        <v>3.7745663344257441E-3</v>
      </c>
      <c r="N201" s="4">
        <f t="shared" si="25"/>
        <v>5.1652217136537448E-3</v>
      </c>
      <c r="O201" s="4">
        <f t="shared" si="26"/>
        <v>1.916170939611761E-2</v>
      </c>
      <c r="P201" s="4">
        <f t="shared" si="26"/>
        <v>3.8040568304922084E-2</v>
      </c>
      <c r="Q201" s="4">
        <f t="shared" si="26"/>
        <v>1.5509140959413692E-2</v>
      </c>
      <c r="R201" s="4">
        <f t="shared" si="19"/>
        <v>0</v>
      </c>
      <c r="S201" s="4">
        <f t="shared" si="20"/>
        <v>-5.206040974056747E-3</v>
      </c>
      <c r="T201" s="4">
        <f t="shared" si="21"/>
        <v>-2.4254846344190506E-3</v>
      </c>
      <c r="U201" s="4">
        <f t="shared" si="22"/>
        <v>1.6338450423197814E-2</v>
      </c>
      <c r="V201" s="4">
        <f t="shared" si="23"/>
        <v>1.7461531367224392E-3</v>
      </c>
      <c r="W201" s="4">
        <f t="shared" si="24"/>
        <v>1.377636198119303E-2</v>
      </c>
    </row>
    <row r="202" spans="1:23" x14ac:dyDescent="0.25">
      <c r="A202" s="1">
        <v>44886</v>
      </c>
      <c r="B202">
        <v>4845.6000979999999</v>
      </c>
      <c r="C202">
        <v>9.2381320000000002</v>
      </c>
      <c r="D202">
        <v>7.8257110000000001</v>
      </c>
      <c r="E202">
        <v>8.0309000000000005E-2</v>
      </c>
      <c r="F202">
        <v>13.793027</v>
      </c>
      <c r="G202">
        <v>19.141473999999999</v>
      </c>
      <c r="H202">
        <v>8.5633210000000002</v>
      </c>
      <c r="I202">
        <v>44.756003999999997</v>
      </c>
      <c r="J202">
        <v>4.4429550000000004</v>
      </c>
      <c r="K202">
        <v>32.723934</v>
      </c>
      <c r="L202">
        <v>23.431802999999999</v>
      </c>
      <c r="M202" s="4">
        <f t="shared" si="25"/>
        <v>-6.4383641582940188E-3</v>
      </c>
      <c r="N202" s="4">
        <f t="shared" si="25"/>
        <v>-1.022492258318819E-2</v>
      </c>
      <c r="O202" s="4">
        <f t="shared" si="26"/>
        <v>1.1990268078188038E-3</v>
      </c>
      <c r="P202" s="4">
        <f t="shared" si="26"/>
        <v>2.4846226487328149E-2</v>
      </c>
      <c r="Q202" s="4">
        <f t="shared" si="26"/>
        <v>4.0622475153822002E-3</v>
      </c>
      <c r="R202" s="4">
        <f t="shared" si="19"/>
        <v>4.8898774853227689E-3</v>
      </c>
      <c r="S202" s="4">
        <f t="shared" si="20"/>
        <v>-9.8608977818848143E-3</v>
      </c>
      <c r="T202" s="4">
        <f t="shared" si="21"/>
        <v>-1.5628447587520244E-2</v>
      </c>
      <c r="U202" s="4">
        <f t="shared" si="22"/>
        <v>-7.3039751812308262E-3</v>
      </c>
      <c r="V202" s="4">
        <f t="shared" si="23"/>
        <v>-8.3695427866495864E-3</v>
      </c>
      <c r="W202" s="4">
        <f t="shared" si="24"/>
        <v>-1.2404933903236826E-2</v>
      </c>
    </row>
    <row r="203" spans="1:23" x14ac:dyDescent="0.25">
      <c r="A203" s="1">
        <v>44887</v>
      </c>
      <c r="B203">
        <v>4877</v>
      </c>
      <c r="C203">
        <v>9.3335670000000004</v>
      </c>
      <c r="D203">
        <v>7.8163390000000001</v>
      </c>
      <c r="E203">
        <v>7.8362000000000001E-2</v>
      </c>
      <c r="F203">
        <v>13.737223</v>
      </c>
      <c r="G203">
        <v>19.04833</v>
      </c>
      <c r="H203">
        <v>8.6486040000000006</v>
      </c>
      <c r="I203">
        <v>45.466576000000003</v>
      </c>
      <c r="J203">
        <v>4.4756450000000001</v>
      </c>
      <c r="K203">
        <v>33.000129999999999</v>
      </c>
      <c r="L203">
        <v>23.726123999999999</v>
      </c>
      <c r="M203" s="4">
        <f t="shared" si="25"/>
        <v>-4.0150133710851188E-3</v>
      </c>
      <c r="N203" s="4">
        <f t="shared" si="25"/>
        <v>-6.0975453921635614E-3</v>
      </c>
      <c r="O203" s="4">
        <f t="shared" si="26"/>
        <v>-1.3017726523821382E-2</v>
      </c>
      <c r="P203" s="4">
        <f t="shared" si="26"/>
        <v>4.2436013409248075E-2</v>
      </c>
      <c r="Q203" s="4">
        <f t="shared" si="26"/>
        <v>7.1599057594580184E-3</v>
      </c>
      <c r="R203" s="4">
        <f t="shared" si="19"/>
        <v>-4.866082935932714E-3</v>
      </c>
      <c r="S203" s="4">
        <f t="shared" si="20"/>
        <v>-4.4807957393944164E-4</v>
      </c>
      <c r="T203" s="4">
        <f t="shared" si="21"/>
        <v>-2.1452866461538656E-2</v>
      </c>
      <c r="U203" s="4">
        <f t="shared" si="22"/>
        <v>-5.660365202195039E-3</v>
      </c>
      <c r="V203" s="4">
        <f t="shared" si="23"/>
        <v>-2.5905944905376677E-3</v>
      </c>
      <c r="W203" s="4">
        <f t="shared" si="24"/>
        <v>-7.1513519258887825E-3</v>
      </c>
    </row>
    <row r="204" spans="1:23" x14ac:dyDescent="0.25">
      <c r="A204" s="1">
        <v>44888</v>
      </c>
      <c r="B204">
        <v>4896.6601559999999</v>
      </c>
      <c r="C204">
        <v>9.3908280000000008</v>
      </c>
      <c r="D204">
        <v>7.9194319999999996</v>
      </c>
      <c r="E204">
        <v>7.5172000000000003E-2</v>
      </c>
      <c r="F204">
        <v>13.639564999999999</v>
      </c>
      <c r="G204">
        <v>19.141473999999999</v>
      </c>
      <c r="H204">
        <v>8.6524809999999999</v>
      </c>
      <c r="I204">
        <v>46.463348000000003</v>
      </c>
      <c r="J204">
        <v>4.5011229999999998</v>
      </c>
      <c r="K204">
        <v>33.085842</v>
      </c>
      <c r="L204">
        <v>23.897020000000001</v>
      </c>
      <c r="M204" s="4">
        <f t="shared" si="25"/>
        <v>-4.0049918348999958E-3</v>
      </c>
      <c r="N204" s="4">
        <f t="shared" si="25"/>
        <v>-1.0060336720582042E-2</v>
      </c>
      <c r="O204" s="4">
        <f t="shared" si="26"/>
        <v>-1.4002296095181666E-2</v>
      </c>
      <c r="P204" s="4">
        <f t="shared" si="26"/>
        <v>-3.9065296313340547E-2</v>
      </c>
      <c r="Q204" s="4">
        <f t="shared" si="26"/>
        <v>6.8658779397507974E-3</v>
      </c>
      <c r="R204" s="4">
        <f t="shared" si="19"/>
        <v>-1.2019197765621881E-2</v>
      </c>
      <c r="S204" s="4">
        <f t="shared" si="20"/>
        <v>-1.1952291778979718E-2</v>
      </c>
      <c r="T204" s="4">
        <f t="shared" si="21"/>
        <v>-5.2820299656141101E-3</v>
      </c>
      <c r="U204" s="4">
        <f t="shared" si="22"/>
        <v>1.1759770596615482E-3</v>
      </c>
      <c r="V204" s="4">
        <f t="shared" si="23"/>
        <v>5.2083262125925955E-3</v>
      </c>
      <c r="W204" s="4">
        <f t="shared" si="24"/>
        <v>4.7904206219806511E-3</v>
      </c>
    </row>
    <row r="205" spans="1:23" x14ac:dyDescent="0.25">
      <c r="A205" s="1">
        <v>44889</v>
      </c>
      <c r="B205">
        <v>4916.3500979999999</v>
      </c>
      <c r="C205">
        <v>9.4862629999999992</v>
      </c>
      <c r="D205">
        <v>8.0318970000000007</v>
      </c>
      <c r="E205">
        <v>7.8228000000000006E-2</v>
      </c>
      <c r="F205">
        <v>13.546556000000001</v>
      </c>
      <c r="G205">
        <v>19.374338000000002</v>
      </c>
      <c r="H205">
        <v>8.7571490000000001</v>
      </c>
      <c r="I205">
        <v>46.710071999999997</v>
      </c>
      <c r="J205">
        <v>4.4958359999999997</v>
      </c>
      <c r="K205">
        <v>32.914413000000003</v>
      </c>
      <c r="L205">
        <v>23.783089</v>
      </c>
      <c r="M205" s="4">
        <f t="shared" si="25"/>
        <v>-9.8148773815587287E-4</v>
      </c>
      <c r="N205" s="4">
        <f t="shared" si="25"/>
        <v>-1.5841646816669219E-2</v>
      </c>
      <c r="O205" s="4">
        <f t="shared" si="26"/>
        <v>1.7814645871487178E-2</v>
      </c>
      <c r="P205" s="4">
        <f t="shared" si="26"/>
        <v>3.5556379232744906E-2</v>
      </c>
      <c r="Q205" s="4">
        <f t="shared" si="26"/>
        <v>-1.8200308776592622E-2</v>
      </c>
      <c r="R205" s="4">
        <f t="shared" si="19"/>
        <v>1.2165416310154775E-2</v>
      </c>
      <c r="S205" s="4">
        <f t="shared" si="20"/>
        <v>7.1334241045237778E-3</v>
      </c>
      <c r="T205" s="4">
        <f t="shared" si="21"/>
        <v>-9.2108252300224791E-3</v>
      </c>
      <c r="U205" s="4">
        <f t="shared" si="22"/>
        <v>-2.0275384741741398E-3</v>
      </c>
      <c r="V205" s="4">
        <f t="shared" si="23"/>
        <v>-3.7473569625527947E-3</v>
      </c>
      <c r="W205" s="4">
        <f t="shared" si="24"/>
        <v>5.2166843958563192E-3</v>
      </c>
    </row>
    <row r="206" spans="1:23" x14ac:dyDescent="0.25">
      <c r="A206" s="1">
        <v>44890</v>
      </c>
      <c r="B206">
        <v>4921.1801759999998</v>
      </c>
      <c r="C206">
        <v>9.6389600000000009</v>
      </c>
      <c r="D206">
        <v>7.8913159999999998</v>
      </c>
      <c r="E206">
        <v>7.5541999999999998E-2</v>
      </c>
      <c r="F206">
        <v>13.797677999999999</v>
      </c>
      <c r="G206">
        <v>19.141473999999999</v>
      </c>
      <c r="H206">
        <v>8.6951230000000006</v>
      </c>
      <c r="I206">
        <v>47.144309999999997</v>
      </c>
      <c r="J206">
        <v>4.5049700000000001</v>
      </c>
      <c r="K206">
        <v>33.038218999999998</v>
      </c>
      <c r="L206">
        <v>23.659663999999999</v>
      </c>
      <c r="M206" s="4">
        <f t="shared" si="25"/>
        <v>1.3583331020706746E-2</v>
      </c>
      <c r="N206" s="4">
        <f t="shared" si="25"/>
        <v>1.507539064347041E-2</v>
      </c>
      <c r="O206" s="4">
        <f t="shared" si="26"/>
        <v>1.4457790745702637E-2</v>
      </c>
      <c r="P206" s="4">
        <f t="shared" si="26"/>
        <v>2.4590052760786074E-2</v>
      </c>
      <c r="Q206" s="4">
        <f t="shared" si="26"/>
        <v>-1.0009910177002812E-2</v>
      </c>
      <c r="R206" s="4">
        <f t="shared" si="19"/>
        <v>1.2315289823804587E-2</v>
      </c>
      <c r="S206" s="4">
        <f t="shared" si="20"/>
        <v>1.3098437636721139E-2</v>
      </c>
      <c r="T206" s="4">
        <f t="shared" si="21"/>
        <v>1.8332983623877253E-2</v>
      </c>
      <c r="U206" s="4">
        <f t="shared" si="22"/>
        <v>2.2700005017052494E-2</v>
      </c>
      <c r="V206" s="4">
        <f t="shared" si="23"/>
        <v>1.5515104004157676E-2</v>
      </c>
      <c r="W206" s="4">
        <f t="shared" si="24"/>
        <v>1.6313131295775385E-2</v>
      </c>
    </row>
    <row r="207" spans="1:23" x14ac:dyDescent="0.25">
      <c r="A207" s="1">
        <v>44893</v>
      </c>
      <c r="B207">
        <v>4855.2299800000001</v>
      </c>
      <c r="C207">
        <v>9.4958069999999992</v>
      </c>
      <c r="D207">
        <v>7.7788510000000004</v>
      </c>
      <c r="E207">
        <v>7.3729000000000003E-2</v>
      </c>
      <c r="F207">
        <v>13.937188000000001</v>
      </c>
      <c r="G207">
        <v>18.908608999999998</v>
      </c>
      <c r="H207">
        <v>8.5827030000000004</v>
      </c>
      <c r="I207">
        <v>46.295574000000002</v>
      </c>
      <c r="J207">
        <v>4.4049769999999997</v>
      </c>
      <c r="K207">
        <v>32.533459000000001</v>
      </c>
      <c r="L207">
        <v>23.279896000000001</v>
      </c>
      <c r="M207" s="4">
        <f t="shared" si="25"/>
        <v>-7.9341239240807715E-3</v>
      </c>
      <c r="N207" s="4">
        <f t="shared" si="25"/>
        <v>-1.2896741245621679E-2</v>
      </c>
      <c r="O207" s="4">
        <f t="shared" si="26"/>
        <v>2.9776725196983822E-2</v>
      </c>
      <c r="P207" s="4">
        <f t="shared" si="26"/>
        <v>-2.3560417439211778E-2</v>
      </c>
      <c r="Q207" s="4">
        <f t="shared" si="26"/>
        <v>-2.3303222063799645E-3</v>
      </c>
      <c r="R207" s="4">
        <f t="shared" si="19"/>
        <v>4.9505560905174217E-3</v>
      </c>
      <c r="S207" s="4">
        <f t="shared" si="20"/>
        <v>4.7651609418357666E-3</v>
      </c>
      <c r="T207" s="4">
        <f t="shared" si="21"/>
        <v>4.7119854479489298E-3</v>
      </c>
      <c r="U207" s="4">
        <f t="shared" si="22"/>
        <v>2.2969899988212195E-3</v>
      </c>
      <c r="V207" s="4">
        <f t="shared" si="23"/>
        <v>-1.4425841703082476E-2</v>
      </c>
      <c r="W207" s="4">
        <f t="shared" si="24"/>
        <v>-4.0618032037865737E-3</v>
      </c>
    </row>
    <row r="208" spans="1:23" x14ac:dyDescent="0.25">
      <c r="A208" s="1">
        <v>44894</v>
      </c>
      <c r="B208">
        <v>4894.0600590000004</v>
      </c>
      <c r="C208">
        <v>9.6198720000000009</v>
      </c>
      <c r="D208">
        <v>7.5539199999999997</v>
      </c>
      <c r="E208">
        <v>7.5508000000000006E-2</v>
      </c>
      <c r="F208">
        <v>13.969742</v>
      </c>
      <c r="G208">
        <v>18.815462</v>
      </c>
      <c r="H208">
        <v>8.5419990000000006</v>
      </c>
      <c r="I208">
        <v>46.078453000000003</v>
      </c>
      <c r="J208">
        <v>4.394882</v>
      </c>
      <c r="K208">
        <v>33.009650999999998</v>
      </c>
      <c r="L208">
        <v>23.374839999999999</v>
      </c>
      <c r="M208" s="4">
        <f t="shared" si="25"/>
        <v>-6.4073268442028652E-3</v>
      </c>
      <c r="N208" s="4">
        <f t="shared" si="25"/>
        <v>0</v>
      </c>
      <c r="O208" s="4">
        <f t="shared" si="26"/>
        <v>1.2562801608911434E-2</v>
      </c>
      <c r="P208" s="4">
        <f t="shared" si="26"/>
        <v>8.8811123924670277E-4</v>
      </c>
      <c r="Q208" s="4">
        <f t="shared" si="26"/>
        <v>-1.2816242066167827E-2</v>
      </c>
      <c r="R208" s="4">
        <f t="shared" si="19"/>
        <v>9.9998534556524632E-3</v>
      </c>
      <c r="S208" s="4">
        <f t="shared" si="20"/>
        <v>-1.4975442419299823E-2</v>
      </c>
      <c r="T208" s="4">
        <f t="shared" si="21"/>
        <v>-5.3708992808008449E-2</v>
      </c>
      <c r="U208" s="4">
        <f t="shared" si="22"/>
        <v>-1.7622909961772404E-2</v>
      </c>
      <c r="V208" s="4">
        <f t="shared" si="23"/>
        <v>-8.8648235561064048E-3</v>
      </c>
      <c r="W208" s="4">
        <f t="shared" si="24"/>
        <v>4.0783687349805753E-3</v>
      </c>
    </row>
    <row r="209" spans="1:23" x14ac:dyDescent="0.25">
      <c r="A209" s="1">
        <v>44895</v>
      </c>
      <c r="B209">
        <v>4925.6201170000004</v>
      </c>
      <c r="C209">
        <v>9.6198720000000009</v>
      </c>
      <c r="D209">
        <v>7.4601990000000002</v>
      </c>
      <c r="E209">
        <v>7.5440999999999994E-2</v>
      </c>
      <c r="F209">
        <v>14.151106</v>
      </c>
      <c r="G209">
        <v>18.629173000000002</v>
      </c>
      <c r="H209">
        <v>8.6718639999999994</v>
      </c>
      <c r="I209">
        <v>48.693745</v>
      </c>
      <c r="J209">
        <v>4.4737220000000004</v>
      </c>
      <c r="K209">
        <v>33.304893</v>
      </c>
      <c r="L209">
        <v>23.279896000000001</v>
      </c>
      <c r="M209" s="4">
        <f t="shared" si="25"/>
        <v>-1.1707553513138347E-2</v>
      </c>
      <c r="N209" s="4">
        <f t="shared" si="25"/>
        <v>1.9879622355920556E-3</v>
      </c>
      <c r="O209" s="4">
        <f t="shared" si="26"/>
        <v>-2.0910098846069647E-2</v>
      </c>
      <c r="P209" s="4">
        <f t="shared" si="26"/>
        <v>-1.0129505464947064E-2</v>
      </c>
      <c r="Q209" s="4">
        <f t="shared" si="26"/>
        <v>-4.9656502860175977E-2</v>
      </c>
      <c r="R209" s="4">
        <f t="shared" si="19"/>
        <v>-4.0767343984669746E-2</v>
      </c>
      <c r="S209" s="4">
        <f t="shared" si="20"/>
        <v>-1.0833437228629395E-2</v>
      </c>
      <c r="T209" s="4">
        <f t="shared" si="21"/>
        <v>2.4501717870349937E-2</v>
      </c>
      <c r="U209" s="4">
        <f t="shared" si="22"/>
        <v>-2.8601368293697638E-2</v>
      </c>
      <c r="V209" s="4">
        <f t="shared" si="23"/>
        <v>-8.7867224791523535E-3</v>
      </c>
      <c r="W209" s="4">
        <f t="shared" si="24"/>
        <v>-1.5656335000706734E-2</v>
      </c>
    </row>
    <row r="210" spans="1:23" x14ac:dyDescent="0.25">
      <c r="A210" s="1">
        <v>44896</v>
      </c>
      <c r="B210">
        <v>4983.9702150000003</v>
      </c>
      <c r="C210">
        <v>9.6007859999999994</v>
      </c>
      <c r="D210">
        <v>7.6195240000000002</v>
      </c>
      <c r="E210">
        <v>7.6213000000000003E-2</v>
      </c>
      <c r="F210">
        <v>14.890516999999999</v>
      </c>
      <c r="G210">
        <v>19.420912000000001</v>
      </c>
      <c r="H210">
        <v>8.7668389999999992</v>
      </c>
      <c r="I210">
        <v>47.529198000000001</v>
      </c>
      <c r="J210">
        <v>4.6054440000000003</v>
      </c>
      <c r="K210">
        <v>33.600127999999998</v>
      </c>
      <c r="L210">
        <v>23.650171</v>
      </c>
      <c r="M210" s="4">
        <f t="shared" si="25"/>
        <v>-4.2554757115780273E-3</v>
      </c>
      <c r="N210" s="4">
        <f t="shared" si="25"/>
        <v>1.105530051316328E-2</v>
      </c>
      <c r="O210" s="4">
        <f t="shared" si="26"/>
        <v>-1.3349617966342486E-2</v>
      </c>
      <c r="P210" s="4">
        <f t="shared" si="26"/>
        <v>8.8824759736305658E-3</v>
      </c>
      <c r="Q210" s="4">
        <f t="shared" si="26"/>
        <v>2.5047610590309688E-3</v>
      </c>
      <c r="R210" s="4">
        <f t="shared" si="19"/>
        <v>7.2463877105530816E-3</v>
      </c>
      <c r="S210" s="4">
        <f t="shared" si="20"/>
        <v>-7.461216460301956E-3</v>
      </c>
      <c r="T210" s="4">
        <f t="shared" si="21"/>
        <v>-1.3923068602029631E-2</v>
      </c>
      <c r="U210" s="4">
        <f t="shared" si="22"/>
        <v>-9.9213301934777398E-3</v>
      </c>
      <c r="V210" s="4">
        <f t="shared" si="23"/>
        <v>-1.1325805350140827E-3</v>
      </c>
      <c r="W210" s="4">
        <f t="shared" si="24"/>
        <v>-2.6192313892388186E-2</v>
      </c>
    </row>
    <row r="211" spans="1:23" x14ac:dyDescent="0.25">
      <c r="A211" s="1">
        <v>44897</v>
      </c>
      <c r="B211">
        <v>5005.2700199999999</v>
      </c>
      <c r="C211">
        <v>9.4958069999999992</v>
      </c>
      <c r="D211">
        <v>7.7226179999999998</v>
      </c>
      <c r="E211">
        <v>7.5541999999999998E-2</v>
      </c>
      <c r="F211">
        <v>14.853313</v>
      </c>
      <c r="G211">
        <v>19.281192999999998</v>
      </c>
      <c r="H211">
        <v>8.8327419999999996</v>
      </c>
      <c r="I211">
        <v>48.200294</v>
      </c>
      <c r="J211">
        <v>4.6515940000000002</v>
      </c>
      <c r="K211">
        <v>33.638226000000003</v>
      </c>
      <c r="L211">
        <v>24.286284999999999</v>
      </c>
      <c r="M211" s="4">
        <f t="shared" si="25"/>
        <v>-1.5176997193988573E-4</v>
      </c>
      <c r="N211" s="4">
        <f t="shared" si="25"/>
        <v>1.015225780426543E-2</v>
      </c>
      <c r="O211" s="4">
        <f t="shared" si="26"/>
        <v>2.4330615999170746E-3</v>
      </c>
      <c r="P211" s="4">
        <f t="shared" si="26"/>
        <v>-2.4698211864953801E-2</v>
      </c>
      <c r="Q211" s="4">
        <f t="shared" si="26"/>
        <v>6.6183439501668051E-3</v>
      </c>
      <c r="R211" s="4">
        <f t="shared" si="19"/>
        <v>-4.8076481374488278E-3</v>
      </c>
      <c r="S211" s="4">
        <f t="shared" si="20"/>
        <v>-1.9789227997936698E-2</v>
      </c>
      <c r="T211" s="4">
        <f t="shared" si="21"/>
        <v>3.2867849265363347E-3</v>
      </c>
      <c r="U211" s="4">
        <f t="shared" si="22"/>
        <v>2.5000110177297197E-2</v>
      </c>
      <c r="V211" s="4">
        <f t="shared" si="23"/>
        <v>-8.4221646548767737E-3</v>
      </c>
      <c r="W211" s="4">
        <f t="shared" si="24"/>
        <v>3.137172875730343E-3</v>
      </c>
    </row>
    <row r="212" spans="1:23" x14ac:dyDescent="0.25">
      <c r="A212" s="1">
        <v>44900</v>
      </c>
      <c r="B212">
        <v>5006.0297849999997</v>
      </c>
      <c r="C212">
        <v>9.4003720000000008</v>
      </c>
      <c r="D212">
        <v>7.7038739999999999</v>
      </c>
      <c r="E212">
        <v>7.7454999999999996E-2</v>
      </c>
      <c r="F212">
        <v>14.755655000000001</v>
      </c>
      <c r="G212">
        <v>19.374338000000002</v>
      </c>
      <c r="H212">
        <v>9.0110639999999993</v>
      </c>
      <c r="I212">
        <v>48.042389</v>
      </c>
      <c r="J212">
        <v>4.5381400000000003</v>
      </c>
      <c r="K212">
        <v>33.923938999999997</v>
      </c>
      <c r="L212">
        <v>24.210332999999999</v>
      </c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</row>
    <row r="213" spans="1:23" x14ac:dyDescent="0.25">
      <c r="A213" s="1">
        <v>44901</v>
      </c>
      <c r="B213">
        <v>5006.0297849999997</v>
      </c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</row>
    <row r="214" spans="1:23" x14ac:dyDescent="0.25">
      <c r="A214" s="1">
        <v>44902</v>
      </c>
      <c r="B214">
        <v>4926.2998049999997</v>
      </c>
      <c r="C214">
        <v>9.2667619999999999</v>
      </c>
      <c r="D214">
        <v>7.4508260000000002</v>
      </c>
      <c r="E214">
        <v>7.7051999999999995E-2</v>
      </c>
      <c r="F214">
        <v>14.444079</v>
      </c>
      <c r="G214">
        <v>19.141473999999999</v>
      </c>
      <c r="H214">
        <v>8.6447280000000006</v>
      </c>
      <c r="I214">
        <v>46.423873999999998</v>
      </c>
      <c r="J214">
        <v>4.4184369999999999</v>
      </c>
      <c r="K214">
        <v>34.133465000000001</v>
      </c>
      <c r="L214">
        <v>24.153368</v>
      </c>
      <c r="M214" s="4">
        <f t="shared" si="25"/>
        <v>2.6377090556488625E-3</v>
      </c>
      <c r="N214" s="4">
        <f t="shared" si="25"/>
        <v>4.1364941202273187E-3</v>
      </c>
      <c r="O214" s="4">
        <f t="shared" si="26"/>
        <v>3.2467431688718795E-2</v>
      </c>
      <c r="P214" s="4">
        <f t="shared" si="26"/>
        <v>4.3666983849732777E-3</v>
      </c>
      <c r="Q214" s="4">
        <f t="shared" si="26"/>
        <v>1.6693918663523544E-2</v>
      </c>
      <c r="R214" s="4">
        <f t="shared" ref="R214:R276" si="27">G214/G215-1</f>
        <v>1.7326813447365641E-2</v>
      </c>
      <c r="S214" s="4">
        <f t="shared" ref="S214:S276" si="28">H214/H215-1</f>
        <v>-3.1292003656882006E-3</v>
      </c>
      <c r="T214" s="4">
        <f t="shared" ref="T214:T276" si="29">I214/I215-1</f>
        <v>2.3053677187608423E-2</v>
      </c>
      <c r="U214" s="4">
        <f t="shared" ref="U214:U276" si="30">J214/J215-1</f>
        <v>-1.086950925130592E-2</v>
      </c>
      <c r="V214" s="4">
        <f t="shared" ref="V214:V276" si="31">K214/K215-1</f>
        <v>-1.6713361262444826E-3</v>
      </c>
      <c r="W214" s="4">
        <f t="shared" ref="W214:W276" si="32">L214/L215-1</f>
        <v>1.5163673892517382E-2</v>
      </c>
    </row>
    <row r="215" spans="1:23" x14ac:dyDescent="0.25">
      <c r="A215" s="1">
        <v>44903</v>
      </c>
      <c r="B215">
        <v>4913.3398440000001</v>
      </c>
      <c r="C215">
        <v>9.2285880000000002</v>
      </c>
      <c r="D215">
        <v>7.2165239999999997</v>
      </c>
      <c r="E215">
        <v>7.6716999999999994E-2</v>
      </c>
      <c r="F215">
        <v>14.206910000000001</v>
      </c>
      <c r="G215">
        <v>18.815462</v>
      </c>
      <c r="H215">
        <v>8.6718639999999994</v>
      </c>
      <c r="I215">
        <v>45.377749999999999</v>
      </c>
      <c r="J215">
        <v>4.4669910000000002</v>
      </c>
      <c r="K215">
        <v>34.190609000000002</v>
      </c>
      <c r="L215">
        <v>23.792584999999999</v>
      </c>
      <c r="M215" s="4">
        <f t="shared" si="25"/>
        <v>-1.3684590656687257E-2</v>
      </c>
      <c r="N215" s="4">
        <f t="shared" si="25"/>
        <v>-2.2244739814797798E-2</v>
      </c>
      <c r="O215" s="4">
        <f t="shared" si="26"/>
        <v>-1.2820635584630202E-2</v>
      </c>
      <c r="P215" s="4">
        <f t="shared" si="26"/>
        <v>1.7372392483456345E-2</v>
      </c>
      <c r="Q215" s="4">
        <f t="shared" si="26"/>
        <v>-1.5151593926274409E-2</v>
      </c>
      <c r="R215" s="4">
        <f t="shared" si="27"/>
        <v>-1.9417557190682389E-2</v>
      </c>
      <c r="S215" s="4">
        <f t="shared" si="28"/>
        <v>-7.3218033417790096E-3</v>
      </c>
      <c r="T215" s="4">
        <f t="shared" si="29"/>
        <v>5.2469937681343115E-3</v>
      </c>
      <c r="U215" s="4">
        <f t="shared" si="30"/>
        <v>-9.0648454896720132E-3</v>
      </c>
      <c r="V215" s="4">
        <f t="shared" si="31"/>
        <v>-2.8416782623252312E-2</v>
      </c>
      <c r="W215" s="4">
        <f t="shared" si="32"/>
        <v>-2.6417952686516366E-2</v>
      </c>
    </row>
    <row r="216" spans="1:23" x14ac:dyDescent="0.25">
      <c r="A216" s="1">
        <v>44904</v>
      </c>
      <c r="B216">
        <v>4981.5097660000001</v>
      </c>
      <c r="C216">
        <v>9.4385460000000005</v>
      </c>
      <c r="D216">
        <v>7.3102460000000002</v>
      </c>
      <c r="E216">
        <v>7.5407000000000002E-2</v>
      </c>
      <c r="F216">
        <v>14.425478999999999</v>
      </c>
      <c r="G216">
        <v>19.188047000000001</v>
      </c>
      <c r="H216">
        <v>8.7358259999999994</v>
      </c>
      <c r="I216">
        <v>45.140895999999998</v>
      </c>
      <c r="J216">
        <v>4.507854</v>
      </c>
      <c r="K216">
        <v>35.190612999999999</v>
      </c>
      <c r="L216">
        <v>24.438192000000001</v>
      </c>
      <c r="M216" s="4">
        <f t="shared" si="25"/>
        <v>1.1266725531700938E-2</v>
      </c>
      <c r="N216" s="4">
        <f t="shared" si="25"/>
        <v>5.0813410702441608E-3</v>
      </c>
      <c r="O216" s="4">
        <f t="shared" si="26"/>
        <v>-3.831236975122887E-3</v>
      </c>
      <c r="P216" s="4">
        <f t="shared" si="26"/>
        <v>-6.1942354073039052E-3</v>
      </c>
      <c r="Q216" s="4">
        <f t="shared" si="26"/>
        <v>9.1086784801794884E-3</v>
      </c>
      <c r="R216" s="4">
        <f t="shared" si="27"/>
        <v>1.4463953495073012E-2</v>
      </c>
      <c r="S216" s="4">
        <f t="shared" si="28"/>
        <v>6.2511835435949958E-3</v>
      </c>
      <c r="T216" s="4">
        <f t="shared" si="29"/>
        <v>-1.5281580281027995E-3</v>
      </c>
      <c r="U216" s="4">
        <f t="shared" si="30"/>
        <v>8.3879206962664821E-3</v>
      </c>
      <c r="V216" s="4">
        <f t="shared" si="31"/>
        <v>1.5947235639558688E-2</v>
      </c>
      <c r="W216" s="4">
        <f t="shared" si="32"/>
        <v>1.9002296260560492E-2</v>
      </c>
    </row>
    <row r="217" spans="1:23" x14ac:dyDescent="0.25">
      <c r="A217" s="1">
        <v>44907</v>
      </c>
      <c r="B217">
        <v>4926.0097660000001</v>
      </c>
      <c r="C217">
        <v>9.3908280000000008</v>
      </c>
      <c r="D217">
        <v>7.3383609999999999</v>
      </c>
      <c r="E217">
        <v>7.5877E-2</v>
      </c>
      <c r="F217">
        <v>14.295268</v>
      </c>
      <c r="G217">
        <v>18.914469</v>
      </c>
      <c r="H217">
        <v>8.6815560000000005</v>
      </c>
      <c r="I217">
        <v>45.209983999999999</v>
      </c>
      <c r="J217">
        <v>4.4703569999999999</v>
      </c>
      <c r="K217">
        <v>34.638229000000003</v>
      </c>
      <c r="L217">
        <v>23.982469999999999</v>
      </c>
      <c r="M217" s="4">
        <f t="shared" si="25"/>
        <v>-7.1330948319110465E-3</v>
      </c>
      <c r="N217" s="4">
        <f t="shared" si="25"/>
        <v>-8.0644956848799909E-3</v>
      </c>
      <c r="O217" s="4">
        <f t="shared" si="26"/>
        <v>7.7220559704525016E-3</v>
      </c>
      <c r="P217" s="4">
        <f t="shared" si="26"/>
        <v>-5.2831672784477979E-3</v>
      </c>
      <c r="Q217" s="4">
        <f t="shared" si="26"/>
        <v>-1.2995088888965167E-3</v>
      </c>
      <c r="R217" s="4">
        <f t="shared" si="27"/>
        <v>-7.4259115656991614E-3</v>
      </c>
      <c r="S217" s="4">
        <f t="shared" si="28"/>
        <v>-2.4820168855597902E-2</v>
      </c>
      <c r="T217" s="4">
        <f t="shared" si="29"/>
        <v>-8.4414756115557266E-3</v>
      </c>
      <c r="U217" s="4">
        <f t="shared" si="30"/>
        <v>-1.670716468487754E-2</v>
      </c>
      <c r="V217" s="4">
        <f t="shared" si="31"/>
        <v>4.4186822495617673E-3</v>
      </c>
      <c r="W217" s="4">
        <f t="shared" si="32"/>
        <v>-2.433365556569278E-2</v>
      </c>
    </row>
    <row r="218" spans="1:23" x14ac:dyDescent="0.25">
      <c r="A218" s="1">
        <v>44908</v>
      </c>
      <c r="B218">
        <v>4961.3999020000001</v>
      </c>
      <c r="C218">
        <v>9.4671760000000003</v>
      </c>
      <c r="D218">
        <v>7.2821280000000002</v>
      </c>
      <c r="E218">
        <v>7.6280000000000001E-2</v>
      </c>
      <c r="F218">
        <v>14.313869</v>
      </c>
      <c r="G218">
        <v>19.055976999999999</v>
      </c>
      <c r="H218">
        <v>8.9025180000000006</v>
      </c>
      <c r="I218">
        <v>45.594872000000002</v>
      </c>
      <c r="J218">
        <v>4.5463129999999996</v>
      </c>
      <c r="K218">
        <v>34.485847</v>
      </c>
      <c r="L218">
        <v>24.580606</v>
      </c>
      <c r="M218" s="4">
        <f t="shared" si="25"/>
        <v>-7.070125923139825E-4</v>
      </c>
      <c r="N218" s="4">
        <f t="shared" si="25"/>
        <v>-2.0120673441162973E-3</v>
      </c>
      <c r="O218" s="4">
        <f t="shared" si="26"/>
        <v>-5.1217160679308815E-3</v>
      </c>
      <c r="P218" s="4">
        <f t="shared" si="26"/>
        <v>2.8975341283116629E-2</v>
      </c>
      <c r="Q218" s="4">
        <f t="shared" si="26"/>
        <v>1.2166974995980073E-2</v>
      </c>
      <c r="R218" s="4">
        <f t="shared" si="27"/>
        <v>-2.4691744490672463E-3</v>
      </c>
      <c r="S218" s="4">
        <f t="shared" si="28"/>
        <v>-2.0891132992465145E-2</v>
      </c>
      <c r="T218" s="4">
        <f t="shared" si="29"/>
        <v>1.7346238796145386E-3</v>
      </c>
      <c r="U218" s="4">
        <f t="shared" si="30"/>
        <v>4.4607713930884252E-3</v>
      </c>
      <c r="V218" s="4">
        <f t="shared" si="31"/>
        <v>-7.4013487381858756E-3</v>
      </c>
      <c r="W218" s="4">
        <f t="shared" si="32"/>
        <v>7.7295386977915825E-4</v>
      </c>
    </row>
    <row r="219" spans="1:23" x14ac:dyDescent="0.25">
      <c r="A219" s="1">
        <v>44909</v>
      </c>
      <c r="B219">
        <v>4964.9101559999999</v>
      </c>
      <c r="C219">
        <v>9.4862629999999992</v>
      </c>
      <c r="D219">
        <v>7.319617</v>
      </c>
      <c r="E219">
        <v>7.4132000000000003E-2</v>
      </c>
      <c r="F219">
        <v>14.141806000000001</v>
      </c>
      <c r="G219">
        <v>19.103145999999999</v>
      </c>
      <c r="H219">
        <v>9.0924700000000005</v>
      </c>
      <c r="I219">
        <v>45.515918999999997</v>
      </c>
      <c r="J219">
        <v>4.5261230000000001</v>
      </c>
      <c r="K219">
        <v>34.742992000000001</v>
      </c>
      <c r="L219">
        <v>24.561620999999999</v>
      </c>
      <c r="M219" s="4">
        <f t="shared" si="25"/>
        <v>2.3108479391735104E-2</v>
      </c>
      <c r="N219" s="4">
        <f t="shared" si="25"/>
        <v>1.3251695809039621E-2</v>
      </c>
      <c r="O219" s="4">
        <f t="shared" si="26"/>
        <v>-1.1392407798739179E-2</v>
      </c>
      <c r="P219" s="4">
        <f t="shared" si="26"/>
        <v>-7.6303177960429514E-3</v>
      </c>
      <c r="Q219" s="4">
        <f t="shared" si="26"/>
        <v>2.2528620276018652E-2</v>
      </c>
      <c r="R219" s="4">
        <f t="shared" si="27"/>
        <v>9.9752734269198395E-3</v>
      </c>
      <c r="S219" s="4">
        <f t="shared" si="28"/>
        <v>2.1114482331713091E-2</v>
      </c>
      <c r="T219" s="4">
        <f t="shared" si="29"/>
        <v>1.1403553135712174E-2</v>
      </c>
      <c r="U219" s="4">
        <f t="shared" si="30"/>
        <v>3.7465800775304814E-2</v>
      </c>
      <c r="V219" s="4">
        <f t="shared" si="31"/>
        <v>3.9316307224519731E-2</v>
      </c>
      <c r="W219" s="4">
        <f t="shared" si="32"/>
        <v>2.6994843454669626E-2</v>
      </c>
    </row>
    <row r="220" spans="1:23" x14ac:dyDescent="0.25">
      <c r="A220" s="1">
        <v>44910</v>
      </c>
      <c r="B220">
        <v>4852.7700199999999</v>
      </c>
      <c r="C220">
        <v>9.3621979999999994</v>
      </c>
      <c r="D220">
        <v>7.4039659999999996</v>
      </c>
      <c r="E220">
        <v>7.4702000000000005E-2</v>
      </c>
      <c r="F220">
        <v>13.83023</v>
      </c>
      <c r="G220">
        <v>18.914469</v>
      </c>
      <c r="H220">
        <v>8.9044570000000007</v>
      </c>
      <c r="I220">
        <v>45.002727999999998</v>
      </c>
      <c r="J220">
        <v>4.3626719999999999</v>
      </c>
      <c r="K220">
        <v>33.428699000000002</v>
      </c>
      <c r="L220">
        <v>23.916011999999998</v>
      </c>
      <c r="M220" s="4">
        <f t="shared" si="25"/>
        <v>1.3768975672225681E-2</v>
      </c>
      <c r="N220" s="4">
        <f t="shared" si="25"/>
        <v>-7.0849491812602361E-3</v>
      </c>
      <c r="O220" s="4">
        <f t="shared" si="26"/>
        <v>1.152369037888179E-2</v>
      </c>
      <c r="P220" s="4">
        <f t="shared" si="26"/>
        <v>3.392340590441667E-2</v>
      </c>
      <c r="Q220" s="4">
        <f t="shared" si="26"/>
        <v>3.7683179360367136E-2</v>
      </c>
      <c r="R220" s="4">
        <f t="shared" si="27"/>
        <v>-7.4259115656991614E-3</v>
      </c>
      <c r="S220" s="4">
        <f t="shared" si="28"/>
        <v>1.1448753280735691E-2</v>
      </c>
      <c r="T220" s="4">
        <f t="shared" si="29"/>
        <v>2.2192219544493241E-2</v>
      </c>
      <c r="U220" s="4">
        <f t="shared" si="30"/>
        <v>4.0711009584659896E-2</v>
      </c>
      <c r="V220" s="4">
        <f t="shared" si="31"/>
        <v>6.8845814760363222E-3</v>
      </c>
      <c r="W220" s="4">
        <f t="shared" si="32"/>
        <v>5.1876246317916763E-3</v>
      </c>
    </row>
    <row r="221" spans="1:23" x14ac:dyDescent="0.25">
      <c r="A221" s="1">
        <v>44911</v>
      </c>
      <c r="B221">
        <v>4786.8598629999997</v>
      </c>
      <c r="C221">
        <v>9.4290020000000005</v>
      </c>
      <c r="D221">
        <v>7.319617</v>
      </c>
      <c r="E221">
        <v>7.2250999999999996E-2</v>
      </c>
      <c r="F221">
        <v>13.327989000000001</v>
      </c>
      <c r="G221">
        <v>19.055976999999999</v>
      </c>
      <c r="H221">
        <v>8.8036659999999998</v>
      </c>
      <c r="I221">
        <v>44.025700000000001</v>
      </c>
      <c r="J221">
        <v>4.1920109999999999</v>
      </c>
      <c r="K221">
        <v>33.200130000000001</v>
      </c>
      <c r="L221">
        <v>23.792584999999999</v>
      </c>
      <c r="M221" s="4">
        <f t="shared" si="25"/>
        <v>-8.406127988325407E-3</v>
      </c>
      <c r="N221" s="4">
        <f t="shared" si="25"/>
        <v>1.3333353394370473E-2</v>
      </c>
      <c r="O221" s="4">
        <f t="shared" si="26"/>
        <v>-1.0139434294837546E-2</v>
      </c>
      <c r="P221" s="4">
        <f t="shared" si="26"/>
        <v>9.8538003522208317E-3</v>
      </c>
      <c r="Q221" s="4">
        <f t="shared" si="26"/>
        <v>-5.4437499813767665E-2</v>
      </c>
      <c r="R221" s="4">
        <f t="shared" si="27"/>
        <v>0</v>
      </c>
      <c r="S221" s="4">
        <f t="shared" si="28"/>
        <v>-1.9006631873732749E-2</v>
      </c>
      <c r="T221" s="4">
        <f t="shared" si="29"/>
        <v>-1.7184301121101919E-2</v>
      </c>
      <c r="U221" s="4">
        <f t="shared" si="30"/>
        <v>-1.8315580887506844E-3</v>
      </c>
      <c r="V221" s="4">
        <f t="shared" si="31"/>
        <v>-7.6857723768597452E-3</v>
      </c>
      <c r="W221" s="4">
        <f t="shared" si="32"/>
        <v>-1.5936677618569872E-3</v>
      </c>
    </row>
    <row r="222" spans="1:23" x14ac:dyDescent="0.25">
      <c r="A222" s="1">
        <v>44914</v>
      </c>
      <c r="B222">
        <v>4827.4399409999996</v>
      </c>
      <c r="C222">
        <v>9.3049359999999997</v>
      </c>
      <c r="D222">
        <v>7.3945939999999997</v>
      </c>
      <c r="E222">
        <v>7.1545999999999998E-2</v>
      </c>
      <c r="F222">
        <v>14.095302</v>
      </c>
      <c r="G222">
        <v>19.055976999999999</v>
      </c>
      <c r="H222">
        <v>8.9742359999999994</v>
      </c>
      <c r="I222">
        <v>44.795479</v>
      </c>
      <c r="J222">
        <v>4.1997030000000004</v>
      </c>
      <c r="K222">
        <v>33.457275000000003</v>
      </c>
      <c r="L222">
        <v>23.830563000000001</v>
      </c>
      <c r="M222" s="4">
        <f t="shared" si="25"/>
        <v>-4.5879221704248074E-3</v>
      </c>
      <c r="N222" s="4">
        <f t="shared" si="25"/>
        <v>-1.2158024378897458E-2</v>
      </c>
      <c r="O222" s="4">
        <f t="shared" si="26"/>
        <v>1.2690207552326083E-3</v>
      </c>
      <c r="P222" s="4">
        <f t="shared" si="26"/>
        <v>6.6126399909955946E-3</v>
      </c>
      <c r="Q222" s="4">
        <f t="shared" si="26"/>
        <v>-4.8052754104361495E-2</v>
      </c>
      <c r="R222" s="4">
        <f t="shared" si="27"/>
        <v>4.9750968283810426E-3</v>
      </c>
      <c r="S222" s="4">
        <f t="shared" si="28"/>
        <v>2.8157216451645262E-3</v>
      </c>
      <c r="T222" s="4">
        <f t="shared" si="29"/>
        <v>-2.3661127222449396E-2</v>
      </c>
      <c r="U222" s="4">
        <f t="shared" si="30"/>
        <v>7.0317366914942614E-3</v>
      </c>
      <c r="V222" s="4">
        <f t="shared" si="31"/>
        <v>-5.942163108168641E-3</v>
      </c>
      <c r="W222" s="4">
        <f t="shared" si="32"/>
        <v>4.8039710871221608E-3</v>
      </c>
    </row>
    <row r="223" spans="1:23" x14ac:dyDescent="0.25">
      <c r="A223" s="1">
        <v>44915</v>
      </c>
      <c r="B223">
        <v>4849.6899409999996</v>
      </c>
      <c r="C223">
        <v>9.4194580000000006</v>
      </c>
      <c r="D223">
        <v>7.3852219999999997</v>
      </c>
      <c r="E223">
        <v>7.1076E-2</v>
      </c>
      <c r="F223">
        <v>14.80681</v>
      </c>
      <c r="G223">
        <v>18.961641</v>
      </c>
      <c r="H223">
        <v>8.9490379999999998</v>
      </c>
      <c r="I223">
        <v>45.881076999999998</v>
      </c>
      <c r="J223">
        <v>4.1703780000000004</v>
      </c>
      <c r="K223">
        <v>33.657271999999999</v>
      </c>
      <c r="L223">
        <v>23.716629000000001</v>
      </c>
      <c r="M223" s="4">
        <f t="shared" si="25"/>
        <v>-9.0479247021736375E-3</v>
      </c>
      <c r="N223" s="4">
        <f t="shared" si="25"/>
        <v>-1.888678697764945E-2</v>
      </c>
      <c r="O223" s="4">
        <f t="shared" si="26"/>
        <v>-1.2674123826135197E-3</v>
      </c>
      <c r="P223" s="4">
        <f t="shared" si="26"/>
        <v>3.3172880111800307E-3</v>
      </c>
      <c r="Q223" s="4">
        <f t="shared" si="26"/>
        <v>-1.6069236867409131E-2</v>
      </c>
      <c r="R223" s="4">
        <f t="shared" si="27"/>
        <v>-2.1897641161587877E-2</v>
      </c>
      <c r="S223" s="4">
        <f t="shared" si="28"/>
        <v>-4.686204438436492E-2</v>
      </c>
      <c r="T223" s="4">
        <f t="shared" si="29"/>
        <v>4.3546647942100503E-2</v>
      </c>
      <c r="U223" s="4">
        <f t="shared" si="30"/>
        <v>-1.015531320404317E-2</v>
      </c>
      <c r="V223" s="4">
        <f t="shared" si="31"/>
        <v>-1.4225879365091343E-2</v>
      </c>
      <c r="W223" s="4">
        <f t="shared" si="32"/>
        <v>-2.1543379905329396E-2</v>
      </c>
    </row>
    <row r="224" spans="1:23" x14ac:dyDescent="0.25">
      <c r="A224" s="1">
        <v>44916</v>
      </c>
      <c r="B224">
        <v>4893.9702150000003</v>
      </c>
      <c r="C224">
        <v>9.6007859999999994</v>
      </c>
      <c r="D224">
        <v>7.3945939999999997</v>
      </c>
      <c r="E224">
        <v>7.0841000000000001E-2</v>
      </c>
      <c r="F224">
        <v>15.048629999999999</v>
      </c>
      <c r="G224">
        <v>19.386151999999999</v>
      </c>
      <c r="H224">
        <v>9.3890270000000005</v>
      </c>
      <c r="I224">
        <v>43.966484000000001</v>
      </c>
      <c r="J224">
        <v>4.2131639999999999</v>
      </c>
      <c r="K224">
        <v>34.142986000000001</v>
      </c>
      <c r="L224">
        <v>24.238814999999999</v>
      </c>
      <c r="M224" s="4">
        <f t="shared" si="25"/>
        <v>4.926146534179443E-3</v>
      </c>
      <c r="N224" s="4">
        <f t="shared" si="25"/>
        <v>5.9999842825368965E-3</v>
      </c>
      <c r="O224" s="4">
        <f t="shared" si="26"/>
        <v>-7.5470826992873885E-3</v>
      </c>
      <c r="P224" s="4">
        <f t="shared" si="26"/>
        <v>2.4765293870879113E-2</v>
      </c>
      <c r="Q224" s="4">
        <f t="shared" si="26"/>
        <v>-3.0806618265636354E-3</v>
      </c>
      <c r="R224" s="4">
        <f t="shared" si="27"/>
        <v>9.8279039838611304E-3</v>
      </c>
      <c r="S224" s="4">
        <f t="shared" si="28"/>
        <v>2.45347486399774E-2</v>
      </c>
      <c r="T224" s="4">
        <f t="shared" si="29"/>
        <v>1.4113309803500229E-2</v>
      </c>
      <c r="U224" s="4">
        <f t="shared" si="30"/>
        <v>7.3565487342661662E-3</v>
      </c>
      <c r="V224" s="4">
        <f t="shared" si="31"/>
        <v>2.7893447090709955E-4</v>
      </c>
      <c r="W224" s="4">
        <f t="shared" si="32"/>
        <v>1.6321606376505482E-2</v>
      </c>
    </row>
    <row r="225" spans="1:23" x14ac:dyDescent="0.25">
      <c r="A225" s="1">
        <v>44917</v>
      </c>
      <c r="B225">
        <v>4869.9799800000001</v>
      </c>
      <c r="C225">
        <v>9.5435250000000007</v>
      </c>
      <c r="D225">
        <v>7.4508260000000002</v>
      </c>
      <c r="E225">
        <v>6.9128999999999996E-2</v>
      </c>
      <c r="F225">
        <v>15.095133000000001</v>
      </c>
      <c r="G225">
        <v>19.197481</v>
      </c>
      <c r="H225">
        <v>9.1641860000000008</v>
      </c>
      <c r="I225">
        <v>43.354607000000001</v>
      </c>
      <c r="J225">
        <v>4.1823959999999998</v>
      </c>
      <c r="K225">
        <v>34.133465000000001</v>
      </c>
      <c r="L225">
        <v>23.849551999999999</v>
      </c>
      <c r="M225" s="4">
        <f t="shared" si="25"/>
        <v>-2.2209064032027159E-3</v>
      </c>
      <c r="N225" s="4">
        <f t="shared" si="25"/>
        <v>0</v>
      </c>
      <c r="O225" s="4">
        <f t="shared" si="26"/>
        <v>-1.2422480445481887E-2</v>
      </c>
      <c r="P225" s="4">
        <f t="shared" si="26"/>
        <v>-3.3879245718240192E-3</v>
      </c>
      <c r="Q225" s="4">
        <f t="shared" si="26"/>
        <v>2.2040261463964539E-2</v>
      </c>
      <c r="R225" s="4">
        <f t="shared" si="27"/>
        <v>0</v>
      </c>
      <c r="S225" s="4">
        <f t="shared" si="28"/>
        <v>-1.7864662053810654E-2</v>
      </c>
      <c r="T225" s="4">
        <f t="shared" si="29"/>
        <v>9.1143676177063426E-4</v>
      </c>
      <c r="U225" s="4">
        <f t="shared" si="30"/>
        <v>-3.0938824076794935E-3</v>
      </c>
      <c r="V225" s="4">
        <f t="shared" si="31"/>
        <v>5.3295021002126575E-3</v>
      </c>
      <c r="W225" s="4">
        <f t="shared" si="32"/>
        <v>-3.965003726117966E-3</v>
      </c>
    </row>
    <row r="226" spans="1:23" x14ac:dyDescent="0.25">
      <c r="A226" s="1">
        <v>44918</v>
      </c>
      <c r="B226">
        <v>4880.8198240000002</v>
      </c>
      <c r="C226">
        <v>9.5435250000000007</v>
      </c>
      <c r="D226">
        <v>7.5445479999999998</v>
      </c>
      <c r="E226">
        <v>6.9363999999999995E-2</v>
      </c>
      <c r="F226">
        <v>14.769607000000001</v>
      </c>
      <c r="G226">
        <v>19.197481</v>
      </c>
      <c r="H226">
        <v>9.3308789999999995</v>
      </c>
      <c r="I226">
        <v>43.315128000000001</v>
      </c>
      <c r="J226">
        <v>4.1953760000000004</v>
      </c>
      <c r="K226">
        <v>33.952514999999998</v>
      </c>
      <c r="L226">
        <v>23.944492</v>
      </c>
      <c r="M226" s="4">
        <f t="shared" si="25"/>
        <v>-8.0048559818246545E-4</v>
      </c>
      <c r="N226" s="4">
        <f t="shared" si="25"/>
        <v>-1.9960027657713875E-3</v>
      </c>
      <c r="O226" s="4">
        <f t="shared" si="26"/>
        <v>0</v>
      </c>
      <c r="P226" s="4">
        <f t="shared" si="26"/>
        <v>1.8231995537418166E-2</v>
      </c>
      <c r="Q226" s="4">
        <f t="shared" si="26"/>
        <v>6.0183567475522448E-3</v>
      </c>
      <c r="R226" s="4">
        <f t="shared" si="27"/>
        <v>0</v>
      </c>
      <c r="S226" s="4">
        <f t="shared" si="28"/>
        <v>-1.2107478086574308E-2</v>
      </c>
      <c r="T226" s="4">
        <f t="shared" si="29"/>
        <v>4.5776973324302972E-3</v>
      </c>
      <c r="U226" s="4">
        <f t="shared" si="30"/>
        <v>-3.6534972309034686E-3</v>
      </c>
      <c r="V226" s="4">
        <f t="shared" si="31"/>
        <v>2.806470579241882E-4</v>
      </c>
      <c r="W226" s="4">
        <f t="shared" si="32"/>
        <v>-9.0373817901778786E-3</v>
      </c>
    </row>
    <row r="227" spans="1:23" x14ac:dyDescent="0.25">
      <c r="A227" s="1">
        <v>44922</v>
      </c>
      <c r="B227">
        <v>4884.7299800000001</v>
      </c>
      <c r="C227">
        <v>9.5626119999999997</v>
      </c>
      <c r="D227">
        <v>7.5445479999999998</v>
      </c>
      <c r="E227">
        <v>6.8122000000000002E-2</v>
      </c>
      <c r="F227">
        <v>14.68125</v>
      </c>
      <c r="G227">
        <v>19.197481</v>
      </c>
      <c r="H227">
        <v>9.4452370000000005</v>
      </c>
      <c r="I227">
        <v>43.117747999999999</v>
      </c>
      <c r="J227">
        <v>4.2107599999999996</v>
      </c>
      <c r="K227">
        <v>33.942988999999997</v>
      </c>
      <c r="L227">
        <v>24.162860999999999</v>
      </c>
      <c r="M227" s="4">
        <f t="shared" si="25"/>
        <v>5.4215166458955188E-3</v>
      </c>
      <c r="N227" s="4">
        <f t="shared" si="25"/>
        <v>-3.9761327874613395E-3</v>
      </c>
      <c r="O227" s="4">
        <f t="shared" si="26"/>
        <v>0</v>
      </c>
      <c r="P227" s="4">
        <f t="shared" si="26"/>
        <v>2.6830665340206838E-2</v>
      </c>
      <c r="Q227" s="4">
        <f t="shared" si="26"/>
        <v>-9.4935754876712686E-4</v>
      </c>
      <c r="R227" s="4">
        <f t="shared" si="27"/>
        <v>2.4631453765946443E-3</v>
      </c>
      <c r="S227" s="4">
        <f t="shared" si="28"/>
        <v>1.1415483552623229E-2</v>
      </c>
      <c r="T227" s="4">
        <f t="shared" si="29"/>
        <v>8.3083380861388445E-3</v>
      </c>
      <c r="U227" s="4">
        <f t="shared" si="30"/>
        <v>1.0032296010300756E-2</v>
      </c>
      <c r="V227" s="4">
        <f t="shared" si="31"/>
        <v>3.3783143634968926E-3</v>
      </c>
      <c r="W227" s="4">
        <f t="shared" si="32"/>
        <v>1.1526266406731933E-2</v>
      </c>
    </row>
    <row r="228" spans="1:23" x14ac:dyDescent="0.25">
      <c r="A228" s="1">
        <v>44923</v>
      </c>
      <c r="B228">
        <v>4858.3901370000003</v>
      </c>
      <c r="C228">
        <v>9.6007859999999994</v>
      </c>
      <c r="D228">
        <v>7.5445479999999998</v>
      </c>
      <c r="E228">
        <v>6.6341999999999998E-2</v>
      </c>
      <c r="F228">
        <v>14.695201000000001</v>
      </c>
      <c r="G228">
        <v>19.150310999999999</v>
      </c>
      <c r="H228">
        <v>9.3386320000000005</v>
      </c>
      <c r="I228">
        <v>42.762462999999997</v>
      </c>
      <c r="J228">
        <v>4.1689360000000004</v>
      </c>
      <c r="K228">
        <v>33.828704999999999</v>
      </c>
      <c r="L228">
        <v>23.887526999999999</v>
      </c>
      <c r="M228" s="4">
        <f t="shared" si="25"/>
        <v>-5.9031468924511943E-3</v>
      </c>
      <c r="N228" s="4">
        <f t="shared" si="25"/>
        <v>1.9921312485531306E-3</v>
      </c>
      <c r="O228" s="4">
        <f t="shared" si="26"/>
        <v>-1.2269797289123696E-2</v>
      </c>
      <c r="P228" s="4">
        <f t="shared" si="26"/>
        <v>2.5387614470939734E-3</v>
      </c>
      <c r="Q228" s="4">
        <f t="shared" si="26"/>
        <v>-2.5253174888960617E-3</v>
      </c>
      <c r="R228" s="4">
        <f t="shared" si="27"/>
        <v>-7.3350270739144241E-3</v>
      </c>
      <c r="S228" s="4">
        <f t="shared" si="28"/>
        <v>-9.8644248579520255E-3</v>
      </c>
      <c r="T228" s="4">
        <f t="shared" si="29"/>
        <v>-1.0730595144294974E-2</v>
      </c>
      <c r="U228" s="4">
        <f t="shared" si="30"/>
        <v>-1.2525415603143131E-2</v>
      </c>
      <c r="V228" s="4">
        <f t="shared" si="31"/>
        <v>1.0526335599233327E-2</v>
      </c>
      <c r="W228" s="4">
        <f t="shared" si="32"/>
        <v>-1.3333397768630406E-2</v>
      </c>
    </row>
    <row r="229" spans="1:23" x14ac:dyDescent="0.25">
      <c r="A229" s="1">
        <v>44924</v>
      </c>
      <c r="B229">
        <v>4887.2402339999999</v>
      </c>
      <c r="C229">
        <v>9.5816979999999994</v>
      </c>
      <c r="D229">
        <v>7.6382680000000001</v>
      </c>
      <c r="E229">
        <v>6.6173999999999997E-2</v>
      </c>
      <c r="F229">
        <v>14.732405</v>
      </c>
      <c r="G229">
        <v>19.291817000000002</v>
      </c>
      <c r="H229">
        <v>9.4316700000000004</v>
      </c>
      <c r="I229">
        <v>43.226306999999998</v>
      </c>
      <c r="J229">
        <v>4.2218159999999996</v>
      </c>
      <c r="K229">
        <v>33.476322000000003</v>
      </c>
      <c r="L229">
        <v>24.210332999999999</v>
      </c>
      <c r="M229" s="4">
        <f t="shared" si="25"/>
        <v>1.280718312850726E-2</v>
      </c>
      <c r="N229" s="4">
        <f t="shared" si="25"/>
        <v>-1.7612581845129816E-2</v>
      </c>
      <c r="O229" s="4">
        <f t="shared" si="26"/>
        <v>-6.0976204823627311E-3</v>
      </c>
      <c r="P229" s="4">
        <f t="shared" si="26"/>
        <v>1.5452606380530032E-2</v>
      </c>
      <c r="Q229" s="4">
        <f t="shared" si="26"/>
        <v>1.9305102384002737E-2</v>
      </c>
      <c r="R229" s="4">
        <f t="shared" si="27"/>
        <v>4.9139780370144326E-3</v>
      </c>
      <c r="S229" s="4">
        <f t="shared" si="28"/>
        <v>1.2484416888083993E-2</v>
      </c>
      <c r="T229" s="4">
        <f t="shared" si="29"/>
        <v>1.813108864022861E-2</v>
      </c>
      <c r="U229" s="4">
        <f t="shared" si="30"/>
        <v>1.4790580352346261E-2</v>
      </c>
      <c r="V229" s="4">
        <f t="shared" si="31"/>
        <v>6.2983522669270986E-3</v>
      </c>
      <c r="W229" s="4">
        <f t="shared" si="32"/>
        <v>1.3513579702076228E-2</v>
      </c>
    </row>
    <row r="230" spans="1:23" x14ac:dyDescent="0.25">
      <c r="A230" s="1">
        <v>44925</v>
      </c>
      <c r="B230">
        <v>4825.4399409999996</v>
      </c>
      <c r="C230">
        <v>9.753482</v>
      </c>
      <c r="D230">
        <v>7.6851289999999999</v>
      </c>
      <c r="E230">
        <v>6.5167000000000003E-2</v>
      </c>
      <c r="F230">
        <v>14.453381</v>
      </c>
      <c r="G230">
        <v>19.197481</v>
      </c>
      <c r="H230">
        <v>9.3153729999999992</v>
      </c>
      <c r="I230">
        <v>42.456524000000002</v>
      </c>
      <c r="J230">
        <v>4.1602829999999997</v>
      </c>
      <c r="K230">
        <v>33.266795999999999</v>
      </c>
      <c r="L230">
        <v>23.887526999999999</v>
      </c>
      <c r="M230" s="4">
        <f t="shared" si="25"/>
        <v>-1.8627067153305865E-2</v>
      </c>
      <c r="N230" s="4">
        <f t="shared" si="25"/>
        <v>-7.766970537638973E-3</v>
      </c>
      <c r="O230" s="4">
        <f t="shared" si="26"/>
        <v>-1.796411853184976E-2</v>
      </c>
      <c r="P230" s="4">
        <f t="shared" si="26"/>
        <v>-3.9585574698244641E-2</v>
      </c>
      <c r="Q230" s="4">
        <f t="shared" si="26"/>
        <v>-2.5399826379687407E-2</v>
      </c>
      <c r="R230" s="4">
        <f t="shared" si="27"/>
        <v>-2.4509151843152832E-3</v>
      </c>
      <c r="S230" s="4">
        <f t="shared" si="28"/>
        <v>-1.8382333570570064E-2</v>
      </c>
      <c r="T230" s="4">
        <f t="shared" si="29"/>
        <v>-3.2823720767061304E-2</v>
      </c>
      <c r="U230" s="4">
        <f t="shared" si="30"/>
        <v>-2.5230976427189744E-2</v>
      </c>
      <c r="V230" s="4">
        <f t="shared" si="31"/>
        <v>-2.4029035394926068E-2</v>
      </c>
      <c r="W230" s="4">
        <f t="shared" si="32"/>
        <v>-2.2532968068996406E-2</v>
      </c>
    </row>
    <row r="231" spans="1:23" x14ac:dyDescent="0.25">
      <c r="A231" s="1">
        <v>44928</v>
      </c>
      <c r="B231">
        <v>4917.0297849999997</v>
      </c>
      <c r="C231">
        <v>9.8298299999999994</v>
      </c>
      <c r="D231">
        <v>7.8257110000000001</v>
      </c>
      <c r="E231">
        <v>6.7852999999999997E-2</v>
      </c>
      <c r="F231">
        <v>14.830062</v>
      </c>
      <c r="G231">
        <v>19.244648000000002</v>
      </c>
      <c r="H231">
        <v>9.4898179999999996</v>
      </c>
      <c r="I231">
        <v>43.897399999999998</v>
      </c>
      <c r="J231">
        <v>4.2679679999999998</v>
      </c>
      <c r="K231">
        <v>34.085845999999997</v>
      </c>
      <c r="L231">
        <v>24.438192000000001</v>
      </c>
      <c r="M231" s="4">
        <f t="shared" si="25"/>
        <v>1.5317250313011677E-3</v>
      </c>
      <c r="N231" s="4">
        <f t="shared" si="25"/>
        <v>-1.1516285827372297E-2</v>
      </c>
      <c r="O231" s="4">
        <f t="shared" si="26"/>
        <v>0</v>
      </c>
      <c r="P231" s="4">
        <f t="shared" si="26"/>
        <v>6.9750530549248513E-3</v>
      </c>
      <c r="Q231" s="4">
        <f t="shared" si="26"/>
        <v>1.4312969985558199E-2</v>
      </c>
      <c r="R231" s="4">
        <f t="shared" si="27"/>
        <v>-1.2106574321282371E-2</v>
      </c>
      <c r="S231" s="4">
        <f t="shared" si="28"/>
        <v>1.0317788832931774E-2</v>
      </c>
      <c r="T231" s="4">
        <f t="shared" si="29"/>
        <v>7.4743879792877888E-3</v>
      </c>
      <c r="U231" s="4">
        <f t="shared" si="30"/>
        <v>2.8240469986833272E-3</v>
      </c>
      <c r="V231" s="4">
        <f t="shared" si="31"/>
        <v>2.0821302755475113E-2</v>
      </c>
      <c r="W231" s="4">
        <f t="shared" si="32"/>
        <v>1.5563386178081284E-3</v>
      </c>
    </row>
    <row r="232" spans="1:23" x14ac:dyDescent="0.25">
      <c r="A232" s="1">
        <v>44929</v>
      </c>
      <c r="B232">
        <v>4909.5097660000001</v>
      </c>
      <c r="C232">
        <v>9.9443520000000003</v>
      </c>
      <c r="D232">
        <v>7.8257110000000001</v>
      </c>
      <c r="E232">
        <v>6.7382999999999998E-2</v>
      </c>
      <c r="F232">
        <v>14.620794999999999</v>
      </c>
      <c r="G232">
        <v>19.48049</v>
      </c>
      <c r="H232">
        <v>9.3929039999999997</v>
      </c>
      <c r="I232">
        <v>43.571728</v>
      </c>
      <c r="J232">
        <v>4.2559490000000002</v>
      </c>
      <c r="K232">
        <v>33.390610000000002</v>
      </c>
      <c r="L232">
        <v>24.400217000000001</v>
      </c>
      <c r="M232" s="4">
        <f t="shared" si="25"/>
        <v>-6.1077658724922879E-3</v>
      </c>
      <c r="N232" s="4">
        <f t="shared" si="25"/>
        <v>-7.6190286107756799E-3</v>
      </c>
      <c r="O232" s="4">
        <f t="shared" si="26"/>
        <v>2.4009323979465869E-3</v>
      </c>
      <c r="P232" s="4">
        <f t="shared" si="26"/>
        <v>-2.1932243736754953E-2</v>
      </c>
      <c r="Q232" s="4">
        <f t="shared" si="26"/>
        <v>4.5212788962924355E-2</v>
      </c>
      <c r="R232" s="4">
        <f t="shared" si="27"/>
        <v>-1.4319732266018792E-2</v>
      </c>
      <c r="S232" s="4">
        <f t="shared" si="28"/>
        <v>-9.8078830555662355E-3</v>
      </c>
      <c r="T232" s="4">
        <f t="shared" si="29"/>
        <v>1.4010264113714976E-2</v>
      </c>
      <c r="U232" s="4">
        <f t="shared" si="30"/>
        <v>-1.523898904370824E-2</v>
      </c>
      <c r="V232" s="4">
        <f t="shared" si="31"/>
        <v>1.8298107592040758E-2</v>
      </c>
      <c r="W232" s="4">
        <f t="shared" si="32"/>
        <v>-2.4297651509332052E-2</v>
      </c>
    </row>
    <row r="233" spans="1:23" x14ac:dyDescent="0.25">
      <c r="A233" s="1">
        <v>44930</v>
      </c>
      <c r="B233">
        <v>4939.6801759999998</v>
      </c>
      <c r="C233">
        <v>10.0207</v>
      </c>
      <c r="D233">
        <v>7.8069670000000002</v>
      </c>
      <c r="E233">
        <v>6.8893999999999997E-2</v>
      </c>
      <c r="F233">
        <v>13.988343</v>
      </c>
      <c r="G233">
        <v>19.763497999999998</v>
      </c>
      <c r="H233">
        <v>9.4859410000000004</v>
      </c>
      <c r="I233">
        <v>42.969710999999997</v>
      </c>
      <c r="J233">
        <v>4.321809</v>
      </c>
      <c r="K233">
        <v>32.790604000000002</v>
      </c>
      <c r="L233">
        <v>25.007849</v>
      </c>
      <c r="M233" s="4">
        <f t="shared" si="25"/>
        <v>-5.7524347248473218E-3</v>
      </c>
      <c r="N233" s="4">
        <f t="shared" si="25"/>
        <v>0</v>
      </c>
      <c r="O233" s="4">
        <f t="shared" si="26"/>
        <v>6.0387061723126134E-3</v>
      </c>
      <c r="P233" s="4">
        <f t="shared" si="26"/>
        <v>-3.3893789176985378E-2</v>
      </c>
      <c r="Q233" s="4">
        <f t="shared" si="26"/>
        <v>-6.6439757036240721E-4</v>
      </c>
      <c r="R233" s="4">
        <f t="shared" si="27"/>
        <v>1.2077229128039768E-2</v>
      </c>
      <c r="S233" s="4">
        <f t="shared" si="28"/>
        <v>-1.4300114957470522E-2</v>
      </c>
      <c r="T233" s="4">
        <f t="shared" si="29"/>
        <v>-1.3369677025298565E-2</v>
      </c>
      <c r="U233" s="4">
        <f t="shared" si="30"/>
        <v>1.6710707066867059E-3</v>
      </c>
      <c r="V233" s="4">
        <f t="shared" si="31"/>
        <v>-1.2618259294014833E-2</v>
      </c>
      <c r="W233" s="4">
        <f t="shared" si="32"/>
        <v>-9.402023077253574E-3</v>
      </c>
    </row>
    <row r="234" spans="1:23" x14ac:dyDescent="0.25">
      <c r="A234" s="1">
        <v>44931</v>
      </c>
      <c r="B234">
        <v>4968.2597660000001</v>
      </c>
      <c r="C234">
        <v>10.0207</v>
      </c>
      <c r="D234">
        <v>7.7601060000000004</v>
      </c>
      <c r="E234">
        <v>7.1310999999999999E-2</v>
      </c>
      <c r="F234">
        <v>13.997643</v>
      </c>
      <c r="G234">
        <v>19.527657999999999</v>
      </c>
      <c r="H234">
        <v>9.6235590000000002</v>
      </c>
      <c r="I234">
        <v>43.551986999999997</v>
      </c>
      <c r="J234">
        <v>4.3145990000000003</v>
      </c>
      <c r="K234">
        <v>33.209651999999998</v>
      </c>
      <c r="L234">
        <v>25.245204999999999</v>
      </c>
      <c r="M234" s="4">
        <f t="shared" si="25"/>
        <v>-1.9724877204565949E-2</v>
      </c>
      <c r="N234" s="4">
        <f t="shared" si="25"/>
        <v>-1.315795952654597E-2</v>
      </c>
      <c r="O234" s="4">
        <f t="shared" si="26"/>
        <v>-1.3110947197069844E-2</v>
      </c>
      <c r="P234" s="4">
        <f t="shared" si="26"/>
        <v>-4.8387312008754124E-2</v>
      </c>
      <c r="Q234" s="4">
        <f t="shared" si="26"/>
        <v>-1.1818801717493943E-2</v>
      </c>
      <c r="R234" s="4">
        <f t="shared" si="27"/>
        <v>-2.5882361861608971E-2</v>
      </c>
      <c r="S234" s="4">
        <f t="shared" si="28"/>
        <v>-3.5922353731529189E-2</v>
      </c>
      <c r="T234" s="4">
        <f t="shared" si="29"/>
        <v>-1.7586718829567194E-2</v>
      </c>
      <c r="U234" s="4">
        <f t="shared" si="30"/>
        <v>-2.625562635073031E-2</v>
      </c>
      <c r="V234" s="4">
        <f t="shared" si="31"/>
        <v>-4.8516462775982649E-3</v>
      </c>
      <c r="W234" s="4">
        <f t="shared" si="32"/>
        <v>-3.7640254359774583E-2</v>
      </c>
    </row>
    <row r="235" spans="1:23" x14ac:dyDescent="0.25">
      <c r="A235" s="1">
        <v>44935</v>
      </c>
      <c r="B235">
        <v>5068.2299800000001</v>
      </c>
      <c r="C235">
        <v>10.154310000000001</v>
      </c>
      <c r="D235">
        <v>7.8632</v>
      </c>
      <c r="E235">
        <v>7.4937000000000004E-2</v>
      </c>
      <c r="F235">
        <v>14.165056999999999</v>
      </c>
      <c r="G235">
        <v>20.046509</v>
      </c>
      <c r="H235">
        <v>9.9821410000000004</v>
      </c>
      <c r="I235">
        <v>44.331634999999999</v>
      </c>
      <c r="J235">
        <v>4.430936</v>
      </c>
      <c r="K235">
        <v>33.371558999999998</v>
      </c>
      <c r="L235">
        <v>26.232607000000002</v>
      </c>
      <c r="M235" s="4">
        <f t="shared" si="25"/>
        <v>1.2198571881301801E-2</v>
      </c>
      <c r="N235" s="4">
        <f t="shared" si="25"/>
        <v>-3.7453087981300648E-3</v>
      </c>
      <c r="O235" s="4">
        <f t="shared" si="26"/>
        <v>8.4134915958060663E-3</v>
      </c>
      <c r="P235" s="4">
        <f t="shared" si="26"/>
        <v>-1.7982736572889069E-3</v>
      </c>
      <c r="Q235" s="4">
        <f t="shared" si="26"/>
        <v>3.2892517629832918E-2</v>
      </c>
      <c r="R235" s="4">
        <f t="shared" si="27"/>
        <v>1.4319884061009924E-2</v>
      </c>
      <c r="S235" s="4">
        <f t="shared" si="28"/>
        <v>8.8149290373098488E-3</v>
      </c>
      <c r="T235" s="4">
        <f t="shared" si="29"/>
        <v>1.2395807634717482E-2</v>
      </c>
      <c r="U235" s="4">
        <f t="shared" si="30"/>
        <v>1.1190117898574492E-2</v>
      </c>
      <c r="V235" s="4">
        <f t="shared" si="31"/>
        <v>7.1859070580151396E-3</v>
      </c>
      <c r="W235" s="4">
        <f t="shared" si="32"/>
        <v>1.6930500890258715E-2</v>
      </c>
    </row>
    <row r="236" spans="1:23" x14ac:dyDescent="0.25">
      <c r="A236" s="1">
        <v>44936</v>
      </c>
      <c r="B236">
        <v>5007.1499020000001</v>
      </c>
      <c r="C236">
        <v>10.192484</v>
      </c>
      <c r="D236">
        <v>7.7975950000000003</v>
      </c>
      <c r="E236">
        <v>7.5072E-2</v>
      </c>
      <c r="F236">
        <v>13.71397</v>
      </c>
      <c r="G236">
        <v>19.763497999999998</v>
      </c>
      <c r="H236">
        <v>9.8949180000000005</v>
      </c>
      <c r="I236">
        <v>43.788837000000001</v>
      </c>
      <c r="J236">
        <v>4.3819020000000002</v>
      </c>
      <c r="K236">
        <v>33.133465000000001</v>
      </c>
      <c r="L236">
        <v>25.795870000000001</v>
      </c>
      <c r="M236" s="4">
        <f t="shared" si="25"/>
        <v>-1.0135364937903235E-3</v>
      </c>
      <c r="N236" s="4">
        <f t="shared" si="25"/>
        <v>0</v>
      </c>
      <c r="O236" s="4">
        <f t="shared" si="26"/>
        <v>8.4848790544220787E-3</v>
      </c>
      <c r="P236" s="4">
        <f t="shared" si="26"/>
        <v>5.3971527675473752E-3</v>
      </c>
      <c r="Q236" s="4">
        <f t="shared" si="26"/>
        <v>1.2358417888649997E-2</v>
      </c>
      <c r="R236" s="4">
        <f t="shared" si="27"/>
        <v>0</v>
      </c>
      <c r="S236" s="4">
        <f t="shared" si="28"/>
        <v>2.0999960893159031E-2</v>
      </c>
      <c r="T236" s="4">
        <f t="shared" si="29"/>
        <v>-1.3561735036681122E-2</v>
      </c>
      <c r="U236" s="4">
        <f t="shared" si="30"/>
        <v>-9.2392428718233166E-3</v>
      </c>
      <c r="V236" s="4">
        <f t="shared" si="31"/>
        <v>1.339942180185405E-2</v>
      </c>
      <c r="W236" s="4">
        <f t="shared" si="32"/>
        <v>-1.4700481891062323E-3</v>
      </c>
    </row>
    <row r="237" spans="1:23" x14ac:dyDescent="0.25">
      <c r="A237" s="1">
        <v>44937</v>
      </c>
      <c r="B237">
        <v>5012.2299800000001</v>
      </c>
      <c r="C237">
        <v>10.192484</v>
      </c>
      <c r="D237">
        <v>7.7319899999999997</v>
      </c>
      <c r="E237">
        <v>7.4668999999999999E-2</v>
      </c>
      <c r="F237">
        <v>13.546556000000001</v>
      </c>
      <c r="G237">
        <v>19.763497999999998</v>
      </c>
      <c r="H237">
        <v>9.6913990000000005</v>
      </c>
      <c r="I237">
        <v>44.390853999999997</v>
      </c>
      <c r="J237">
        <v>4.4227650000000001</v>
      </c>
      <c r="K237">
        <v>32.695366</v>
      </c>
      <c r="L237">
        <v>25.833846999999999</v>
      </c>
      <c r="M237" s="4">
        <f t="shared" si="25"/>
        <v>-8.8785346706111712E-3</v>
      </c>
      <c r="N237" s="4">
        <f t="shared" si="25"/>
        <v>-3.7314311815103141E-3</v>
      </c>
      <c r="O237" s="4">
        <f t="shared" si="26"/>
        <v>6.0976204823628422E-3</v>
      </c>
      <c r="P237" s="4">
        <f t="shared" si="26"/>
        <v>-2.6846533992254118E-3</v>
      </c>
      <c r="Q237" s="4">
        <f t="shared" si="26"/>
        <v>-9.1836552586300746E-3</v>
      </c>
      <c r="R237" s="4">
        <f t="shared" si="27"/>
        <v>-1.6432033995966377E-2</v>
      </c>
      <c r="S237" s="4">
        <f t="shared" si="28"/>
        <v>-1.3320189003865002E-2</v>
      </c>
      <c r="T237" s="4">
        <f t="shared" si="29"/>
        <v>-1.0123174521850076E-2</v>
      </c>
      <c r="U237" s="4">
        <f t="shared" si="30"/>
        <v>-7.7651049036238096E-3</v>
      </c>
      <c r="V237" s="4">
        <f t="shared" si="31"/>
        <v>-8.0900959018546104E-3</v>
      </c>
      <c r="W237" s="4">
        <f t="shared" si="32"/>
        <v>-1.5200929133730501E-2</v>
      </c>
    </row>
    <row r="238" spans="1:23" x14ac:dyDescent="0.25">
      <c r="A238" s="1">
        <v>44938</v>
      </c>
      <c r="B238">
        <v>5057.1298829999996</v>
      </c>
      <c r="C238">
        <v>10.230658999999999</v>
      </c>
      <c r="D238">
        <v>7.6851289999999999</v>
      </c>
      <c r="E238">
        <v>7.4870000000000006E-2</v>
      </c>
      <c r="F238">
        <v>13.672116000000001</v>
      </c>
      <c r="G238">
        <v>20.093678000000001</v>
      </c>
      <c r="H238">
        <v>9.8222330000000007</v>
      </c>
      <c r="I238">
        <v>44.844825999999998</v>
      </c>
      <c r="J238">
        <v>4.4573770000000001</v>
      </c>
      <c r="K238">
        <v>32.962032000000001</v>
      </c>
      <c r="L238">
        <v>26.232607000000002</v>
      </c>
      <c r="M238" s="4">
        <f t="shared" si="25"/>
        <v>3.7871951922872071E-3</v>
      </c>
      <c r="N238" s="4">
        <f t="shared" si="25"/>
        <v>-1.8620951057808366E-3</v>
      </c>
      <c r="O238" s="4">
        <f t="shared" si="26"/>
        <v>-6.0606648482472991E-3</v>
      </c>
      <c r="P238" s="4">
        <f t="shared" si="26"/>
        <v>-5.5887619479962569E-2</v>
      </c>
      <c r="Q238" s="4">
        <f t="shared" si="26"/>
        <v>1.3622864615971952E-3</v>
      </c>
      <c r="R238" s="4">
        <f t="shared" si="27"/>
        <v>-2.3419075842195936E-3</v>
      </c>
      <c r="S238" s="4">
        <f t="shared" si="28"/>
        <v>-1.2664374866621864E-2</v>
      </c>
      <c r="T238" s="4">
        <f t="shared" si="29"/>
        <v>2.8690059028277926E-3</v>
      </c>
      <c r="U238" s="4">
        <f t="shared" si="30"/>
        <v>-2.9035712360332422E-3</v>
      </c>
      <c r="V238" s="4">
        <f t="shared" si="31"/>
        <v>3.5917404508037265E-2</v>
      </c>
      <c r="W238" s="4">
        <f t="shared" si="32"/>
        <v>-3.9653276172775254E-3</v>
      </c>
    </row>
    <row r="239" spans="1:23" x14ac:dyDescent="0.25">
      <c r="A239" s="1">
        <v>44939</v>
      </c>
      <c r="B239">
        <v>5038.0498049999997</v>
      </c>
      <c r="C239">
        <v>10.249745000000001</v>
      </c>
      <c r="D239">
        <v>7.7319899999999997</v>
      </c>
      <c r="E239">
        <v>7.9301999999999997E-2</v>
      </c>
      <c r="F239">
        <v>13.653516</v>
      </c>
      <c r="G239">
        <v>20.140846</v>
      </c>
      <c r="H239">
        <v>9.9482210000000002</v>
      </c>
      <c r="I239">
        <v>44.716534000000003</v>
      </c>
      <c r="J239">
        <v>4.4703569999999999</v>
      </c>
      <c r="K239">
        <v>31.81917</v>
      </c>
      <c r="L239">
        <v>26.337042</v>
      </c>
      <c r="M239" s="4">
        <f t="shared" si="25"/>
        <v>-1.2786589354742972E-3</v>
      </c>
      <c r="N239" s="4">
        <f t="shared" si="25"/>
        <v>9.3984721758544332E-3</v>
      </c>
      <c r="O239" s="4">
        <f t="shared" si="26"/>
        <v>-4.8250345776126302E-3</v>
      </c>
      <c r="P239" s="4">
        <f t="shared" si="26"/>
        <v>-3.3950955670065341E-2</v>
      </c>
      <c r="Q239" s="4">
        <f t="shared" si="26"/>
        <v>2.1928378499044276E-2</v>
      </c>
      <c r="R239" s="4">
        <f t="shared" si="27"/>
        <v>-2.5114163097358144E-2</v>
      </c>
      <c r="S239" s="4">
        <f t="shared" si="28"/>
        <v>-8.2126700509111972E-3</v>
      </c>
      <c r="T239" s="4">
        <f t="shared" si="29"/>
        <v>3.543870654533654E-3</v>
      </c>
      <c r="U239" s="4">
        <f t="shared" si="30"/>
        <v>-3.6429876555207352E-3</v>
      </c>
      <c r="V239" s="4">
        <f t="shared" si="31"/>
        <v>1.581024425063382E-2</v>
      </c>
      <c r="W239" s="4">
        <f t="shared" si="32"/>
        <v>-1.7357453537222178E-2</v>
      </c>
    </row>
    <row r="240" spans="1:23" x14ac:dyDescent="0.25">
      <c r="A240" s="1">
        <v>44942</v>
      </c>
      <c r="B240">
        <v>5044.5</v>
      </c>
      <c r="C240">
        <v>10.154310000000001</v>
      </c>
      <c r="D240">
        <v>7.7694780000000003</v>
      </c>
      <c r="E240">
        <v>8.2088999999999995E-2</v>
      </c>
      <c r="F240">
        <v>13.360541</v>
      </c>
      <c r="G240">
        <v>20.659697000000001</v>
      </c>
      <c r="H240">
        <v>10.030599</v>
      </c>
      <c r="I240">
        <v>44.558624000000002</v>
      </c>
      <c r="J240">
        <v>4.4867020000000002</v>
      </c>
      <c r="K240">
        <v>31.323931000000002</v>
      </c>
      <c r="L240">
        <v>26.802261000000001</v>
      </c>
      <c r="M240" s="4">
        <f t="shared" si="25"/>
        <v>1.0087839663388554E-2</v>
      </c>
      <c r="N240" s="4">
        <f t="shared" si="25"/>
        <v>1.720836818172411E-2</v>
      </c>
      <c r="O240" s="4">
        <f t="shared" si="26"/>
        <v>-1.0739859688786102E-2</v>
      </c>
      <c r="P240" s="4">
        <f t="shared" si="26"/>
        <v>7.0045879437670155E-3</v>
      </c>
      <c r="Q240" s="4">
        <f t="shared" si="26"/>
        <v>3.3453212145739375E-2</v>
      </c>
      <c r="R240" s="4">
        <f t="shared" si="27"/>
        <v>6.8965628160611026E-3</v>
      </c>
      <c r="S240" s="4">
        <f t="shared" si="28"/>
        <v>1.2224989948994125E-2</v>
      </c>
      <c r="T240" s="4">
        <f t="shared" si="29"/>
        <v>1.1086002490132696E-3</v>
      </c>
      <c r="U240" s="4">
        <f t="shared" si="30"/>
        <v>3.7000039522795847E-2</v>
      </c>
      <c r="V240" s="4">
        <f t="shared" si="31"/>
        <v>9.1297882219532056E-4</v>
      </c>
      <c r="W240" s="4">
        <f t="shared" si="32"/>
        <v>-1.2246338249081612E-2</v>
      </c>
    </row>
    <row r="241" spans="1:23" x14ac:dyDescent="0.25">
      <c r="A241" s="1">
        <v>44943</v>
      </c>
      <c r="B241">
        <v>4994.1201170000004</v>
      </c>
      <c r="C241">
        <v>9.9825269999999993</v>
      </c>
      <c r="D241">
        <v>7.8538269999999999</v>
      </c>
      <c r="E241">
        <v>8.1517999999999993E-2</v>
      </c>
      <c r="F241">
        <v>12.928056</v>
      </c>
      <c r="G241">
        <v>20.518191999999999</v>
      </c>
      <c r="H241">
        <v>9.9094560000000005</v>
      </c>
      <c r="I241">
        <v>44.509281000000001</v>
      </c>
      <c r="J241">
        <v>4.3266169999999997</v>
      </c>
      <c r="K241">
        <v>31.295359000000001</v>
      </c>
      <c r="L241">
        <v>27.13456</v>
      </c>
      <c r="M241" s="4">
        <f t="shared" si="25"/>
        <v>-5.1534197865134024E-3</v>
      </c>
      <c r="N241" s="4">
        <f t="shared" si="25"/>
        <v>-1.6917249916538091E-2</v>
      </c>
      <c r="O241" s="4">
        <f t="shared" si="26"/>
        <v>-2.3809248592359111E-3</v>
      </c>
      <c r="P241" s="4">
        <f t="shared" si="26"/>
        <v>-4.0309858491676787E-2</v>
      </c>
      <c r="Q241" s="4">
        <f t="shared" si="26"/>
        <v>1.80180962066534E-3</v>
      </c>
      <c r="R241" s="4">
        <f t="shared" si="27"/>
        <v>3.5714345206044884E-2</v>
      </c>
      <c r="S241" s="4">
        <f t="shared" si="28"/>
        <v>-2.5726556868247763E-2</v>
      </c>
      <c r="T241" s="4">
        <f t="shared" si="29"/>
        <v>-1.8711842602099793E-2</v>
      </c>
      <c r="U241" s="4">
        <f t="shared" si="30"/>
        <v>5.1371772450437003E-3</v>
      </c>
      <c r="V241" s="4">
        <f t="shared" si="31"/>
        <v>-1.6167735770991953E-2</v>
      </c>
      <c r="W241" s="4">
        <f t="shared" si="32"/>
        <v>-5.5671186746161228E-3</v>
      </c>
    </row>
    <row r="242" spans="1:23" x14ac:dyDescent="0.25">
      <c r="A242" s="1">
        <v>44944</v>
      </c>
      <c r="B242">
        <v>5019.9902339999999</v>
      </c>
      <c r="C242">
        <v>10.154310000000001</v>
      </c>
      <c r="D242">
        <v>7.8725709999999998</v>
      </c>
      <c r="E242">
        <v>8.4942000000000004E-2</v>
      </c>
      <c r="F242">
        <v>12.904804</v>
      </c>
      <c r="G242">
        <v>19.810666999999999</v>
      </c>
      <c r="H242">
        <v>10.171124000000001</v>
      </c>
      <c r="I242">
        <v>45.358013</v>
      </c>
      <c r="J242">
        <v>4.3045039999999997</v>
      </c>
      <c r="K242">
        <v>31.809649</v>
      </c>
      <c r="L242">
        <v>27.286466999999998</v>
      </c>
      <c r="M242" s="4">
        <f t="shared" si="25"/>
        <v>1.2662342255860271E-2</v>
      </c>
      <c r="N242" s="4">
        <f t="shared" si="25"/>
        <v>-3.7453087981300648E-3</v>
      </c>
      <c r="O242" s="4">
        <f t="shared" si="26"/>
        <v>1.2048051826677231E-2</v>
      </c>
      <c r="P242" s="4">
        <f t="shared" si="26"/>
        <v>9.9758629299788737E-3</v>
      </c>
      <c r="Q242" s="4">
        <f t="shared" si="26"/>
        <v>-2.0127144705083033E-2</v>
      </c>
      <c r="R242" s="4">
        <f t="shared" si="27"/>
        <v>4.784663028836178E-3</v>
      </c>
      <c r="S242" s="4">
        <f t="shared" si="28"/>
        <v>2.9931441688981986E-2</v>
      </c>
      <c r="T242" s="4">
        <f t="shared" si="29"/>
        <v>3.211309360394754E-2</v>
      </c>
      <c r="U242" s="4">
        <f t="shared" si="30"/>
        <v>2.1330107725372249E-2</v>
      </c>
      <c r="V242" s="4">
        <f t="shared" si="31"/>
        <v>7.8456309441490291E-3</v>
      </c>
      <c r="W242" s="4">
        <f t="shared" si="32"/>
        <v>1.5188917300166027E-2</v>
      </c>
    </row>
    <row r="243" spans="1:23" x14ac:dyDescent="0.25">
      <c r="A243" s="1">
        <v>44945</v>
      </c>
      <c r="B243">
        <v>4957.2202150000003</v>
      </c>
      <c r="C243">
        <v>10.192484</v>
      </c>
      <c r="D243">
        <v>7.7788510000000004</v>
      </c>
      <c r="E243">
        <v>8.4102999999999997E-2</v>
      </c>
      <c r="F243">
        <v>13.169876</v>
      </c>
      <c r="G243">
        <v>19.716331</v>
      </c>
      <c r="H243">
        <v>9.8755349999999993</v>
      </c>
      <c r="I243">
        <v>43.946747000000002</v>
      </c>
      <c r="J243">
        <v>4.2146059999999999</v>
      </c>
      <c r="K243">
        <v>31.562024999999998</v>
      </c>
      <c r="L243">
        <v>26.878215999999998</v>
      </c>
      <c r="M243" s="4">
        <f t="shared" si="25"/>
        <v>-5.2034732066945644E-3</v>
      </c>
      <c r="N243" s="4">
        <f t="shared" si="25"/>
        <v>-7.4349254131336195E-3</v>
      </c>
      <c r="O243" s="4">
        <f t="shared" si="26"/>
        <v>-9.546428766510795E-3</v>
      </c>
      <c r="P243" s="4">
        <f t="shared" si="26"/>
        <v>-2.4338464750988997E-2</v>
      </c>
      <c r="Q243" s="4">
        <f t="shared" si="26"/>
        <v>-8.055986841441154E-3</v>
      </c>
      <c r="R243" s="4">
        <f t="shared" si="27"/>
        <v>-7.1259023390060072E-3</v>
      </c>
      <c r="S243" s="4">
        <f t="shared" si="28"/>
        <v>-2.4880348192167001E-2</v>
      </c>
      <c r="T243" s="4">
        <f t="shared" si="29"/>
        <v>-7.7986029312091532E-3</v>
      </c>
      <c r="U243" s="4">
        <f t="shared" si="30"/>
        <v>3.825214419726608E-2</v>
      </c>
      <c r="V243" s="4">
        <f t="shared" si="31"/>
        <v>-2.4083213278117688E-3</v>
      </c>
      <c r="W243" s="4">
        <f t="shared" si="32"/>
        <v>-1.6672495195625192E-2</v>
      </c>
    </row>
    <row r="244" spans="1:23" x14ac:dyDescent="0.25">
      <c r="A244" s="1">
        <v>44946</v>
      </c>
      <c r="B244">
        <v>4983.1499020000001</v>
      </c>
      <c r="C244">
        <v>10.268832</v>
      </c>
      <c r="D244">
        <v>7.8538269999999999</v>
      </c>
      <c r="E244">
        <v>8.6201E-2</v>
      </c>
      <c r="F244">
        <v>13.276833999999999</v>
      </c>
      <c r="G244">
        <v>19.857835999999999</v>
      </c>
      <c r="H244">
        <v>10.127511</v>
      </c>
      <c r="I244">
        <v>44.292164</v>
      </c>
      <c r="J244">
        <v>4.0593279999999998</v>
      </c>
      <c r="K244">
        <v>31.63822</v>
      </c>
      <c r="L244">
        <v>27.333940999999999</v>
      </c>
      <c r="M244" s="4">
        <f t="shared" si="25"/>
        <v>-7.6411361195767302E-3</v>
      </c>
      <c r="N244" s="4">
        <f t="shared" si="25"/>
        <v>-1.2844004594690817E-2</v>
      </c>
      <c r="O244" s="4">
        <f t="shared" si="26"/>
        <v>-1.192008342659534E-3</v>
      </c>
      <c r="P244" s="4">
        <f t="shared" si="26"/>
        <v>4.8844745984006899E-3</v>
      </c>
      <c r="Q244" s="4">
        <f t="shared" si="26"/>
        <v>-4.1856676547180616E-3</v>
      </c>
      <c r="R244" s="4">
        <f t="shared" si="27"/>
        <v>-1.8648016113717136E-2</v>
      </c>
      <c r="S244" s="4">
        <f t="shared" si="28"/>
        <v>-7.1258434641844337E-3</v>
      </c>
      <c r="T244" s="4">
        <f t="shared" si="29"/>
        <v>-1.5789353925388605E-2</v>
      </c>
      <c r="U244" s="4">
        <f t="shared" si="30"/>
        <v>-1.5736278401679016E-2</v>
      </c>
      <c r="V244" s="4">
        <f t="shared" si="31"/>
        <v>-1.4243180322638493E-2</v>
      </c>
      <c r="W244" s="4">
        <f t="shared" si="32"/>
        <v>-8.9499618357531396E-3</v>
      </c>
    </row>
    <row r="245" spans="1:23" x14ac:dyDescent="0.25">
      <c r="A245" s="1">
        <v>44949</v>
      </c>
      <c r="B245">
        <v>5021.5200199999999</v>
      </c>
      <c r="C245">
        <v>10.402441</v>
      </c>
      <c r="D245">
        <v>7.8632</v>
      </c>
      <c r="E245">
        <v>8.5781999999999997E-2</v>
      </c>
      <c r="F245">
        <v>13.33264</v>
      </c>
      <c r="G245">
        <v>20.235181999999998</v>
      </c>
      <c r="H245">
        <v>10.200196</v>
      </c>
      <c r="I245">
        <v>45.002727999999998</v>
      </c>
      <c r="J245">
        <v>4.1242279999999996</v>
      </c>
      <c r="K245">
        <v>32.095359999999999</v>
      </c>
      <c r="L245">
        <v>27.580787999999998</v>
      </c>
      <c r="M245" s="4">
        <f t="shared" si="25"/>
        <v>2.1633478129217121E-3</v>
      </c>
      <c r="N245" s="4">
        <f t="shared" si="25"/>
        <v>-1.8315930416736848E-3</v>
      </c>
      <c r="O245" s="4">
        <f t="shared" si="26"/>
        <v>2.3895860196789798E-3</v>
      </c>
      <c r="P245" s="4">
        <f t="shared" si="26"/>
        <v>-1.954624781849934E-3</v>
      </c>
      <c r="Q245" s="4">
        <f t="shared" si="26"/>
        <v>-5.2046667778409272E-3</v>
      </c>
      <c r="R245" s="4">
        <f t="shared" si="27"/>
        <v>-2.3256179719993719E-3</v>
      </c>
      <c r="S245" s="4">
        <f t="shared" si="28"/>
        <v>5.7332596204178188E-3</v>
      </c>
      <c r="T245" s="4">
        <f t="shared" si="29"/>
        <v>4.8478513658425371E-3</v>
      </c>
      <c r="U245" s="4">
        <f t="shared" si="30"/>
        <v>1.2629920184914933E-2</v>
      </c>
      <c r="V245" s="4">
        <f t="shared" si="31"/>
        <v>-8.2402123723387399E-3</v>
      </c>
      <c r="W245" s="4">
        <f t="shared" si="32"/>
        <v>1.1842548590534019E-2</v>
      </c>
    </row>
    <row r="246" spans="1:23" x14ac:dyDescent="0.25">
      <c r="A246" s="1">
        <v>44950</v>
      </c>
      <c r="B246">
        <v>5010.6801759999998</v>
      </c>
      <c r="C246">
        <v>10.421529</v>
      </c>
      <c r="D246">
        <v>7.844455</v>
      </c>
      <c r="E246">
        <v>8.5949999999999999E-2</v>
      </c>
      <c r="F246">
        <v>13.402395</v>
      </c>
      <c r="G246">
        <v>20.282350999999998</v>
      </c>
      <c r="H246">
        <v>10.142049</v>
      </c>
      <c r="I246">
        <v>44.785614000000002</v>
      </c>
      <c r="J246">
        <v>4.0727890000000002</v>
      </c>
      <c r="K246">
        <v>32.362029999999997</v>
      </c>
      <c r="L246">
        <v>27.257984</v>
      </c>
      <c r="M246" s="4">
        <f t="shared" si="25"/>
        <v>8.483473547296061E-3</v>
      </c>
      <c r="N246" s="4">
        <f t="shared" si="25"/>
        <v>2.247195090029086E-2</v>
      </c>
      <c r="O246" s="4">
        <f t="shared" si="26"/>
        <v>0</v>
      </c>
      <c r="P246" s="4">
        <f t="shared" si="26"/>
        <v>-1.0624705029180559E-2</v>
      </c>
      <c r="Q246" s="4">
        <f t="shared" si="26"/>
        <v>1.6937172935760803E-2</v>
      </c>
      <c r="R246" s="4">
        <f t="shared" si="27"/>
        <v>7.0257724030062807E-3</v>
      </c>
      <c r="S246" s="4">
        <f t="shared" si="28"/>
        <v>-2.85858278790041E-3</v>
      </c>
      <c r="T246" s="4">
        <f t="shared" si="29"/>
        <v>-1.3203752869951346E-3</v>
      </c>
      <c r="U246" s="4">
        <f t="shared" si="30"/>
        <v>5.5784968378065347E-3</v>
      </c>
      <c r="V246" s="4">
        <f t="shared" si="31"/>
        <v>1.3723152469966582E-2</v>
      </c>
      <c r="W246" s="4">
        <f t="shared" si="32"/>
        <v>3.1446088379603054E-3</v>
      </c>
    </row>
    <row r="247" spans="1:23" x14ac:dyDescent="0.25">
      <c r="A247" s="1">
        <v>44951</v>
      </c>
      <c r="B247">
        <v>4968.5297849999997</v>
      </c>
      <c r="C247">
        <v>10.192484</v>
      </c>
      <c r="D247">
        <v>7.844455</v>
      </c>
      <c r="E247">
        <v>8.6873000000000006E-2</v>
      </c>
      <c r="F247">
        <v>13.179176999999999</v>
      </c>
      <c r="G247">
        <v>20.140846</v>
      </c>
      <c r="H247">
        <v>10.171124000000001</v>
      </c>
      <c r="I247">
        <v>44.844825999999998</v>
      </c>
      <c r="J247">
        <v>4.0501950000000004</v>
      </c>
      <c r="K247">
        <v>31.923933000000002</v>
      </c>
      <c r="L247">
        <v>27.172536999999998</v>
      </c>
      <c r="M247" s="4">
        <f t="shared" si="25"/>
        <v>-7.7150260419990291E-3</v>
      </c>
      <c r="N247" s="4">
        <f t="shared" si="25"/>
        <v>-9.2764144041180829E-3</v>
      </c>
      <c r="O247" s="4">
        <f t="shared" si="26"/>
        <v>-9.4674719096015103E-3</v>
      </c>
      <c r="P247" s="4">
        <f t="shared" si="26"/>
        <v>-2.0818304779080088E-2</v>
      </c>
      <c r="Q247" s="4">
        <f t="shared" si="26"/>
        <v>2.3104667581618443E-2</v>
      </c>
      <c r="R247" s="4">
        <f t="shared" si="27"/>
        <v>0</v>
      </c>
      <c r="S247" s="4">
        <f t="shared" si="28"/>
        <v>1.49904609423539E-2</v>
      </c>
      <c r="T247" s="4">
        <f t="shared" si="29"/>
        <v>-2.1959561689872675E-3</v>
      </c>
      <c r="U247" s="4">
        <f t="shared" si="30"/>
        <v>-3.8351543229002916E-2</v>
      </c>
      <c r="V247" s="4">
        <f t="shared" si="31"/>
        <v>3.5927463393261583E-3</v>
      </c>
      <c r="W247" s="4">
        <f t="shared" si="32"/>
        <v>-1.3956737458176161E-3</v>
      </c>
    </row>
    <row r="248" spans="1:23" x14ac:dyDescent="0.25">
      <c r="A248" s="1">
        <v>44952</v>
      </c>
      <c r="B248">
        <v>5007.1601559999999</v>
      </c>
      <c r="C248">
        <v>10.287919</v>
      </c>
      <c r="D248">
        <v>7.9194319999999996</v>
      </c>
      <c r="E248">
        <v>8.8719999999999993E-2</v>
      </c>
      <c r="F248">
        <v>12.881553</v>
      </c>
      <c r="G248">
        <v>20.140846</v>
      </c>
      <c r="H248">
        <v>10.020906</v>
      </c>
      <c r="I248">
        <v>44.943519999999999</v>
      </c>
      <c r="J248">
        <v>4.2117209999999998</v>
      </c>
      <c r="K248">
        <v>31.809649</v>
      </c>
      <c r="L248">
        <v>27.210514</v>
      </c>
      <c r="M248" s="4">
        <f t="shared" si="25"/>
        <v>-1.2725305772711692E-3</v>
      </c>
      <c r="N248" s="4">
        <f t="shared" si="25"/>
        <v>-5.5351375679169035E-3</v>
      </c>
      <c r="O248" s="4">
        <f t="shared" si="26"/>
        <v>4.7563145280293817E-3</v>
      </c>
      <c r="P248" s="4">
        <f t="shared" si="26"/>
        <v>2.4231999168792706E-2</v>
      </c>
      <c r="Q248" s="4">
        <f t="shared" si="26"/>
        <v>8.3728694918108193E-3</v>
      </c>
      <c r="R248" s="4">
        <f t="shared" si="27"/>
        <v>-1.8390801684670777E-2</v>
      </c>
      <c r="S248" s="4">
        <f t="shared" si="28"/>
        <v>-3.2740977746752775E-2</v>
      </c>
      <c r="T248" s="4">
        <f t="shared" si="29"/>
        <v>-1.5346814003189824E-3</v>
      </c>
      <c r="U248" s="4">
        <f t="shared" si="30"/>
        <v>-2.732013357456875E-3</v>
      </c>
      <c r="V248" s="4">
        <f t="shared" si="31"/>
        <v>5.4184148160041357E-3</v>
      </c>
      <c r="W248" s="4">
        <f t="shared" si="32"/>
        <v>-1.5796689211284631E-2</v>
      </c>
    </row>
    <row r="249" spans="1:23" x14ac:dyDescent="0.25">
      <c r="A249" s="1">
        <v>44953</v>
      </c>
      <c r="B249">
        <v>5013.5400390000004</v>
      </c>
      <c r="C249">
        <v>10.345181</v>
      </c>
      <c r="D249">
        <v>7.8819429999999997</v>
      </c>
      <c r="E249">
        <v>8.6621000000000004E-2</v>
      </c>
      <c r="F249">
        <v>12.774592999999999</v>
      </c>
      <c r="G249">
        <v>20.518191999999999</v>
      </c>
      <c r="H249">
        <v>10.360106</v>
      </c>
      <c r="I249">
        <v>45.012599999999999</v>
      </c>
      <c r="J249">
        <v>4.2232589999999997</v>
      </c>
      <c r="K249">
        <v>31.63822</v>
      </c>
      <c r="L249">
        <v>27.647248999999999</v>
      </c>
      <c r="M249" s="4">
        <f t="shared" si="25"/>
        <v>5.5093923610485263E-3</v>
      </c>
      <c r="N249" s="4">
        <f t="shared" si="25"/>
        <v>-5.5044772664415431E-3</v>
      </c>
      <c r="O249" s="4">
        <f t="shared" si="26"/>
        <v>7.1855451856066566E-3</v>
      </c>
      <c r="P249" s="4">
        <f t="shared" si="26"/>
        <v>1.574849316353566E-2</v>
      </c>
      <c r="Q249" s="4">
        <f t="shared" si="26"/>
        <v>-1.50592409662057E-2</v>
      </c>
      <c r="R249" s="4">
        <f t="shared" si="27"/>
        <v>-4.576730755516234E-3</v>
      </c>
      <c r="S249" s="4">
        <f t="shared" si="28"/>
        <v>1.0397035158726142E-2</v>
      </c>
      <c r="T249" s="4">
        <f t="shared" si="29"/>
        <v>2.7483610403093994E-2</v>
      </c>
      <c r="U249" s="4">
        <f t="shared" si="30"/>
        <v>-7.2653471290620164E-3</v>
      </c>
      <c r="V249" s="4">
        <f t="shared" si="31"/>
        <v>-9.0214391178544684E-4</v>
      </c>
      <c r="W249" s="4">
        <f t="shared" si="32"/>
        <v>4.1378956165800673E-3</v>
      </c>
    </row>
    <row r="250" spans="1:23" x14ac:dyDescent="0.25">
      <c r="A250" s="1">
        <v>44956</v>
      </c>
      <c r="B250">
        <v>4986.0698240000002</v>
      </c>
      <c r="C250">
        <v>10.402441</v>
      </c>
      <c r="D250">
        <v>7.8257110000000001</v>
      </c>
      <c r="E250">
        <v>8.5278000000000007E-2</v>
      </c>
      <c r="F250">
        <v>12.96991</v>
      </c>
      <c r="G250">
        <v>20.61253</v>
      </c>
      <c r="H250">
        <v>10.253500000000001</v>
      </c>
      <c r="I250">
        <v>43.808582000000001</v>
      </c>
      <c r="J250">
        <v>4.2541669999999998</v>
      </c>
      <c r="K250">
        <v>31.666788</v>
      </c>
      <c r="L250">
        <v>27.533318999999999</v>
      </c>
      <c r="M250" s="4">
        <f t="shared" si="25"/>
        <v>9.6447225376918855E-3</v>
      </c>
      <c r="N250" s="4">
        <f t="shared" si="25"/>
        <v>1.8382306911619573E-3</v>
      </c>
      <c r="O250" s="4">
        <f t="shared" si="26"/>
        <v>2.4009323979465869E-3</v>
      </c>
      <c r="P250" s="4">
        <f t="shared" si="26"/>
        <v>-1.930839380383409E-2</v>
      </c>
      <c r="Q250" s="4">
        <f t="shared" si="26"/>
        <v>9.4101493820648585E-3</v>
      </c>
      <c r="R250" s="4">
        <f t="shared" si="27"/>
        <v>2.8235390012295802E-2</v>
      </c>
      <c r="S250" s="4">
        <f t="shared" si="28"/>
        <v>6.1816361228776984E-3</v>
      </c>
      <c r="T250" s="4">
        <f t="shared" si="29"/>
        <v>1.2776633541256466E-2</v>
      </c>
      <c r="U250" s="4">
        <f t="shared" si="30"/>
        <v>1.2179703143677223E-2</v>
      </c>
      <c r="V250" s="4">
        <f t="shared" si="31"/>
        <v>0</v>
      </c>
      <c r="W250" s="4">
        <f t="shared" si="32"/>
        <v>7.9944496330963677E-3</v>
      </c>
    </row>
    <row r="251" spans="1:23" x14ac:dyDescent="0.25">
      <c r="A251" s="1">
        <v>44957</v>
      </c>
      <c r="B251">
        <v>4938.4399409999996</v>
      </c>
      <c r="C251">
        <v>10.383354000000001</v>
      </c>
      <c r="D251">
        <v>7.8069670000000002</v>
      </c>
      <c r="E251">
        <v>8.6957000000000007E-2</v>
      </c>
      <c r="F251">
        <v>12.848998999999999</v>
      </c>
      <c r="G251">
        <v>20.046509</v>
      </c>
      <c r="H251">
        <v>10.190505999999999</v>
      </c>
      <c r="I251">
        <v>43.255916999999997</v>
      </c>
      <c r="J251">
        <v>4.2029759999999996</v>
      </c>
      <c r="K251">
        <v>31.666788</v>
      </c>
      <c r="L251">
        <v>27.314951000000001</v>
      </c>
      <c r="M251" s="4">
        <f t="shared" si="25"/>
        <v>-7.3626872176337788E-3</v>
      </c>
      <c r="N251" s="4">
        <f t="shared" si="25"/>
        <v>-1.0909158108825201E-2</v>
      </c>
      <c r="O251" s="4">
        <f t="shared" si="26"/>
        <v>-3.5884750678454314E-3</v>
      </c>
      <c r="P251" s="4">
        <f t="shared" si="26"/>
        <v>-1.0502958579881594E-2</v>
      </c>
      <c r="Q251" s="4">
        <f t="shared" si="26"/>
        <v>-8.6114780563166793E-3</v>
      </c>
      <c r="R251" s="4">
        <f t="shared" si="27"/>
        <v>-1.1627941948149756E-2</v>
      </c>
      <c r="S251" s="4">
        <f t="shared" si="28"/>
        <v>4.7778313829875962E-3</v>
      </c>
      <c r="T251" s="4">
        <f t="shared" si="29"/>
        <v>1.5758970848394283E-2</v>
      </c>
      <c r="U251" s="4">
        <f t="shared" si="30"/>
        <v>-2.9782724880924594E-3</v>
      </c>
      <c r="V251" s="4">
        <f t="shared" si="31"/>
        <v>-1.7725174370690988E-2</v>
      </c>
      <c r="W251" s="4">
        <f t="shared" si="32"/>
        <v>-1.8423767936347812E-2</v>
      </c>
    </row>
    <row r="252" spans="1:23" x14ac:dyDescent="0.25">
      <c r="A252" s="1">
        <v>44958</v>
      </c>
      <c r="B252">
        <v>4975.0698240000002</v>
      </c>
      <c r="C252">
        <v>10.497877000000001</v>
      </c>
      <c r="D252">
        <v>7.835083</v>
      </c>
      <c r="E252">
        <v>8.788E-2</v>
      </c>
      <c r="F252">
        <v>12.960609</v>
      </c>
      <c r="G252">
        <v>20.282350999999998</v>
      </c>
      <c r="H252">
        <v>10.142049</v>
      </c>
      <c r="I252">
        <v>42.584823999999998</v>
      </c>
      <c r="J252">
        <v>4.2155310000000004</v>
      </c>
      <c r="K252">
        <v>32.238216000000001</v>
      </c>
      <c r="L252">
        <v>27.827641</v>
      </c>
      <c r="M252" s="4">
        <f t="shared" si="25"/>
        <v>-1.701967269956528E-2</v>
      </c>
      <c r="N252" s="4">
        <f t="shared" si="25"/>
        <v>-5.4250351416499365E-3</v>
      </c>
      <c r="O252" s="4">
        <f t="shared" si="26"/>
        <v>1.1975908642678501E-3</v>
      </c>
      <c r="P252" s="4">
        <f t="shared" si="26"/>
        <v>-3.8575148239721746E-2</v>
      </c>
      <c r="Q252" s="4">
        <f t="shared" si="26"/>
        <v>-1.4846313364790809E-2</v>
      </c>
      <c r="R252" s="4">
        <f t="shared" si="27"/>
        <v>2.1377707017018244E-2</v>
      </c>
      <c r="S252" s="4">
        <f t="shared" si="28"/>
        <v>-2.3331780352981779E-2</v>
      </c>
      <c r="T252" s="4">
        <f t="shared" si="29"/>
        <v>3.4884120704048449E-3</v>
      </c>
      <c r="U252" s="4">
        <f t="shared" si="30"/>
        <v>-2.4802070166542345E-2</v>
      </c>
      <c r="V252" s="4">
        <f t="shared" si="31"/>
        <v>-6.1657203704233998E-3</v>
      </c>
      <c r="W252" s="4">
        <f t="shared" si="32"/>
        <v>-9.2569565835827317E-2</v>
      </c>
    </row>
    <row r="253" spans="1:23" x14ac:dyDescent="0.25">
      <c r="A253" s="1">
        <v>44959</v>
      </c>
      <c r="B253">
        <v>5061.2099609999996</v>
      </c>
      <c r="C253">
        <v>10.555139</v>
      </c>
      <c r="D253">
        <v>7.8257110000000001</v>
      </c>
      <c r="E253">
        <v>9.1406000000000001E-2</v>
      </c>
      <c r="F253">
        <v>13.155925999999999</v>
      </c>
      <c r="G253">
        <v>19.857835999999999</v>
      </c>
      <c r="H253">
        <v>10.384334000000001</v>
      </c>
      <c r="I253">
        <v>42.436787000000002</v>
      </c>
      <c r="J253">
        <v>4.3227440000000001</v>
      </c>
      <c r="K253">
        <v>32.438220999999999</v>
      </c>
      <c r="L253">
        <v>30.666418</v>
      </c>
      <c r="M253" s="4">
        <f t="shared" si="25"/>
        <v>6.6032616946287703E-4</v>
      </c>
      <c r="N253" s="4">
        <f t="shared" si="25"/>
        <v>9.1242561212547812E-3</v>
      </c>
      <c r="O253" s="4">
        <f t="shared" si="26"/>
        <v>2.4009323979465869E-3</v>
      </c>
      <c r="P253" s="4">
        <f t="shared" si="26"/>
        <v>1.8712316248175043E-2</v>
      </c>
      <c r="Q253" s="4">
        <f t="shared" si="26"/>
        <v>7.1200789226477657E-3</v>
      </c>
      <c r="R253" s="4">
        <f t="shared" si="27"/>
        <v>5.7789063037674726E-2</v>
      </c>
      <c r="S253" s="4">
        <f t="shared" si="28"/>
        <v>-7.4107252780192256E-3</v>
      </c>
      <c r="T253" s="4">
        <f t="shared" si="29"/>
        <v>6.7899887984947949E-3</v>
      </c>
      <c r="U253" s="4">
        <f t="shared" si="30"/>
        <v>7.4283303852133997E-3</v>
      </c>
      <c r="V253" s="4">
        <f t="shared" si="31"/>
        <v>-2.1826526739177954E-2</v>
      </c>
      <c r="W253" s="4">
        <f t="shared" si="32"/>
        <v>5.9171038641996354E-3</v>
      </c>
    </row>
    <row r="254" spans="1:23" x14ac:dyDescent="0.25">
      <c r="A254" s="1">
        <v>44960</v>
      </c>
      <c r="B254">
        <v>5057.8701170000004</v>
      </c>
      <c r="C254">
        <v>10.459702</v>
      </c>
      <c r="D254">
        <v>7.8069670000000002</v>
      </c>
      <c r="E254">
        <v>8.9727000000000001E-2</v>
      </c>
      <c r="F254">
        <v>13.062917000000001</v>
      </c>
      <c r="G254">
        <v>18.772964000000002</v>
      </c>
      <c r="H254">
        <v>10.461864</v>
      </c>
      <c r="I254">
        <v>42.150585</v>
      </c>
      <c r="J254">
        <v>4.29087</v>
      </c>
      <c r="K254">
        <v>33.162033000000001</v>
      </c>
      <c r="L254">
        <v>30.486028999999998</v>
      </c>
      <c r="M254" s="4">
        <f t="shared" si="25"/>
        <v>1.0006540517423002E-2</v>
      </c>
      <c r="N254" s="4">
        <f t="shared" si="25"/>
        <v>-1.0830298280043893E-2</v>
      </c>
      <c r="O254" s="4">
        <f t="shared" si="26"/>
        <v>-1.1862384642957635E-2</v>
      </c>
      <c r="P254" s="4">
        <f t="shared" si="26"/>
        <v>-9.2639621933174876E-3</v>
      </c>
      <c r="Q254" s="4">
        <f t="shared" si="26"/>
        <v>3.2142534588570637E-3</v>
      </c>
      <c r="R254" s="4">
        <f t="shared" si="27"/>
        <v>-1.728416879607142E-2</v>
      </c>
      <c r="S254" s="4">
        <f t="shared" si="28"/>
        <v>2.2253603095059082E-2</v>
      </c>
      <c r="T254" s="4">
        <f t="shared" si="29"/>
        <v>0</v>
      </c>
      <c r="U254" s="4">
        <f t="shared" si="30"/>
        <v>1.5196708306529194E-2</v>
      </c>
      <c r="V254" s="4">
        <f t="shared" si="31"/>
        <v>7.2317601161586698E-3</v>
      </c>
      <c r="W254" s="4">
        <f t="shared" si="32"/>
        <v>2.6206410757794396E-2</v>
      </c>
    </row>
    <row r="255" spans="1:23" x14ac:dyDescent="0.25">
      <c r="A255" s="1">
        <v>44963</v>
      </c>
      <c r="B255">
        <v>5007.7597660000001</v>
      </c>
      <c r="C255">
        <v>10.574223999999999</v>
      </c>
      <c r="D255">
        <v>7.9006879999999997</v>
      </c>
      <c r="E255">
        <v>9.0565999999999994E-2</v>
      </c>
      <c r="F255">
        <v>13.021064000000001</v>
      </c>
      <c r="G255">
        <v>19.103145999999999</v>
      </c>
      <c r="H255">
        <v>10.234118</v>
      </c>
      <c r="I255">
        <v>42.150585</v>
      </c>
      <c r="J255">
        <v>4.2266389999999996</v>
      </c>
      <c r="K255">
        <v>32.923935</v>
      </c>
      <c r="L255">
        <v>29.707502000000002</v>
      </c>
      <c r="M255" s="4">
        <f t="shared" si="25"/>
        <v>-5.7679863022286337E-4</v>
      </c>
      <c r="N255" s="4">
        <f t="shared" si="25"/>
        <v>2.5925760989586877E-2</v>
      </c>
      <c r="O255" s="4">
        <f t="shared" si="26"/>
        <v>9.5808546980586939E-3</v>
      </c>
      <c r="P255" s="4">
        <f t="shared" si="26"/>
        <v>1.9852932896410991E-2</v>
      </c>
      <c r="Q255" s="4">
        <f t="shared" si="26"/>
        <v>-3.5587341118101801E-3</v>
      </c>
      <c r="R255" s="4">
        <f t="shared" si="27"/>
        <v>1.8611879846840873E-2</v>
      </c>
      <c r="S255" s="4">
        <f t="shared" si="28"/>
        <v>9.0779486472605253E-3</v>
      </c>
      <c r="T255" s="4">
        <f t="shared" si="29"/>
        <v>-5.3562767908524878E-3</v>
      </c>
      <c r="U255" s="4">
        <f t="shared" si="30"/>
        <v>5.6300583205803889E-3</v>
      </c>
      <c r="V255" s="4">
        <f t="shared" si="31"/>
        <v>-2.2894391722067309E-2</v>
      </c>
      <c r="W255" s="4">
        <f t="shared" si="32"/>
        <v>-1.4798499900443463E-2</v>
      </c>
    </row>
    <row r="256" spans="1:23" x14ac:dyDescent="0.25">
      <c r="A256" s="1">
        <v>44964</v>
      </c>
      <c r="B256">
        <v>5010.6499020000001</v>
      </c>
      <c r="C256">
        <v>10.307007</v>
      </c>
      <c r="D256">
        <v>7.8257110000000001</v>
      </c>
      <c r="E256">
        <v>8.8803000000000007E-2</v>
      </c>
      <c r="F256">
        <v>13.067568</v>
      </c>
      <c r="G256">
        <v>18.754097000000002</v>
      </c>
      <c r="H256">
        <v>10.142049</v>
      </c>
      <c r="I256">
        <v>42.377571000000003</v>
      </c>
      <c r="J256">
        <v>4.2029759999999996</v>
      </c>
      <c r="K256">
        <v>33.695369999999997</v>
      </c>
      <c r="L256">
        <v>30.153732000000002</v>
      </c>
      <c r="M256" s="4">
        <f t="shared" si="25"/>
        <v>-6.2512807952924687E-3</v>
      </c>
      <c r="N256" s="4">
        <f t="shared" si="25"/>
        <v>-9.1741928649246018E-3</v>
      </c>
      <c r="O256" s="4">
        <f t="shared" si="26"/>
        <v>-5.9523121480897778E-3</v>
      </c>
      <c r="P256" s="4">
        <f t="shared" si="26"/>
        <v>2.6185331130036849E-2</v>
      </c>
      <c r="Q256" s="4">
        <f t="shared" si="26"/>
        <v>-7.1125588242881843E-4</v>
      </c>
      <c r="R256" s="4">
        <f t="shared" si="27"/>
        <v>-2.008159501621809E-3</v>
      </c>
      <c r="S256" s="4">
        <f t="shared" si="28"/>
        <v>4.8007686460875831E-3</v>
      </c>
      <c r="T256" s="4">
        <f t="shared" si="29"/>
        <v>-9.600003805635593E-2</v>
      </c>
      <c r="U256" s="4">
        <f t="shared" si="30"/>
        <v>-2.0637904032323462E-3</v>
      </c>
      <c r="V256" s="4">
        <f t="shared" si="31"/>
        <v>7.9773071635242943E-3</v>
      </c>
      <c r="W256" s="4">
        <f t="shared" si="32"/>
        <v>-1.2577626451449886E-3</v>
      </c>
    </row>
    <row r="257" spans="1:23" x14ac:dyDescent="0.25">
      <c r="A257" s="1">
        <v>44965</v>
      </c>
      <c r="B257">
        <v>5042.169922</v>
      </c>
      <c r="C257">
        <v>10.402441</v>
      </c>
      <c r="D257">
        <v>7.8725709999999998</v>
      </c>
      <c r="E257">
        <v>8.6537000000000003E-2</v>
      </c>
      <c r="F257">
        <v>13.076869</v>
      </c>
      <c r="G257">
        <v>18.791834000000001</v>
      </c>
      <c r="H257">
        <v>10.093591999999999</v>
      </c>
      <c r="I257">
        <v>46.877845999999998</v>
      </c>
      <c r="J257">
        <v>4.2116680000000004</v>
      </c>
      <c r="K257">
        <v>33.428699000000002</v>
      </c>
      <c r="L257">
        <v>30.191706</v>
      </c>
      <c r="M257" s="4">
        <f t="shared" si="25"/>
        <v>1.068117383957512E-3</v>
      </c>
      <c r="N257" s="4">
        <f t="shared" si="25"/>
        <v>7.3936967253731556E-3</v>
      </c>
      <c r="O257" s="4">
        <f t="shared" si="26"/>
        <v>1.1917539932850829E-3</v>
      </c>
      <c r="P257" s="4">
        <f t="shared" si="26"/>
        <v>9.7162620151980406E-4</v>
      </c>
      <c r="Q257" s="4">
        <f t="shared" si="26"/>
        <v>-9.1613148819444934E-3</v>
      </c>
      <c r="R257" s="4">
        <f t="shared" si="27"/>
        <v>-6.4836607361273835E-3</v>
      </c>
      <c r="S257" s="4">
        <f t="shared" si="28"/>
        <v>-3.825960353947333E-3</v>
      </c>
      <c r="T257" s="4">
        <f t="shared" si="29"/>
        <v>1.4957233868496678E-2</v>
      </c>
      <c r="U257" s="4">
        <f t="shared" si="30"/>
        <v>-6.8761528470528965E-4</v>
      </c>
      <c r="V257" s="4">
        <f t="shared" si="31"/>
        <v>0</v>
      </c>
      <c r="W257" s="4">
        <f t="shared" si="32"/>
        <v>-5.6285686168420224E-3</v>
      </c>
    </row>
    <row r="258" spans="1:23" x14ac:dyDescent="0.25">
      <c r="A258" s="1">
        <v>44966</v>
      </c>
      <c r="B258">
        <v>5036.7900390000004</v>
      </c>
      <c r="C258">
        <v>10.326093</v>
      </c>
      <c r="D258">
        <v>7.8632</v>
      </c>
      <c r="E258">
        <v>8.6453000000000002E-2</v>
      </c>
      <c r="F258">
        <v>13.197778</v>
      </c>
      <c r="G258">
        <v>18.914469</v>
      </c>
      <c r="H258">
        <v>10.132358</v>
      </c>
      <c r="I258">
        <v>46.187016</v>
      </c>
      <c r="J258">
        <v>4.2145659999999996</v>
      </c>
      <c r="K258">
        <v>33.428699000000002</v>
      </c>
      <c r="L258">
        <v>30.362604000000001</v>
      </c>
      <c r="M258" s="4">
        <f t="shared" si="25"/>
        <v>1.5203528484706741E-2</v>
      </c>
      <c r="N258" s="4">
        <f t="shared" si="25"/>
        <v>-5.5146920734860938E-3</v>
      </c>
      <c r="O258" s="4">
        <f t="shared" si="26"/>
        <v>-7.1005092284395221E-3</v>
      </c>
      <c r="P258" s="4">
        <f t="shared" si="26"/>
        <v>1.9793571217929795E-2</v>
      </c>
      <c r="Q258" s="4">
        <f t="shared" si="26"/>
        <v>8.5288527550615445E-3</v>
      </c>
      <c r="R258" s="4">
        <f t="shared" si="27"/>
        <v>2.4998272143175182E-3</v>
      </c>
      <c r="S258" s="4">
        <f t="shared" si="28"/>
        <v>1.1611051490201474E-2</v>
      </c>
      <c r="T258" s="4">
        <f t="shared" si="29"/>
        <v>-2.5575179142546256E-3</v>
      </c>
      <c r="U258" s="4">
        <f t="shared" si="30"/>
        <v>3.9112503471767646E-3</v>
      </c>
      <c r="V258" s="4">
        <f t="shared" si="31"/>
        <v>2.1239429661252585E-2</v>
      </c>
      <c r="W258" s="4">
        <f t="shared" si="32"/>
        <v>9.4697161119892126E-3</v>
      </c>
    </row>
    <row r="259" spans="1:23" x14ac:dyDescent="0.25">
      <c r="A259" s="1">
        <v>44967</v>
      </c>
      <c r="B259">
        <v>4961.3598629999997</v>
      </c>
      <c r="C259">
        <v>10.383354000000001</v>
      </c>
      <c r="D259">
        <v>7.9194319999999996</v>
      </c>
      <c r="E259">
        <v>8.4775000000000003E-2</v>
      </c>
      <c r="F259">
        <v>13.086168000000001</v>
      </c>
      <c r="G259">
        <v>18.867304000000001</v>
      </c>
      <c r="H259">
        <v>10.016061000000001</v>
      </c>
      <c r="I259">
        <v>46.305442999999997</v>
      </c>
      <c r="J259">
        <v>4.1981460000000004</v>
      </c>
      <c r="K259">
        <v>32.733459000000003</v>
      </c>
      <c r="L259">
        <v>30.077776</v>
      </c>
      <c r="M259" s="4">
        <f t="shared" si="25"/>
        <v>-1.1933197225734715E-2</v>
      </c>
      <c r="N259" s="4">
        <f t="shared" si="25"/>
        <v>-1.8348577992414183E-3</v>
      </c>
      <c r="O259" s="4">
        <f t="shared" si="26"/>
        <v>0</v>
      </c>
      <c r="P259" s="4">
        <f t="shared" si="26"/>
        <v>-2.3205705792208708E-2</v>
      </c>
      <c r="Q259" s="4">
        <f t="shared" si="26"/>
        <v>-9.503827280757271E-3</v>
      </c>
      <c r="R259" s="4">
        <f t="shared" si="27"/>
        <v>-4.975149566432524E-3</v>
      </c>
      <c r="S259" s="4">
        <f t="shared" si="28"/>
        <v>-6.7274566388003665E-3</v>
      </c>
      <c r="T259" s="4">
        <f t="shared" si="29"/>
        <v>-4.4557301576036989E-3</v>
      </c>
      <c r="U259" s="4">
        <f t="shared" si="30"/>
        <v>-6.8982852833709973E-4</v>
      </c>
      <c r="V259" s="4">
        <f t="shared" si="31"/>
        <v>-2.051872730083304E-2</v>
      </c>
      <c r="W259" s="4">
        <f t="shared" si="32"/>
        <v>-8.4508126887066215E-3</v>
      </c>
    </row>
    <row r="260" spans="1:23" x14ac:dyDescent="0.25">
      <c r="A260" s="1">
        <v>44970</v>
      </c>
      <c r="B260">
        <v>5021.2797849999997</v>
      </c>
      <c r="C260">
        <v>10.402441</v>
      </c>
      <c r="D260">
        <v>7.9194319999999996</v>
      </c>
      <c r="E260">
        <v>8.6789000000000005E-2</v>
      </c>
      <c r="F260">
        <v>13.211729999999999</v>
      </c>
      <c r="G260">
        <v>18.961641</v>
      </c>
      <c r="H260">
        <v>10.0839</v>
      </c>
      <c r="I260">
        <v>46.512690999999997</v>
      </c>
      <c r="J260">
        <v>4.2010439999999996</v>
      </c>
      <c r="K260">
        <v>33.419178000000002</v>
      </c>
      <c r="L260">
        <v>30.334123999999999</v>
      </c>
      <c r="M260" s="4">
        <f t="shared" si="25"/>
        <v>3.0669933666538363E-4</v>
      </c>
      <c r="N260" s="4">
        <f t="shared" si="25"/>
        <v>3.6832320124520201E-3</v>
      </c>
      <c r="O260" s="4">
        <f t="shared" si="26"/>
        <v>-1.182019381485655E-3</v>
      </c>
      <c r="P260" s="4">
        <f t="shared" si="26"/>
        <v>-2.1765103697024224E-2</v>
      </c>
      <c r="Q260" s="4">
        <f t="shared" si="26"/>
        <v>-1.6954971421020204E-2</v>
      </c>
      <c r="R260" s="4">
        <f t="shared" si="27"/>
        <v>-9.852059321647455E-3</v>
      </c>
      <c r="S260" s="4">
        <f t="shared" si="28"/>
        <v>-9.6021317287242614E-4</v>
      </c>
      <c r="T260" s="4">
        <f t="shared" si="29"/>
        <v>1.7926573550995917E-2</v>
      </c>
      <c r="U260" s="4">
        <f t="shared" si="30"/>
        <v>-3.2083967839156013E-3</v>
      </c>
      <c r="V260" s="4">
        <f t="shared" si="31"/>
        <v>6.3091898704630278E-3</v>
      </c>
      <c r="W260" s="4">
        <f t="shared" si="32"/>
        <v>3.7701285134210671E-3</v>
      </c>
    </row>
    <row r="261" spans="1:23" x14ac:dyDescent="0.25">
      <c r="A261" s="1">
        <v>44971</v>
      </c>
      <c r="B261">
        <v>5019.7402339999999</v>
      </c>
      <c r="C261">
        <v>10.364267</v>
      </c>
      <c r="D261">
        <v>7.9288040000000004</v>
      </c>
      <c r="E261">
        <v>8.8719999999999993E-2</v>
      </c>
      <c r="F261">
        <v>13.439598</v>
      </c>
      <c r="G261">
        <v>19.150310999999999</v>
      </c>
      <c r="H261">
        <v>10.093591999999999</v>
      </c>
      <c r="I261">
        <v>45.693562</v>
      </c>
      <c r="J261">
        <v>4.2145659999999996</v>
      </c>
      <c r="K261">
        <v>33.209651999999998</v>
      </c>
      <c r="L261">
        <v>30.220189999999999</v>
      </c>
      <c r="M261" s="4">
        <f t="shared" si="25"/>
        <v>2.872994428692488E-3</v>
      </c>
      <c r="N261" s="4">
        <f t="shared" si="25"/>
        <v>-3.6697155984830587E-3</v>
      </c>
      <c r="O261" s="4">
        <f t="shared" si="26"/>
        <v>8.3431681758063814E-3</v>
      </c>
      <c r="P261" s="4">
        <f t="shared" si="26"/>
        <v>-3.9088477076541506E-2</v>
      </c>
      <c r="Q261" s="4">
        <f t="shared" si="26"/>
        <v>-1.3822056441425978E-3</v>
      </c>
      <c r="R261" s="4">
        <f t="shared" si="27"/>
        <v>0</v>
      </c>
      <c r="S261" s="4">
        <f t="shared" si="28"/>
        <v>-1.5129890728079132E-2</v>
      </c>
      <c r="T261" s="4">
        <f t="shared" si="29"/>
        <v>2.004851873556257E-2</v>
      </c>
      <c r="U261" s="4">
        <f t="shared" si="30"/>
        <v>-9.5336620500464653E-3</v>
      </c>
      <c r="V261" s="4">
        <f t="shared" si="31"/>
        <v>1.3368147262578844E-2</v>
      </c>
      <c r="W261" s="4">
        <f t="shared" si="32"/>
        <v>-6.8642273626442485E-3</v>
      </c>
    </row>
    <row r="262" spans="1:23" x14ac:dyDescent="0.25">
      <c r="A262" s="1">
        <v>44972</v>
      </c>
      <c r="B262">
        <v>5005.3598629999997</v>
      </c>
      <c r="C262">
        <v>10.402441</v>
      </c>
      <c r="D262">
        <v>7.8632</v>
      </c>
      <c r="E262">
        <v>9.2328999999999994E-2</v>
      </c>
      <c r="F262">
        <v>13.4582</v>
      </c>
      <c r="G262">
        <v>19.150310999999999</v>
      </c>
      <c r="H262">
        <v>10.248652999999999</v>
      </c>
      <c r="I262">
        <v>44.795479</v>
      </c>
      <c r="J262">
        <v>4.2551329999999998</v>
      </c>
      <c r="K262">
        <v>32.771557000000001</v>
      </c>
      <c r="L262">
        <v>30.429061999999998</v>
      </c>
      <c r="M262" s="4">
        <f t="shared" ref="M262:N325" si="33">B262/B263-1</f>
        <v>-1.9441249077976064E-3</v>
      </c>
      <c r="N262" s="4">
        <f t="shared" si="33"/>
        <v>0</v>
      </c>
      <c r="O262" s="4">
        <f t="shared" ref="O262:Q325" si="34">D262/D263-1</f>
        <v>4.7904912409875156E-3</v>
      </c>
      <c r="P262" s="4">
        <f t="shared" si="34"/>
        <v>-6.4624954410990032E-2</v>
      </c>
      <c r="Q262" s="4">
        <f t="shared" si="34"/>
        <v>2.7719997255046813E-3</v>
      </c>
      <c r="R262" s="4">
        <f t="shared" si="27"/>
        <v>9.9500881806589003E-3</v>
      </c>
      <c r="S262" s="4">
        <f t="shared" si="28"/>
        <v>-4.727166333449162E-4</v>
      </c>
      <c r="T262" s="4">
        <f t="shared" si="29"/>
        <v>5.5382691269763029E-3</v>
      </c>
      <c r="U262" s="4">
        <f t="shared" si="30"/>
        <v>-9.7771847227939856E-3</v>
      </c>
      <c r="V262" s="4">
        <f t="shared" si="31"/>
        <v>4.378385210368263E-3</v>
      </c>
      <c r="W262" s="4">
        <f t="shared" si="32"/>
        <v>1.2495439863666746E-3</v>
      </c>
    </row>
    <row r="263" spans="1:23" x14ac:dyDescent="0.25">
      <c r="A263" s="1">
        <v>44973</v>
      </c>
      <c r="B263">
        <v>5015.1098629999997</v>
      </c>
      <c r="C263">
        <v>10.402441</v>
      </c>
      <c r="D263">
        <v>7.8257110000000001</v>
      </c>
      <c r="E263">
        <v>9.8708000000000004E-2</v>
      </c>
      <c r="F263">
        <v>13.420997</v>
      </c>
      <c r="G263">
        <v>18.961641</v>
      </c>
      <c r="H263">
        <v>10.253500000000001</v>
      </c>
      <c r="I263">
        <v>44.548755999999997</v>
      </c>
      <c r="J263">
        <v>4.2971469999999998</v>
      </c>
      <c r="K263">
        <v>32.628695999999998</v>
      </c>
      <c r="L263">
        <v>30.391086999999999</v>
      </c>
      <c r="M263" s="4">
        <f t="shared" si="33"/>
        <v>4.8287016315167186E-3</v>
      </c>
      <c r="N263" s="4">
        <f t="shared" si="33"/>
        <v>6.4453062444481013E-2</v>
      </c>
      <c r="O263" s="4">
        <f t="shared" si="34"/>
        <v>6.0240259133386154E-3</v>
      </c>
      <c r="P263" s="4">
        <f t="shared" si="34"/>
        <v>1.4668845920580598E-2</v>
      </c>
      <c r="Q263" s="4">
        <f t="shared" si="34"/>
        <v>0</v>
      </c>
      <c r="R263" s="4">
        <f t="shared" si="27"/>
        <v>-1.2284945092535859E-2</v>
      </c>
      <c r="S263" s="4">
        <f t="shared" si="28"/>
        <v>3.3203170659549253E-2</v>
      </c>
      <c r="T263" s="4">
        <f t="shared" si="29"/>
        <v>2.8883089358648917E-3</v>
      </c>
      <c r="U263" s="4">
        <f t="shared" si="30"/>
        <v>-1.9069266497528936E-3</v>
      </c>
      <c r="V263" s="4">
        <f t="shared" si="31"/>
        <v>5.8719311395036833E-3</v>
      </c>
      <c r="W263" s="4">
        <f t="shared" si="32"/>
        <v>5.0235158493052712E-3</v>
      </c>
    </row>
    <row r="264" spans="1:23" x14ac:dyDescent="0.25">
      <c r="A264" s="1">
        <v>44974</v>
      </c>
      <c r="B264">
        <v>4991.0097660000001</v>
      </c>
      <c r="C264">
        <v>9.7725690000000007</v>
      </c>
      <c r="D264">
        <v>7.7788510000000004</v>
      </c>
      <c r="E264">
        <v>9.7281000000000006E-2</v>
      </c>
      <c r="F264">
        <v>13.420997</v>
      </c>
      <c r="G264">
        <v>19.197481</v>
      </c>
      <c r="H264">
        <v>9.9239920000000001</v>
      </c>
      <c r="I264">
        <v>44.420456000000001</v>
      </c>
      <c r="J264">
        <v>4.3053569999999999</v>
      </c>
      <c r="K264">
        <v>32.438220999999999</v>
      </c>
      <c r="L264">
        <v>30.239180000000001</v>
      </c>
      <c r="M264" s="4">
        <f t="shared" si="33"/>
        <v>-4.6170025048557495E-3</v>
      </c>
      <c r="N264" s="4">
        <f t="shared" si="33"/>
        <v>-1.3487441877180095E-2</v>
      </c>
      <c r="O264" s="4">
        <f t="shared" si="34"/>
        <v>0</v>
      </c>
      <c r="P264" s="4">
        <f t="shared" si="34"/>
        <v>1.7299434679187708E-3</v>
      </c>
      <c r="Q264" s="4">
        <f t="shared" si="34"/>
        <v>5.5749067308648037E-3</v>
      </c>
      <c r="R264" s="4">
        <f t="shared" si="27"/>
        <v>-7.3170334430685546E-3</v>
      </c>
      <c r="S264" s="4">
        <f t="shared" si="28"/>
        <v>-1.0149862075184091E-2</v>
      </c>
      <c r="T264" s="4">
        <f t="shared" si="29"/>
        <v>-6.6212197931083683E-3</v>
      </c>
      <c r="U264" s="4">
        <f t="shared" si="30"/>
        <v>5.6399929832937623E-3</v>
      </c>
      <c r="V264" s="4">
        <f t="shared" si="31"/>
        <v>-1.2180867665204431E-2</v>
      </c>
      <c r="W264" s="4">
        <f t="shared" si="32"/>
        <v>-2.8178085872048175E-3</v>
      </c>
    </row>
    <row r="265" spans="1:23" x14ac:dyDescent="0.25">
      <c r="A265" s="1">
        <v>44977</v>
      </c>
      <c r="B265">
        <v>5014.1601559999999</v>
      </c>
      <c r="C265">
        <v>9.9061780000000006</v>
      </c>
      <c r="D265">
        <v>7.7788510000000004</v>
      </c>
      <c r="E265">
        <v>9.7113000000000005E-2</v>
      </c>
      <c r="F265">
        <v>13.346591</v>
      </c>
      <c r="G265">
        <v>19.338985000000001</v>
      </c>
      <c r="H265">
        <v>10.025752000000001</v>
      </c>
      <c r="I265">
        <v>44.716534000000003</v>
      </c>
      <c r="J265">
        <v>4.2812109999999999</v>
      </c>
      <c r="K265">
        <v>32.838219000000002</v>
      </c>
      <c r="L265">
        <v>30.324629000000002</v>
      </c>
      <c r="M265" s="4">
        <f t="shared" si="33"/>
        <v>3.2273459130656157E-3</v>
      </c>
      <c r="N265" s="4">
        <f t="shared" si="33"/>
        <v>-1.1428542916163464E-2</v>
      </c>
      <c r="O265" s="4">
        <f t="shared" si="34"/>
        <v>4.8426878887721792E-3</v>
      </c>
      <c r="P265" s="4">
        <f t="shared" si="34"/>
        <v>-2.2801597923102324E-2</v>
      </c>
      <c r="Q265" s="4">
        <f t="shared" si="34"/>
        <v>-2.4330407410997346E-3</v>
      </c>
      <c r="R265" s="4">
        <f t="shared" si="27"/>
        <v>1.2345558160943959E-2</v>
      </c>
      <c r="S265" s="4">
        <f t="shared" si="28"/>
        <v>1.9370662824849116E-3</v>
      </c>
      <c r="T265" s="4">
        <f t="shared" si="29"/>
        <v>1.9118406556885237E-2</v>
      </c>
      <c r="U265" s="4">
        <f t="shared" si="30"/>
        <v>4.6463483573868647E-3</v>
      </c>
      <c r="V265" s="4">
        <f t="shared" si="31"/>
        <v>7.8923416837222149E-3</v>
      </c>
      <c r="W265" s="4">
        <f t="shared" si="32"/>
        <v>1.0120246251841936E-2</v>
      </c>
    </row>
    <row r="266" spans="1:23" x14ac:dyDescent="0.25">
      <c r="A266" s="1">
        <v>44978</v>
      </c>
      <c r="B266">
        <v>4998.0297849999997</v>
      </c>
      <c r="C266">
        <v>10.0207</v>
      </c>
      <c r="D266">
        <v>7.7413619999999996</v>
      </c>
      <c r="E266">
        <v>9.9378999999999995E-2</v>
      </c>
      <c r="F266">
        <v>13.379142999999999</v>
      </c>
      <c r="G266">
        <v>19.103145999999999</v>
      </c>
      <c r="H266">
        <v>10.006368999999999</v>
      </c>
      <c r="I266">
        <v>43.877662999999998</v>
      </c>
      <c r="J266">
        <v>4.2614109999999998</v>
      </c>
      <c r="K266">
        <v>32.581077999999998</v>
      </c>
      <c r="L266">
        <v>30.020810999999998</v>
      </c>
      <c r="M266" s="4">
        <f t="shared" si="33"/>
        <v>-7.0042295342687133E-5</v>
      </c>
      <c r="N266" s="4">
        <f t="shared" si="33"/>
        <v>1.3513479343924217E-2</v>
      </c>
      <c r="O266" s="4">
        <f t="shared" si="34"/>
        <v>3.6452880726594028E-3</v>
      </c>
      <c r="P266" s="4">
        <f t="shared" si="34"/>
        <v>3.5866914048656495E-2</v>
      </c>
      <c r="Q266" s="4">
        <f t="shared" si="34"/>
        <v>2.0574591313026414E-2</v>
      </c>
      <c r="R266" s="4">
        <f t="shared" si="27"/>
        <v>-7.3527975154444869E-3</v>
      </c>
      <c r="S266" s="4">
        <f t="shared" si="28"/>
        <v>1.9753089439320526E-2</v>
      </c>
      <c r="T266" s="4">
        <f t="shared" si="29"/>
        <v>4.7458450699227051E-3</v>
      </c>
      <c r="U266" s="4">
        <f t="shared" si="30"/>
        <v>6.8051923288714455E-4</v>
      </c>
      <c r="V266" s="4">
        <f t="shared" si="31"/>
        <v>-2.3330487310497805E-3</v>
      </c>
      <c r="W266" s="4">
        <f t="shared" si="32"/>
        <v>7.0063880787081256E-3</v>
      </c>
    </row>
    <row r="267" spans="1:23" x14ac:dyDescent="0.25">
      <c r="A267" s="1">
        <v>44979</v>
      </c>
      <c r="B267">
        <v>4998.3798829999996</v>
      </c>
      <c r="C267">
        <v>9.8870909999999999</v>
      </c>
      <c r="D267">
        <v>7.7132449999999997</v>
      </c>
      <c r="E267">
        <v>9.5937999999999996E-2</v>
      </c>
      <c r="F267">
        <v>13.109422</v>
      </c>
      <c r="G267">
        <v>19.244648000000002</v>
      </c>
      <c r="H267">
        <v>9.8125409999999995</v>
      </c>
      <c r="I267">
        <v>43.670409999999997</v>
      </c>
      <c r="J267">
        <v>4.2585129999999998</v>
      </c>
      <c r="K267">
        <v>32.657268999999999</v>
      </c>
      <c r="L267">
        <v>29.811937</v>
      </c>
      <c r="M267" s="4">
        <f t="shared" si="33"/>
        <v>1.2499140306083678E-3</v>
      </c>
      <c r="N267" s="4">
        <f t="shared" si="33"/>
        <v>-3.8461441583674816E-3</v>
      </c>
      <c r="O267" s="4">
        <f t="shared" si="34"/>
        <v>-3.6320482106378948E-3</v>
      </c>
      <c r="P267" s="4">
        <f t="shared" si="34"/>
        <v>-1.6353439348733234E-2</v>
      </c>
      <c r="Q267" s="4">
        <f t="shared" si="34"/>
        <v>-2.123872411154637E-3</v>
      </c>
      <c r="R267" s="4">
        <f t="shared" si="27"/>
        <v>9.9008830667670633E-3</v>
      </c>
      <c r="S267" s="4">
        <f t="shared" si="28"/>
        <v>0</v>
      </c>
      <c r="T267" s="4">
        <f t="shared" si="29"/>
        <v>-1.2937851583908033E-2</v>
      </c>
      <c r="U267" s="4">
        <f t="shared" si="30"/>
        <v>2.2689121224028774E-4</v>
      </c>
      <c r="V267" s="4">
        <f t="shared" si="31"/>
        <v>1.7507483947835523E-2</v>
      </c>
      <c r="W267" s="4">
        <f t="shared" si="32"/>
        <v>6.7328525463519195E-3</v>
      </c>
    </row>
    <row r="268" spans="1:23" x14ac:dyDescent="0.25">
      <c r="A268" s="1">
        <v>44980</v>
      </c>
      <c r="B268">
        <v>4992.1401370000003</v>
      </c>
      <c r="C268">
        <v>9.9252649999999996</v>
      </c>
      <c r="D268">
        <v>7.7413619999999996</v>
      </c>
      <c r="E268">
        <v>9.7532999999999995E-2</v>
      </c>
      <c r="F268">
        <v>13.137324</v>
      </c>
      <c r="G268">
        <v>19.055976999999999</v>
      </c>
      <c r="H268">
        <v>9.8125409999999995</v>
      </c>
      <c r="I268">
        <v>44.242817000000002</v>
      </c>
      <c r="J268">
        <v>4.2575469999999997</v>
      </c>
      <c r="K268">
        <v>32.095359999999999</v>
      </c>
      <c r="L268">
        <v>29.612559999999998</v>
      </c>
      <c r="M268" s="4">
        <f t="shared" si="33"/>
        <v>6.2445033068592171E-3</v>
      </c>
      <c r="N268" s="4">
        <f t="shared" si="33"/>
        <v>1.9267774110256486E-3</v>
      </c>
      <c r="O268" s="4">
        <f t="shared" si="34"/>
        <v>8.5471711190401312E-3</v>
      </c>
      <c r="P268" s="4">
        <f t="shared" si="34"/>
        <v>3.8424683786891567E-2</v>
      </c>
      <c r="Q268" s="4">
        <f t="shared" si="34"/>
        <v>-3.1756914714780038E-3</v>
      </c>
      <c r="R268" s="4">
        <f t="shared" si="27"/>
        <v>2.4815340847814671E-3</v>
      </c>
      <c r="S268" s="4">
        <f t="shared" si="28"/>
        <v>3.9662255406711644E-3</v>
      </c>
      <c r="T268" s="4">
        <f t="shared" si="29"/>
        <v>6.2850829736578184E-3</v>
      </c>
      <c r="U268" s="4">
        <f t="shared" si="30"/>
        <v>1.2983895220910258E-2</v>
      </c>
      <c r="V268" s="4">
        <f t="shared" si="31"/>
        <v>1.4143789915368687E-2</v>
      </c>
      <c r="W268" s="4">
        <f t="shared" si="32"/>
        <v>8.0801481412691167E-3</v>
      </c>
    </row>
    <row r="269" spans="1:23" x14ac:dyDescent="0.25">
      <c r="A269" s="1">
        <v>44981</v>
      </c>
      <c r="B269">
        <v>4961.1601559999999</v>
      </c>
      <c r="C269">
        <v>9.9061780000000006</v>
      </c>
      <c r="D269">
        <v>7.6757559999999998</v>
      </c>
      <c r="E269">
        <v>9.3923999999999994E-2</v>
      </c>
      <c r="F269">
        <v>13.179176999999999</v>
      </c>
      <c r="G269">
        <v>19.008806</v>
      </c>
      <c r="H269">
        <v>9.7737759999999998</v>
      </c>
      <c r="I269">
        <v>43.966484000000001</v>
      </c>
      <c r="J269">
        <v>4.2029759999999996</v>
      </c>
      <c r="K269">
        <v>31.647741</v>
      </c>
      <c r="L269">
        <v>29.375204</v>
      </c>
      <c r="M269" s="4">
        <f t="shared" si="33"/>
        <v>-1.369561965997268E-2</v>
      </c>
      <c r="N269" s="4">
        <f t="shared" si="33"/>
        <v>-3.8387619424573582E-3</v>
      </c>
      <c r="O269" s="4">
        <f t="shared" si="34"/>
        <v>-1.0869696883006541E-2</v>
      </c>
      <c r="P269" s="4">
        <f t="shared" si="34"/>
        <v>-2.1849159567599141E-2</v>
      </c>
      <c r="Q269" s="4">
        <f t="shared" si="34"/>
        <v>-2.3432127221395316E-2</v>
      </c>
      <c r="R269" s="4">
        <f t="shared" si="27"/>
        <v>-9.8281123445310703E-3</v>
      </c>
      <c r="S269" s="4">
        <f t="shared" si="28"/>
        <v>1.2753484308281937E-2</v>
      </c>
      <c r="T269" s="4">
        <f t="shared" si="29"/>
        <v>-1.219514195252891E-2</v>
      </c>
      <c r="U269" s="4">
        <f t="shared" si="30"/>
        <v>-2.2134597205797135E-2</v>
      </c>
      <c r="V269" s="4">
        <f t="shared" si="31"/>
        <v>-2.2071823059307438E-2</v>
      </c>
      <c r="W269" s="4">
        <f t="shared" si="32"/>
        <v>-6.1033794855680501E-3</v>
      </c>
    </row>
    <row r="270" spans="1:23" x14ac:dyDescent="0.25">
      <c r="A270" s="1">
        <v>44984</v>
      </c>
      <c r="B270">
        <v>5030.0498049999997</v>
      </c>
      <c r="C270">
        <v>9.9443520000000003</v>
      </c>
      <c r="D270">
        <v>7.7601060000000004</v>
      </c>
      <c r="E270">
        <v>9.6021999999999996E-2</v>
      </c>
      <c r="F270">
        <v>13.495403</v>
      </c>
      <c r="G270">
        <v>19.197481</v>
      </c>
      <c r="H270">
        <v>9.6506959999999999</v>
      </c>
      <c r="I270">
        <v>44.509281000000001</v>
      </c>
      <c r="J270">
        <v>4.2981129999999999</v>
      </c>
      <c r="K270">
        <v>32.362029999999997</v>
      </c>
      <c r="L270">
        <v>29.555592999999998</v>
      </c>
      <c r="M270" s="4">
        <f t="shared" si="33"/>
        <v>6.0270000675255453E-4</v>
      </c>
      <c r="N270" s="4">
        <f t="shared" si="33"/>
        <v>0</v>
      </c>
      <c r="O270" s="4">
        <f t="shared" si="34"/>
        <v>3.6363213092620583E-3</v>
      </c>
      <c r="P270" s="4">
        <f t="shared" si="34"/>
        <v>9.7056751385398154E-3</v>
      </c>
      <c r="Q270" s="4">
        <f t="shared" si="34"/>
        <v>3.4578295219556132E-3</v>
      </c>
      <c r="R270" s="4">
        <f t="shared" si="27"/>
        <v>-1.2135958425638305E-2</v>
      </c>
      <c r="S270" s="4">
        <f t="shared" si="28"/>
        <v>-1.2103065535324697E-2</v>
      </c>
      <c r="T270" s="4">
        <f t="shared" si="29"/>
        <v>-1.2913105920303924E-2</v>
      </c>
      <c r="U270" s="4">
        <f t="shared" si="30"/>
        <v>1.6097559822412233E-2</v>
      </c>
      <c r="V270" s="4">
        <f t="shared" si="31"/>
        <v>-9.6182498401977679E-3</v>
      </c>
      <c r="W270" s="4">
        <f t="shared" si="32"/>
        <v>-4.4771524932892826E-3</v>
      </c>
    </row>
    <row r="271" spans="1:23" x14ac:dyDescent="0.25">
      <c r="A271" s="1">
        <v>44985</v>
      </c>
      <c r="B271">
        <v>5027.0200199999999</v>
      </c>
      <c r="C271">
        <v>9.9443520000000003</v>
      </c>
      <c r="D271">
        <v>7.7319899999999997</v>
      </c>
      <c r="E271">
        <v>9.5099000000000003E-2</v>
      </c>
      <c r="F271">
        <v>13.448899000000001</v>
      </c>
      <c r="G271">
        <v>19.433323000000001</v>
      </c>
      <c r="H271">
        <v>9.7689299999999992</v>
      </c>
      <c r="I271">
        <v>45.091552999999998</v>
      </c>
      <c r="J271">
        <v>4.2300199999999997</v>
      </c>
      <c r="K271">
        <v>32.676318999999999</v>
      </c>
      <c r="L271">
        <v>29.688513</v>
      </c>
      <c r="M271" s="4">
        <f t="shared" si="33"/>
        <v>2.1330769120433413E-3</v>
      </c>
      <c r="N271" s="4">
        <f t="shared" si="33"/>
        <v>0</v>
      </c>
      <c r="O271" s="4">
        <f t="shared" si="34"/>
        <v>1.4760239616018023E-2</v>
      </c>
      <c r="P271" s="4">
        <f t="shared" si="34"/>
        <v>2.07260003434655E-2</v>
      </c>
      <c r="Q271" s="4">
        <f t="shared" si="34"/>
        <v>1.2605066376237373E-2</v>
      </c>
      <c r="R271" s="4">
        <f t="shared" si="27"/>
        <v>1.4778454511783279E-2</v>
      </c>
      <c r="S271" s="4">
        <f t="shared" si="28"/>
        <v>3.4843312949857097E-3</v>
      </c>
      <c r="T271" s="4">
        <f t="shared" si="29"/>
        <v>4.8383450398874484E-3</v>
      </c>
      <c r="U271" s="4">
        <f t="shared" si="30"/>
        <v>5.3948806390382575E-3</v>
      </c>
      <c r="V271" s="4">
        <f t="shared" si="31"/>
        <v>-2.4452517534888751E-2</v>
      </c>
      <c r="W271" s="4">
        <f t="shared" si="32"/>
        <v>-5.4071508944949498E-3</v>
      </c>
    </row>
    <row r="272" spans="1:23" x14ac:dyDescent="0.25">
      <c r="A272" s="1">
        <v>44986</v>
      </c>
      <c r="B272">
        <v>5016.3198240000002</v>
      </c>
      <c r="C272">
        <v>9.9443520000000003</v>
      </c>
      <c r="D272">
        <v>7.6195240000000002</v>
      </c>
      <c r="E272">
        <v>9.3168000000000001E-2</v>
      </c>
      <c r="F272">
        <v>13.281485</v>
      </c>
      <c r="G272">
        <v>19.150310999999999</v>
      </c>
      <c r="H272">
        <v>9.7350100000000008</v>
      </c>
      <c r="I272">
        <v>44.874434999999998</v>
      </c>
      <c r="J272">
        <v>4.2073219999999996</v>
      </c>
      <c r="K272">
        <v>33.495365</v>
      </c>
      <c r="L272">
        <v>29.849916</v>
      </c>
      <c r="M272" s="4">
        <f t="shared" si="33"/>
        <v>2.0614910107870088E-3</v>
      </c>
      <c r="N272" s="4">
        <f t="shared" si="33"/>
        <v>1.1650455806458515E-2</v>
      </c>
      <c r="O272" s="4">
        <f t="shared" si="34"/>
        <v>9.9377722827134196E-3</v>
      </c>
      <c r="P272" s="4">
        <f t="shared" si="34"/>
        <v>3.6194415718717732E-3</v>
      </c>
      <c r="Q272" s="4">
        <f t="shared" si="34"/>
        <v>-2.3923474161704261E-2</v>
      </c>
      <c r="R272" s="4">
        <f t="shared" si="27"/>
        <v>-9.7561480088020902E-3</v>
      </c>
      <c r="S272" s="4">
        <f t="shared" si="28"/>
        <v>6.9166361799308795E-3</v>
      </c>
      <c r="T272" s="4">
        <f t="shared" si="29"/>
        <v>5.5285608662671848E-3</v>
      </c>
      <c r="U272" s="4">
        <f t="shared" si="30"/>
        <v>-4.4567676969881065E-3</v>
      </c>
      <c r="V272" s="4">
        <f t="shared" si="31"/>
        <v>2.2797388972284338E-3</v>
      </c>
      <c r="W272" s="4">
        <f t="shared" si="32"/>
        <v>-3.1705943247219981E-3</v>
      </c>
    </row>
    <row r="273" spans="1:23" x14ac:dyDescent="0.25">
      <c r="A273" s="1">
        <v>44987</v>
      </c>
      <c r="B273">
        <v>5006</v>
      </c>
      <c r="C273">
        <v>9.8298299999999994</v>
      </c>
      <c r="D273">
        <v>7.5445479999999998</v>
      </c>
      <c r="E273">
        <v>9.2831999999999998E-2</v>
      </c>
      <c r="F273">
        <v>13.607011999999999</v>
      </c>
      <c r="G273">
        <v>19.338985000000001</v>
      </c>
      <c r="H273">
        <v>9.668139</v>
      </c>
      <c r="I273">
        <v>44.627707999999998</v>
      </c>
      <c r="J273">
        <v>4.2261569999999997</v>
      </c>
      <c r="K273">
        <v>33.419178000000002</v>
      </c>
      <c r="L273">
        <v>29.944859000000001</v>
      </c>
      <c r="M273" s="4">
        <f t="shared" si="33"/>
        <v>-1.2220013664213436E-2</v>
      </c>
      <c r="N273" s="4">
        <f t="shared" si="33"/>
        <v>-1.7175529587077687E-2</v>
      </c>
      <c r="O273" s="4">
        <f t="shared" si="34"/>
        <v>-1.8292601204221826E-2</v>
      </c>
      <c r="P273" s="4">
        <f t="shared" si="34"/>
        <v>-2.9826724912735414E-2</v>
      </c>
      <c r="Q273" s="4">
        <f t="shared" si="34"/>
        <v>-1.3486162247054345E-2</v>
      </c>
      <c r="R273" s="4">
        <f t="shared" si="27"/>
        <v>-4.8544451198593297E-3</v>
      </c>
      <c r="S273" s="4">
        <f t="shared" si="28"/>
        <v>-3.0515072075073979E-2</v>
      </c>
      <c r="T273" s="4">
        <f t="shared" si="29"/>
        <v>2.4384562598340764E-3</v>
      </c>
      <c r="U273" s="4">
        <f t="shared" si="30"/>
        <v>-4.4337389283725326E-2</v>
      </c>
      <c r="V273" s="4">
        <f t="shared" si="31"/>
        <v>-7.6357801889473942E-3</v>
      </c>
      <c r="W273" s="4">
        <f t="shared" si="32"/>
        <v>-9.7331012282740881E-3</v>
      </c>
    </row>
    <row r="274" spans="1:23" x14ac:dyDescent="0.25">
      <c r="A274" s="1">
        <v>44988</v>
      </c>
      <c r="B274">
        <v>5067.9301759999998</v>
      </c>
      <c r="C274">
        <v>10.001613000000001</v>
      </c>
      <c r="D274">
        <v>7.6851289999999999</v>
      </c>
      <c r="E274">
        <v>9.5685999999999993E-2</v>
      </c>
      <c r="F274">
        <v>13.793027</v>
      </c>
      <c r="G274">
        <v>19.433323000000001</v>
      </c>
      <c r="H274">
        <v>9.9724489999999992</v>
      </c>
      <c r="I274">
        <v>44.519150000000003</v>
      </c>
      <c r="J274">
        <v>4.4222270000000004</v>
      </c>
      <c r="K274">
        <v>33.676322999999996</v>
      </c>
      <c r="L274">
        <v>30.239180000000001</v>
      </c>
      <c r="M274" s="4">
        <f t="shared" si="33"/>
        <v>4.8100399858006515E-3</v>
      </c>
      <c r="N274" s="4">
        <f t="shared" si="33"/>
        <v>5.7581429136861484E-3</v>
      </c>
      <c r="O274" s="4">
        <f t="shared" si="34"/>
        <v>3.6719279437034125E-3</v>
      </c>
      <c r="P274" s="4">
        <f t="shared" si="34"/>
        <v>-4.3701745988804497E-3</v>
      </c>
      <c r="Q274" s="4">
        <f t="shared" si="34"/>
        <v>3.0436676202096891E-3</v>
      </c>
      <c r="R274" s="4">
        <f t="shared" si="27"/>
        <v>9.8040244747525929E-3</v>
      </c>
      <c r="S274" s="4">
        <f t="shared" si="28"/>
        <v>-4.8355907140532617E-3</v>
      </c>
      <c r="T274" s="4">
        <f t="shared" si="29"/>
        <v>-2.6530785934011369E-3</v>
      </c>
      <c r="U274" s="4">
        <f t="shared" si="30"/>
        <v>6.2634522803712844E-3</v>
      </c>
      <c r="V274" s="4">
        <f t="shared" si="31"/>
        <v>2.2556357873559696E-2</v>
      </c>
      <c r="W274" s="4">
        <f t="shared" si="32"/>
        <v>1.1753522128626459E-2</v>
      </c>
    </row>
    <row r="275" spans="1:23" x14ac:dyDescent="0.25">
      <c r="A275" s="1">
        <v>44991</v>
      </c>
      <c r="B275">
        <v>5043.669922</v>
      </c>
      <c r="C275">
        <v>9.9443520000000003</v>
      </c>
      <c r="D275">
        <v>7.6570130000000001</v>
      </c>
      <c r="E275">
        <v>9.6105999999999997E-2</v>
      </c>
      <c r="F275">
        <v>13.751173</v>
      </c>
      <c r="G275">
        <v>19.244648000000002</v>
      </c>
      <c r="H275">
        <v>10.020906</v>
      </c>
      <c r="I275">
        <v>44.637577</v>
      </c>
      <c r="J275">
        <v>4.3947010000000004</v>
      </c>
      <c r="K275">
        <v>32.933464000000001</v>
      </c>
      <c r="L275">
        <v>29.887892000000001</v>
      </c>
      <c r="M275" s="4">
        <f t="shared" si="33"/>
        <v>8.01429767356443E-3</v>
      </c>
      <c r="N275" s="4">
        <f t="shared" si="33"/>
        <v>1.5594502094436358E-2</v>
      </c>
      <c r="O275" s="4">
        <f t="shared" si="34"/>
        <v>-2.9691245414579792E-2</v>
      </c>
      <c r="P275" s="4">
        <f t="shared" si="34"/>
        <v>-1.6325319085782164E-2</v>
      </c>
      <c r="Q275" s="4">
        <f t="shared" si="34"/>
        <v>1.6151138960226907E-2</v>
      </c>
      <c r="R275" s="4">
        <f t="shared" si="27"/>
        <v>-7.2992309149333412E-3</v>
      </c>
      <c r="S275" s="4">
        <f t="shared" si="28"/>
        <v>1.2236857363468578E-2</v>
      </c>
      <c r="T275" s="4">
        <f t="shared" si="29"/>
        <v>7.3496282635223675E-3</v>
      </c>
      <c r="U275" s="4">
        <f t="shared" si="30"/>
        <v>5.6362941554712886E-3</v>
      </c>
      <c r="V275" s="4">
        <f t="shared" si="31"/>
        <v>1.0225114481159592E-2</v>
      </c>
      <c r="W275" s="4">
        <f t="shared" si="32"/>
        <v>3.5065441534569697E-3</v>
      </c>
    </row>
    <row r="276" spans="1:23" x14ac:dyDescent="0.25">
      <c r="A276" s="1">
        <v>44992</v>
      </c>
      <c r="B276">
        <v>5003.5698240000002</v>
      </c>
      <c r="C276">
        <v>9.7916559999999997</v>
      </c>
      <c r="D276">
        <v>7.8913159999999998</v>
      </c>
      <c r="E276">
        <v>9.7700999999999996E-2</v>
      </c>
      <c r="F276">
        <v>13.532605999999999</v>
      </c>
      <c r="G276">
        <v>19.386151999999999</v>
      </c>
      <c r="H276">
        <v>9.8997639999999993</v>
      </c>
      <c r="I276">
        <v>44.311900999999999</v>
      </c>
      <c r="J276">
        <v>4.3700700000000001</v>
      </c>
      <c r="K276">
        <v>32.600124000000001</v>
      </c>
      <c r="L276">
        <v>29.783455</v>
      </c>
      <c r="M276" s="4">
        <f t="shared" si="33"/>
        <v>5.1190821849722568E-4</v>
      </c>
      <c r="N276" s="4">
        <f t="shared" si="33"/>
        <v>1.9531200035527441E-3</v>
      </c>
      <c r="O276" s="4">
        <f t="shared" si="34"/>
        <v>8.3832638337908438E-3</v>
      </c>
      <c r="P276" s="4">
        <f t="shared" si="34"/>
        <v>-6.8210466392876201E-3</v>
      </c>
      <c r="Q276" s="4">
        <f t="shared" si="34"/>
        <v>9.0153407156963183E-3</v>
      </c>
      <c r="R276" s="4">
        <f t="shared" si="27"/>
        <v>-2.4273254759364926E-3</v>
      </c>
      <c r="S276" s="4">
        <f t="shared" si="28"/>
        <v>3.4381245030836727E-3</v>
      </c>
      <c r="T276" s="4">
        <f t="shared" si="29"/>
        <v>1.6527090018845669E-2</v>
      </c>
      <c r="U276" s="4">
        <f t="shared" si="30"/>
        <v>4.4206468704399704E-4</v>
      </c>
      <c r="V276" s="4">
        <f t="shared" si="31"/>
        <v>-1.2975806675758039E-2</v>
      </c>
      <c r="W276" s="4">
        <f t="shared" si="32"/>
        <v>-4.1270101017889527E-3</v>
      </c>
    </row>
    <row r="277" spans="1:23" x14ac:dyDescent="0.25">
      <c r="A277" s="1">
        <v>44993</v>
      </c>
      <c r="B277">
        <v>5001.0097660000001</v>
      </c>
      <c r="C277">
        <v>9.7725690000000007</v>
      </c>
      <c r="D277">
        <v>7.8257110000000001</v>
      </c>
      <c r="E277">
        <v>9.8372000000000001E-2</v>
      </c>
      <c r="F277">
        <v>13.411695</v>
      </c>
      <c r="G277">
        <v>19.433323000000001</v>
      </c>
      <c r="H277">
        <v>9.8658439999999992</v>
      </c>
      <c r="I277">
        <v>43.591461000000002</v>
      </c>
      <c r="J277">
        <v>4.3681390000000002</v>
      </c>
      <c r="K277">
        <v>33.028697999999999</v>
      </c>
      <c r="L277">
        <v>29.906880999999998</v>
      </c>
      <c r="M277" s="4">
        <f t="shared" si="33"/>
        <v>8.4958466415832046E-3</v>
      </c>
      <c r="N277" s="4">
        <f t="shared" si="33"/>
        <v>1.3861350187157173E-2</v>
      </c>
      <c r="O277" s="4">
        <f t="shared" si="34"/>
        <v>7.2376805751943607E-3</v>
      </c>
      <c r="P277" s="4">
        <f t="shared" si="34"/>
        <v>0</v>
      </c>
      <c r="Q277" s="4">
        <f t="shared" si="34"/>
        <v>0</v>
      </c>
      <c r="R277" s="4">
        <f t="shared" ref="R277:R340" si="35">G277/G278-1</f>
        <v>1.4778454511783279E-2</v>
      </c>
      <c r="S277" s="4">
        <f t="shared" ref="S277:S340" si="36">H277/H278-1</f>
        <v>2.496972104716022E-2</v>
      </c>
      <c r="T277" s="4">
        <f t="shared" ref="T277:T340" si="37">I277/I278-1</f>
        <v>8.2172386232373107E-3</v>
      </c>
      <c r="U277" s="4">
        <f t="shared" ref="U277:U340" si="38">J277/J278-1</f>
        <v>-1.2123268076291049E-2</v>
      </c>
      <c r="V277" s="4">
        <f t="shared" ref="V277:V340" si="39">K277/K278-1</f>
        <v>1.8203125257701291E-2</v>
      </c>
      <c r="W277" s="4">
        <f t="shared" ref="W277:W340" si="40">L277/L278-1</f>
        <v>3.1847645458260576E-3</v>
      </c>
    </row>
    <row r="278" spans="1:23" x14ac:dyDescent="0.25">
      <c r="A278" s="1">
        <v>44994</v>
      </c>
      <c r="B278">
        <v>4958.8798829999996</v>
      </c>
      <c r="C278">
        <v>9.6389600000000009</v>
      </c>
      <c r="D278">
        <v>7.7694780000000003</v>
      </c>
      <c r="E278">
        <v>9.8372000000000001E-2</v>
      </c>
      <c r="F278">
        <v>13.411695</v>
      </c>
      <c r="G278">
        <v>19.150310999999999</v>
      </c>
      <c r="H278">
        <v>9.6254980000000003</v>
      </c>
      <c r="I278">
        <v>43.236179</v>
      </c>
      <c r="J278">
        <v>4.4217449999999996</v>
      </c>
      <c r="K278">
        <v>32.438220999999999</v>
      </c>
      <c r="L278">
        <v>29.811937</v>
      </c>
      <c r="M278" s="4">
        <f t="shared" si="33"/>
        <v>1.683072532849228E-2</v>
      </c>
      <c r="N278" s="4">
        <f t="shared" si="33"/>
        <v>1.3039136326689515E-2</v>
      </c>
      <c r="O278" s="4">
        <f t="shared" si="34"/>
        <v>1.4687842374043303E-2</v>
      </c>
      <c r="P278" s="4">
        <f t="shared" si="34"/>
        <v>2.8974289240810913E-2</v>
      </c>
      <c r="Q278" s="4">
        <f t="shared" si="34"/>
        <v>-6.8871557643914727E-3</v>
      </c>
      <c r="R278" s="4">
        <f t="shared" si="35"/>
        <v>7.4441813967693893E-3</v>
      </c>
      <c r="S278" s="4">
        <f t="shared" si="36"/>
        <v>2.2441889799744486E-2</v>
      </c>
      <c r="T278" s="4">
        <f t="shared" si="37"/>
        <v>-6.8428204873671739E-4</v>
      </c>
      <c r="U278" s="4">
        <f t="shared" si="38"/>
        <v>1.8238387452147675E-2</v>
      </c>
      <c r="V278" s="4">
        <f t="shared" si="39"/>
        <v>1.3690541554810309E-2</v>
      </c>
      <c r="W278" s="4">
        <f t="shared" si="40"/>
        <v>1.618121686696683E-2</v>
      </c>
    </row>
    <row r="279" spans="1:23" x14ac:dyDescent="0.25">
      <c r="A279" s="1">
        <v>44995</v>
      </c>
      <c r="B279">
        <v>4876.7998049999997</v>
      </c>
      <c r="C279">
        <v>9.514894</v>
      </c>
      <c r="D279">
        <v>7.6570130000000001</v>
      </c>
      <c r="E279">
        <v>9.5602000000000006E-2</v>
      </c>
      <c r="F279">
        <v>13.504704</v>
      </c>
      <c r="G279">
        <v>19.008806</v>
      </c>
      <c r="H279">
        <v>9.4142250000000001</v>
      </c>
      <c r="I279">
        <v>43.265785000000001</v>
      </c>
      <c r="J279">
        <v>4.3425440000000002</v>
      </c>
      <c r="K279">
        <v>32.000121999999998</v>
      </c>
      <c r="L279">
        <v>29.337225</v>
      </c>
      <c r="M279" s="4">
        <f t="shared" si="33"/>
        <v>2.212204453759492E-2</v>
      </c>
      <c r="N279" s="4">
        <f t="shared" si="33"/>
        <v>2.4666026768257687E-2</v>
      </c>
      <c r="O279" s="4">
        <f t="shared" si="34"/>
        <v>8.6420068582797605E-3</v>
      </c>
      <c r="P279" s="4">
        <f t="shared" si="34"/>
        <v>4.495622424553769E-2</v>
      </c>
      <c r="Q279" s="4">
        <f t="shared" si="34"/>
        <v>2.4163179287406411E-3</v>
      </c>
      <c r="R279" s="4">
        <f t="shared" si="35"/>
        <v>2.284245918395067E-2</v>
      </c>
      <c r="S279" s="4">
        <f t="shared" si="36"/>
        <v>3.0335057740724203E-2</v>
      </c>
      <c r="T279" s="4">
        <f t="shared" si="37"/>
        <v>2.6217246142558048E-2</v>
      </c>
      <c r="U279" s="4">
        <f t="shared" si="38"/>
        <v>2.5547626256209544E-2</v>
      </c>
      <c r="V279" s="4">
        <f t="shared" si="39"/>
        <v>2.0346199594770908E-2</v>
      </c>
      <c r="W279" s="4">
        <f t="shared" si="40"/>
        <v>2.8970973434429892E-2</v>
      </c>
    </row>
    <row r="280" spans="1:23" x14ac:dyDescent="0.25">
      <c r="A280" s="1">
        <v>44998</v>
      </c>
      <c r="B280">
        <v>4771.25</v>
      </c>
      <c r="C280">
        <v>9.2858490000000007</v>
      </c>
      <c r="D280">
        <v>7.5914080000000004</v>
      </c>
      <c r="E280">
        <v>9.1489000000000001E-2</v>
      </c>
      <c r="F280">
        <v>13.472151</v>
      </c>
      <c r="G280">
        <v>18.584295000000001</v>
      </c>
      <c r="H280">
        <v>9.1370520000000006</v>
      </c>
      <c r="I280">
        <v>42.160454000000001</v>
      </c>
      <c r="J280">
        <v>4.2343659999999996</v>
      </c>
      <c r="K280">
        <v>31.362024000000002</v>
      </c>
      <c r="L280">
        <v>28.511227000000002</v>
      </c>
      <c r="M280" s="4">
        <f t="shared" si="33"/>
        <v>-1.1137894875167142E-2</v>
      </c>
      <c r="N280" s="4">
        <f t="shared" si="33"/>
        <v>7.2463037115018114E-3</v>
      </c>
      <c r="O280" s="4">
        <f t="shared" si="34"/>
        <v>-2.2919171661210713E-2</v>
      </c>
      <c r="P280" s="4">
        <f t="shared" si="34"/>
        <v>-1.8329205625320366E-3</v>
      </c>
      <c r="Q280" s="4">
        <f t="shared" si="34"/>
        <v>-3.7826552015206572E-3</v>
      </c>
      <c r="R280" s="4">
        <f t="shared" si="35"/>
        <v>-4.0444243584444317E-3</v>
      </c>
      <c r="S280" s="4">
        <f t="shared" si="36"/>
        <v>-2.2397215607959597E-2</v>
      </c>
      <c r="T280" s="4">
        <f t="shared" si="37"/>
        <v>-2.1305867547060986E-2</v>
      </c>
      <c r="U280" s="4">
        <f t="shared" si="38"/>
        <v>-2.8430880556626903E-3</v>
      </c>
      <c r="V280" s="4">
        <f t="shared" si="39"/>
        <v>-8.1325666718184975E-3</v>
      </c>
      <c r="W280" s="4">
        <f t="shared" si="40"/>
        <v>-1.8306605978520518E-2</v>
      </c>
    </row>
    <row r="281" spans="1:23" x14ac:dyDescent="0.25">
      <c r="A281" s="1">
        <v>44999</v>
      </c>
      <c r="B281">
        <v>4824.9902339999999</v>
      </c>
      <c r="C281">
        <v>9.2190449999999995</v>
      </c>
      <c r="D281">
        <v>7.7694780000000003</v>
      </c>
      <c r="E281">
        <v>9.1657000000000002E-2</v>
      </c>
      <c r="F281">
        <v>13.523305000000001</v>
      </c>
      <c r="G281">
        <v>18.659763000000002</v>
      </c>
      <c r="H281">
        <v>9.3463849999999997</v>
      </c>
      <c r="I281">
        <v>43.078274</v>
      </c>
      <c r="J281">
        <v>4.2464389999999996</v>
      </c>
      <c r="K281">
        <v>31.619168999999999</v>
      </c>
      <c r="L281">
        <v>29.042904</v>
      </c>
      <c r="M281" s="4">
        <f t="shared" si="33"/>
        <v>3.3801688512465233E-2</v>
      </c>
      <c r="N281" s="4">
        <f t="shared" si="33"/>
        <v>3.6480704789947582E-2</v>
      </c>
      <c r="O281" s="4">
        <f t="shared" si="34"/>
        <v>1.5931317905743869E-2</v>
      </c>
      <c r="P281" s="4">
        <f t="shared" si="34"/>
        <v>7.2689183811998292E-2</v>
      </c>
      <c r="Q281" s="4">
        <f t="shared" si="34"/>
        <v>6.2089149703834501E-2</v>
      </c>
      <c r="R281" s="4">
        <f t="shared" si="35"/>
        <v>1.0122368594553954E-3</v>
      </c>
      <c r="S281" s="4">
        <f t="shared" si="36"/>
        <v>7.2270412108424109E-2</v>
      </c>
      <c r="T281" s="4">
        <f t="shared" si="37"/>
        <v>3.9038415836120333E-2</v>
      </c>
      <c r="U281" s="4">
        <f t="shared" si="38"/>
        <v>3.5811062811323957E-2</v>
      </c>
      <c r="V281" s="4">
        <f t="shared" si="39"/>
        <v>1.6222904871419086E-2</v>
      </c>
      <c r="W281" s="4">
        <f t="shared" si="40"/>
        <v>4.5097380274096821E-2</v>
      </c>
    </row>
    <row r="282" spans="1:23" x14ac:dyDescent="0.25">
      <c r="A282" s="1">
        <v>45000</v>
      </c>
      <c r="B282">
        <v>4667.2299800000001</v>
      </c>
      <c r="C282">
        <v>8.8945650000000001</v>
      </c>
      <c r="D282">
        <v>7.6476410000000001</v>
      </c>
      <c r="E282">
        <v>8.5445999999999994E-2</v>
      </c>
      <c r="F282">
        <v>12.73274</v>
      </c>
      <c r="G282">
        <v>18.640893999999999</v>
      </c>
      <c r="H282">
        <v>8.7164439999999992</v>
      </c>
      <c r="I282">
        <v>41.459750999999997</v>
      </c>
      <c r="J282">
        <v>4.0996269999999999</v>
      </c>
      <c r="K282">
        <v>31.114402999999999</v>
      </c>
      <c r="L282">
        <v>27.789663000000001</v>
      </c>
      <c r="M282" s="4">
        <f t="shared" si="33"/>
        <v>-5.3427585708154535E-3</v>
      </c>
      <c r="N282" s="4">
        <f t="shared" si="33"/>
        <v>-4.2733818007424373E-3</v>
      </c>
      <c r="O282" s="4">
        <f t="shared" si="34"/>
        <v>1.2271106486443362E-3</v>
      </c>
      <c r="P282" s="4">
        <f t="shared" si="34"/>
        <v>1.9700274396676765E-3</v>
      </c>
      <c r="Q282" s="4">
        <f t="shared" si="34"/>
        <v>-5.448625018121489E-3</v>
      </c>
      <c r="R282" s="4">
        <f t="shared" si="35"/>
        <v>2.1716574725719973E-2</v>
      </c>
      <c r="S282" s="4">
        <f t="shared" si="36"/>
        <v>-2.1327484352535508E-2</v>
      </c>
      <c r="T282" s="4">
        <f t="shared" si="37"/>
        <v>-1.6636150122087967E-3</v>
      </c>
      <c r="U282" s="4">
        <f t="shared" si="38"/>
        <v>-1.0836667036631331E-2</v>
      </c>
      <c r="V282" s="4">
        <f t="shared" si="39"/>
        <v>8.9560306911407039E-3</v>
      </c>
      <c r="W282" s="4">
        <f t="shared" si="40"/>
        <v>-1.0814466944446322E-2</v>
      </c>
    </row>
    <row r="283" spans="1:23" x14ac:dyDescent="0.25">
      <c r="A283" s="1">
        <v>45001</v>
      </c>
      <c r="B283">
        <v>4692.2998049999997</v>
      </c>
      <c r="C283">
        <v>8.9327380000000005</v>
      </c>
      <c r="D283">
        <v>7.6382680000000001</v>
      </c>
      <c r="E283">
        <v>8.5278000000000007E-2</v>
      </c>
      <c r="F283">
        <v>12.802496</v>
      </c>
      <c r="G283">
        <v>18.244682000000001</v>
      </c>
      <c r="H283">
        <v>8.9063949999999998</v>
      </c>
      <c r="I283">
        <v>41.528838999999998</v>
      </c>
      <c r="J283">
        <v>4.1445400000000001</v>
      </c>
      <c r="K283">
        <v>30.838215000000002</v>
      </c>
      <c r="L283">
        <v>28.093478999999999</v>
      </c>
      <c r="M283" s="4">
        <f t="shared" si="33"/>
        <v>1.5809810789108036E-2</v>
      </c>
      <c r="N283" s="4">
        <f t="shared" si="33"/>
        <v>1.5184343814029777E-2</v>
      </c>
      <c r="O283" s="4">
        <f t="shared" si="34"/>
        <v>-2.4480825616987056E-3</v>
      </c>
      <c r="P283" s="4">
        <f t="shared" si="34"/>
        <v>2.3364654210317859E-2</v>
      </c>
      <c r="Q283" s="4">
        <f t="shared" si="34"/>
        <v>2.6472783449493109E-2</v>
      </c>
      <c r="R283" s="4">
        <f t="shared" si="35"/>
        <v>9.3945314261336677E-3</v>
      </c>
      <c r="S283" s="4">
        <f t="shared" si="36"/>
        <v>1.5256114252968356E-3</v>
      </c>
      <c r="T283" s="4">
        <f t="shared" si="37"/>
        <v>-5.9060121411640409E-3</v>
      </c>
      <c r="U283" s="4">
        <f t="shared" si="38"/>
        <v>9.1719440002024921E-3</v>
      </c>
      <c r="V283" s="4">
        <f t="shared" si="39"/>
        <v>3.6160011988433549E-2</v>
      </c>
      <c r="W283" s="4">
        <f t="shared" si="40"/>
        <v>6.4625956110624383E-3</v>
      </c>
    </row>
    <row r="284" spans="1:23" x14ac:dyDescent="0.25">
      <c r="A284" s="1">
        <v>45002</v>
      </c>
      <c r="B284">
        <v>4619.2700199999999</v>
      </c>
      <c r="C284">
        <v>8.7991290000000006</v>
      </c>
      <c r="D284">
        <v>7.6570130000000001</v>
      </c>
      <c r="E284">
        <v>8.3331000000000002E-2</v>
      </c>
      <c r="F284">
        <v>12.472319000000001</v>
      </c>
      <c r="G284">
        <v>18.074877000000001</v>
      </c>
      <c r="H284">
        <v>8.8928279999999997</v>
      </c>
      <c r="I284">
        <v>41.775565999999998</v>
      </c>
      <c r="J284">
        <v>4.1068720000000001</v>
      </c>
      <c r="K284">
        <v>29.76202</v>
      </c>
      <c r="L284">
        <v>27.913087999999998</v>
      </c>
      <c r="M284" s="4">
        <f t="shared" si="33"/>
        <v>-1.0668066764307094E-2</v>
      </c>
      <c r="N284" s="4">
        <f t="shared" si="33"/>
        <v>-4.3197563419793417E-3</v>
      </c>
      <c r="O284" s="4">
        <f t="shared" si="34"/>
        <v>-9.6969861575092464E-3</v>
      </c>
      <c r="P284" s="4">
        <f t="shared" si="34"/>
        <v>-1.3121898648728592E-2</v>
      </c>
      <c r="Q284" s="4">
        <f t="shared" si="34"/>
        <v>9.0293356934998403E-3</v>
      </c>
      <c r="R284" s="4">
        <f t="shared" si="35"/>
        <v>-1.7435835269482669E-2</v>
      </c>
      <c r="S284" s="4">
        <f t="shared" si="36"/>
        <v>-9.4989914916401297E-3</v>
      </c>
      <c r="T284" s="4">
        <f t="shared" si="37"/>
        <v>6.8982744757142278E-3</v>
      </c>
      <c r="U284" s="4">
        <f t="shared" si="38"/>
        <v>-8.857809982925402E-3</v>
      </c>
      <c r="V284" s="4">
        <f t="shared" si="39"/>
        <v>-1.5973693339506045E-3</v>
      </c>
      <c r="W284" s="4">
        <f t="shared" si="40"/>
        <v>-1.1764752532342659E-2</v>
      </c>
    </row>
    <row r="285" spans="1:23" x14ac:dyDescent="0.25">
      <c r="A285" s="1">
        <v>45005</v>
      </c>
      <c r="B285">
        <v>4669.080078</v>
      </c>
      <c r="C285">
        <v>8.8373039999999996</v>
      </c>
      <c r="D285">
        <v>7.7319899999999997</v>
      </c>
      <c r="E285">
        <v>8.4439E-2</v>
      </c>
      <c r="F285">
        <v>12.360709999999999</v>
      </c>
      <c r="G285">
        <v>18.395620000000001</v>
      </c>
      <c r="H285">
        <v>8.9781110000000002</v>
      </c>
      <c r="I285">
        <v>41.489361000000002</v>
      </c>
      <c r="J285">
        <v>4.1435750000000002</v>
      </c>
      <c r="K285">
        <v>29.809636999999999</v>
      </c>
      <c r="L285">
        <v>28.245387999999998</v>
      </c>
      <c r="M285" s="4">
        <f t="shared" si="33"/>
        <v>-2.0206203639145492E-2</v>
      </c>
      <c r="N285" s="4">
        <f t="shared" si="33"/>
        <v>-2.6287997509005012E-2</v>
      </c>
      <c r="O285" s="4">
        <f t="shared" si="34"/>
        <v>-1.3157869546500112E-2</v>
      </c>
      <c r="P285" s="4">
        <f t="shared" si="34"/>
        <v>-3.7315304633345425E-2</v>
      </c>
      <c r="Q285" s="4">
        <f t="shared" si="34"/>
        <v>-1.189581919243754E-2</v>
      </c>
      <c r="R285" s="4">
        <f t="shared" si="35"/>
        <v>-2.0471042845969789E-3</v>
      </c>
      <c r="S285" s="4">
        <f t="shared" si="36"/>
        <v>-3.116506410169928E-2</v>
      </c>
      <c r="T285" s="4">
        <f t="shared" si="37"/>
        <v>-3.5115903341822574E-2</v>
      </c>
      <c r="U285" s="4">
        <f t="shared" si="38"/>
        <v>-1.4133080940742837E-2</v>
      </c>
      <c r="V285" s="4">
        <f t="shared" si="39"/>
        <v>-2.7043843158993774E-2</v>
      </c>
      <c r="W285" s="4">
        <f t="shared" si="40"/>
        <v>-1.750329746686996E-2</v>
      </c>
    </row>
    <row r="286" spans="1:23" x14ac:dyDescent="0.25">
      <c r="A286" s="1">
        <v>45006</v>
      </c>
      <c r="B286">
        <v>4765.3701170000004</v>
      </c>
      <c r="C286">
        <v>9.0758910000000004</v>
      </c>
      <c r="D286">
        <v>7.835083</v>
      </c>
      <c r="E286">
        <v>8.7711999999999998E-2</v>
      </c>
      <c r="F286">
        <v>12.509520999999999</v>
      </c>
      <c r="G286">
        <v>18.433354999999999</v>
      </c>
      <c r="H286">
        <v>9.2669149999999991</v>
      </c>
      <c r="I286">
        <v>42.999321000000002</v>
      </c>
      <c r="J286">
        <v>4.2029759999999996</v>
      </c>
      <c r="K286">
        <v>30.638211999999999</v>
      </c>
      <c r="L286">
        <v>28.748583</v>
      </c>
      <c r="M286" s="4">
        <f t="shared" si="33"/>
        <v>6.2333094141782119E-3</v>
      </c>
      <c r="N286" s="4">
        <f t="shared" si="33"/>
        <v>1.1702041921485717E-2</v>
      </c>
      <c r="O286" s="4">
        <f t="shared" si="34"/>
        <v>3.6013985969198803E-3</v>
      </c>
      <c r="P286" s="4">
        <f t="shared" si="34"/>
        <v>5.7677533282116666E-3</v>
      </c>
      <c r="Q286" s="4">
        <f t="shared" si="34"/>
        <v>-1.6812984538772557E-2</v>
      </c>
      <c r="R286" s="4">
        <f t="shared" si="35"/>
        <v>3.0801962762623258E-3</v>
      </c>
      <c r="S286" s="4">
        <f t="shared" si="36"/>
        <v>-1.4621004680359651E-3</v>
      </c>
      <c r="T286" s="4">
        <f t="shared" si="37"/>
        <v>-5.9320439328565122E-3</v>
      </c>
      <c r="U286" s="4">
        <f t="shared" si="38"/>
        <v>1.7265163742583578E-3</v>
      </c>
      <c r="V286" s="4">
        <f t="shared" si="39"/>
        <v>1.9974557739987908E-2</v>
      </c>
      <c r="W286" s="4">
        <f t="shared" si="40"/>
        <v>1.5766533616480505E-2</v>
      </c>
    </row>
    <row r="287" spans="1:23" x14ac:dyDescent="0.25">
      <c r="A287" s="1">
        <v>45007</v>
      </c>
      <c r="B287">
        <v>4735.8500979999999</v>
      </c>
      <c r="C287">
        <v>8.9709129999999995</v>
      </c>
      <c r="D287">
        <v>7.8069670000000002</v>
      </c>
      <c r="E287">
        <v>8.7208999999999995E-2</v>
      </c>
      <c r="F287">
        <v>12.72344</v>
      </c>
      <c r="G287">
        <v>18.376750999999999</v>
      </c>
      <c r="H287">
        <v>9.2804839999999995</v>
      </c>
      <c r="I287">
        <v>43.255916999999997</v>
      </c>
      <c r="J287">
        <v>4.1957319999999996</v>
      </c>
      <c r="K287">
        <v>30.038212000000001</v>
      </c>
      <c r="L287">
        <v>28.302353</v>
      </c>
      <c r="M287" s="4">
        <f t="shared" si="33"/>
        <v>4.7758605882524119E-3</v>
      </c>
      <c r="N287" s="4">
        <f t="shared" si="33"/>
        <v>5.3475234658073578E-3</v>
      </c>
      <c r="O287" s="4">
        <f t="shared" si="34"/>
        <v>-9.5123753115189391E-3</v>
      </c>
      <c r="P287" s="4">
        <f t="shared" si="34"/>
        <v>1.4648051192553746E-2</v>
      </c>
      <c r="Q287" s="4">
        <f t="shared" si="34"/>
        <v>9.9668364809664123E-3</v>
      </c>
      <c r="R287" s="4">
        <f t="shared" si="35"/>
        <v>4.1237550529933387E-3</v>
      </c>
      <c r="S287" s="4">
        <f t="shared" si="36"/>
        <v>6.0938135720831621E-3</v>
      </c>
      <c r="T287" s="4">
        <f t="shared" si="37"/>
        <v>4.1237260341489002E-3</v>
      </c>
      <c r="U287" s="4">
        <f t="shared" si="38"/>
        <v>3.3490947639573942E-3</v>
      </c>
      <c r="V287" s="4">
        <f t="shared" si="39"/>
        <v>1.9060028148429886E-3</v>
      </c>
      <c r="W287" s="4">
        <f t="shared" si="40"/>
        <v>-6.1349385178763871E-3</v>
      </c>
    </row>
    <row r="288" spans="1:23" x14ac:dyDescent="0.25">
      <c r="A288" s="1">
        <v>45008</v>
      </c>
      <c r="B288">
        <v>4713.3398440000001</v>
      </c>
      <c r="C288">
        <v>8.9231960000000008</v>
      </c>
      <c r="D288">
        <v>7.8819429999999997</v>
      </c>
      <c r="E288">
        <v>8.5949999999999999E-2</v>
      </c>
      <c r="F288">
        <v>12.597879000000001</v>
      </c>
      <c r="G288">
        <v>18.301280999999999</v>
      </c>
      <c r="H288">
        <v>9.2242730000000002</v>
      </c>
      <c r="I288">
        <v>43.078274</v>
      </c>
      <c r="J288">
        <v>4.1817270000000004</v>
      </c>
      <c r="K288">
        <v>29.981068</v>
      </c>
      <c r="L288">
        <v>28.477058</v>
      </c>
      <c r="M288" s="4">
        <f t="shared" si="33"/>
        <v>2.2039517900620975E-2</v>
      </c>
      <c r="N288" s="4">
        <f t="shared" si="33"/>
        <v>3.2189320107280928E-3</v>
      </c>
      <c r="O288" s="4">
        <f t="shared" si="34"/>
        <v>2.3836351612573914E-3</v>
      </c>
      <c r="P288" s="4">
        <f t="shared" si="34"/>
        <v>2.4006671829391868E-2</v>
      </c>
      <c r="Q288" s="4">
        <f t="shared" si="34"/>
        <v>2.8473763094940763E-2</v>
      </c>
      <c r="R288" s="4">
        <f t="shared" si="35"/>
        <v>1.2525894367081847E-2</v>
      </c>
      <c r="S288" s="4">
        <f t="shared" si="36"/>
        <v>4.2725615847241993E-2</v>
      </c>
      <c r="T288" s="4">
        <f t="shared" si="37"/>
        <v>-1.1442087195117079E-3</v>
      </c>
      <c r="U288" s="4">
        <f t="shared" si="38"/>
        <v>4.407962290209344E-3</v>
      </c>
      <c r="V288" s="4">
        <f t="shared" si="39"/>
        <v>1.0269539611837075E-2</v>
      </c>
      <c r="W288" s="4">
        <f t="shared" si="40"/>
        <v>3.2734951256075728E-2</v>
      </c>
    </row>
    <row r="289" spans="1:23" x14ac:dyDescent="0.25">
      <c r="A289" s="1">
        <v>45009</v>
      </c>
      <c r="B289">
        <v>4611.7001950000003</v>
      </c>
      <c r="C289">
        <v>8.8945650000000001</v>
      </c>
      <c r="D289">
        <v>7.8632</v>
      </c>
      <c r="E289">
        <v>8.3934999999999996E-2</v>
      </c>
      <c r="F289">
        <v>12.249101</v>
      </c>
      <c r="G289">
        <v>18.074877000000001</v>
      </c>
      <c r="H289">
        <v>8.8463089999999998</v>
      </c>
      <c r="I289">
        <v>43.127620999999998</v>
      </c>
      <c r="J289">
        <v>4.1633750000000003</v>
      </c>
      <c r="K289">
        <v>29.676306</v>
      </c>
      <c r="L289">
        <v>27.574411000000001</v>
      </c>
      <c r="M289" s="4">
        <f t="shared" si="33"/>
        <v>-7.0343063056962363E-3</v>
      </c>
      <c r="N289" s="4">
        <f t="shared" si="33"/>
        <v>-4.2733818007424373E-3</v>
      </c>
      <c r="O289" s="4">
        <f t="shared" si="34"/>
        <v>-1.0613084689768515E-2</v>
      </c>
      <c r="P289" s="4">
        <f t="shared" si="34"/>
        <v>2.8076463560333664E-3</v>
      </c>
      <c r="Q289" s="4">
        <f t="shared" si="34"/>
        <v>-1.8994461997501211E-2</v>
      </c>
      <c r="R289" s="4">
        <f t="shared" si="35"/>
        <v>-1.4403224861876396E-2</v>
      </c>
      <c r="S289" s="4">
        <f t="shared" si="36"/>
        <v>-1.1479334426784171E-2</v>
      </c>
      <c r="T289" s="4">
        <f t="shared" si="37"/>
        <v>-3.3613355182838478E-2</v>
      </c>
      <c r="U289" s="4">
        <f t="shared" si="38"/>
        <v>-1.4630344521703198E-2</v>
      </c>
      <c r="V289" s="4">
        <f t="shared" si="39"/>
        <v>1.4322942657370108E-2</v>
      </c>
      <c r="W289" s="4">
        <f t="shared" si="40"/>
        <v>-7.6841970899677037E-3</v>
      </c>
    </row>
    <row r="290" spans="1:23" x14ac:dyDescent="0.25">
      <c r="A290" s="1">
        <v>45012</v>
      </c>
      <c r="B290">
        <v>4644.3701170000004</v>
      </c>
      <c r="C290">
        <v>8.9327380000000005</v>
      </c>
      <c r="D290">
        <v>7.9475480000000003</v>
      </c>
      <c r="E290">
        <v>8.3699999999999997E-2</v>
      </c>
      <c r="F290">
        <v>12.486271</v>
      </c>
      <c r="G290">
        <v>18.339017999999999</v>
      </c>
      <c r="H290">
        <v>8.9490379999999998</v>
      </c>
      <c r="I290">
        <v>44.627707999999998</v>
      </c>
      <c r="J290">
        <v>4.2251909999999997</v>
      </c>
      <c r="K290">
        <v>29.257256000000002</v>
      </c>
      <c r="L290">
        <v>27.787939000000001</v>
      </c>
      <c r="M290" s="4">
        <f t="shared" si="33"/>
        <v>1.1748844756196419E-3</v>
      </c>
      <c r="N290" s="4">
        <f t="shared" si="33"/>
        <v>1.0693477987033795E-3</v>
      </c>
      <c r="O290" s="4">
        <f t="shared" si="34"/>
        <v>1.4354027902448552E-2</v>
      </c>
      <c r="P290" s="4">
        <f t="shared" si="34"/>
        <v>5.6470022828307709E-3</v>
      </c>
      <c r="Q290" s="4">
        <f t="shared" si="34"/>
        <v>-8.1269703377140345E-3</v>
      </c>
      <c r="R290" s="4">
        <f t="shared" si="35"/>
        <v>-7.150093161810589E-3</v>
      </c>
      <c r="S290" s="4">
        <f t="shared" si="36"/>
        <v>-2.0161227630175471E-2</v>
      </c>
      <c r="T290" s="4">
        <f t="shared" si="37"/>
        <v>-4.8415395791702176E-3</v>
      </c>
      <c r="U290" s="4">
        <f t="shared" si="38"/>
        <v>1.0627251832859841E-2</v>
      </c>
      <c r="V290" s="4">
        <f t="shared" si="39"/>
        <v>-9.7562548001017824E-4</v>
      </c>
      <c r="W290" s="4">
        <f t="shared" si="40"/>
        <v>-4.866203487473908E-3</v>
      </c>
    </row>
    <row r="291" spans="1:23" x14ac:dyDescent="0.25">
      <c r="A291" s="1">
        <v>45013</v>
      </c>
      <c r="B291">
        <v>4638.919922</v>
      </c>
      <c r="C291">
        <v>8.9231960000000008</v>
      </c>
      <c r="D291">
        <v>7.835083</v>
      </c>
      <c r="E291">
        <v>8.3229999999999998E-2</v>
      </c>
      <c r="F291">
        <v>12.588578</v>
      </c>
      <c r="G291">
        <v>18.471088000000002</v>
      </c>
      <c r="H291">
        <v>9.1331740000000003</v>
      </c>
      <c r="I291">
        <v>44.844825999999998</v>
      </c>
      <c r="J291">
        <v>4.1807610000000004</v>
      </c>
      <c r="K291">
        <v>29.285827999999999</v>
      </c>
      <c r="L291">
        <v>27.923822000000001</v>
      </c>
      <c r="M291" s="4">
        <f t="shared" si="33"/>
        <v>-8.0253763934291511E-3</v>
      </c>
      <c r="N291" s="4">
        <f t="shared" si="33"/>
        <v>2.1437296133424155E-3</v>
      </c>
      <c r="O291" s="4">
        <f t="shared" si="34"/>
        <v>-8.3037072214470209E-3</v>
      </c>
      <c r="P291" s="4">
        <f t="shared" si="34"/>
        <v>-1.4318028399199489E-2</v>
      </c>
      <c r="Q291" s="4">
        <f t="shared" si="34"/>
        <v>-6.6055174737627009E-3</v>
      </c>
      <c r="R291" s="4">
        <f t="shared" si="35"/>
        <v>-7.0993856473515748E-3</v>
      </c>
      <c r="S291" s="4">
        <f t="shared" si="36"/>
        <v>-2.9054251158138866E-2</v>
      </c>
      <c r="T291" s="4">
        <f t="shared" si="37"/>
        <v>1.2320812651727353E-2</v>
      </c>
      <c r="U291" s="4">
        <f t="shared" si="38"/>
        <v>-1.5690753368055588E-2</v>
      </c>
      <c r="V291" s="4">
        <f t="shared" si="39"/>
        <v>4.5736738681774192E-3</v>
      </c>
      <c r="W291" s="4">
        <f t="shared" si="40"/>
        <v>-1.7418068299309919E-2</v>
      </c>
    </row>
    <row r="292" spans="1:23" x14ac:dyDescent="0.25">
      <c r="A292" s="1">
        <v>45014</v>
      </c>
      <c r="B292">
        <v>4676.4501950000003</v>
      </c>
      <c r="C292">
        <v>8.9041080000000008</v>
      </c>
      <c r="D292">
        <v>7.9006879999999997</v>
      </c>
      <c r="E292">
        <v>8.4439E-2</v>
      </c>
      <c r="F292">
        <v>12.672285</v>
      </c>
      <c r="G292">
        <v>18.603159000000002</v>
      </c>
      <c r="H292">
        <v>9.4064720000000008</v>
      </c>
      <c r="I292">
        <v>44.299025999999998</v>
      </c>
      <c r="J292">
        <v>4.2474059999999998</v>
      </c>
      <c r="K292">
        <v>29.152494000000001</v>
      </c>
      <c r="L292">
        <v>28.418823</v>
      </c>
      <c r="M292" s="4">
        <f t="shared" si="33"/>
        <v>-1.5386700012030685E-2</v>
      </c>
      <c r="N292" s="4">
        <f t="shared" si="33"/>
        <v>-2.8125090047964485E-2</v>
      </c>
      <c r="O292" s="4">
        <f t="shared" si="34"/>
        <v>-8.2351990110330897E-3</v>
      </c>
      <c r="P292" s="4">
        <f t="shared" si="34"/>
        <v>-2.0440598136912569E-2</v>
      </c>
      <c r="Q292" s="4">
        <f t="shared" si="34"/>
        <v>-2.3997176186651981E-2</v>
      </c>
      <c r="R292" s="4">
        <f t="shared" si="35"/>
        <v>-1.4000145436783074E-2</v>
      </c>
      <c r="S292" s="4">
        <f t="shared" si="36"/>
        <v>-2.2360993017704445E-2</v>
      </c>
      <c r="T292" s="4">
        <f t="shared" si="37"/>
        <v>-1.1076675880152265E-2</v>
      </c>
      <c r="U292" s="4">
        <f t="shared" si="38"/>
        <v>-1.6439201861246255E-2</v>
      </c>
      <c r="V292" s="4">
        <f t="shared" si="39"/>
        <v>-1.3217255637559266E-2</v>
      </c>
      <c r="W292" s="4">
        <f t="shared" si="40"/>
        <v>-1.447317525549674E-2</v>
      </c>
    </row>
    <row r="293" spans="1:23" x14ac:dyDescent="0.25">
      <c r="A293" s="1">
        <v>45015</v>
      </c>
      <c r="B293">
        <v>4749.5297849999997</v>
      </c>
      <c r="C293">
        <v>9.1617840000000008</v>
      </c>
      <c r="D293">
        <v>7.9662920000000002</v>
      </c>
      <c r="E293">
        <v>8.6201E-2</v>
      </c>
      <c r="F293">
        <v>12.983860999999999</v>
      </c>
      <c r="G293">
        <v>18.867304000000001</v>
      </c>
      <c r="H293">
        <v>9.6216209999999993</v>
      </c>
      <c r="I293">
        <v>44.795208000000002</v>
      </c>
      <c r="J293">
        <v>4.318397</v>
      </c>
      <c r="K293">
        <v>29.542971000000001</v>
      </c>
      <c r="L293">
        <v>28.836174</v>
      </c>
      <c r="M293" s="4">
        <f t="shared" si="33"/>
        <v>-5.8878970210287651E-3</v>
      </c>
      <c r="N293" s="4">
        <f t="shared" si="33"/>
        <v>5.2356434548532782E-3</v>
      </c>
      <c r="O293" s="4">
        <f t="shared" si="34"/>
        <v>-7.0095129638718667E-3</v>
      </c>
      <c r="P293" s="4">
        <f t="shared" si="34"/>
        <v>2.9203025014543638E-3</v>
      </c>
      <c r="Q293" s="4">
        <f t="shared" si="34"/>
        <v>-1.0981166850573598E-2</v>
      </c>
      <c r="R293" s="4">
        <f t="shared" si="35"/>
        <v>-1.1522878839920425E-2</v>
      </c>
      <c r="S293" s="4">
        <f t="shared" si="36"/>
        <v>-1.115531043464435E-2</v>
      </c>
      <c r="T293" s="4">
        <f t="shared" si="37"/>
        <v>-6.3834492976098112E-3</v>
      </c>
      <c r="U293" s="4">
        <f t="shared" si="38"/>
        <v>-9.8549128280098763E-3</v>
      </c>
      <c r="V293" s="4">
        <f t="shared" si="39"/>
        <v>2.2616810349873617E-3</v>
      </c>
      <c r="W293" s="4">
        <f t="shared" si="40"/>
        <v>-4.3566556902334685E-3</v>
      </c>
    </row>
    <row r="294" spans="1:23" x14ac:dyDescent="0.25">
      <c r="A294" s="1">
        <v>45016</v>
      </c>
      <c r="B294">
        <v>4777.6601559999999</v>
      </c>
      <c r="C294">
        <v>9.1140659999999993</v>
      </c>
      <c r="D294">
        <v>8.0225259999999992</v>
      </c>
      <c r="E294">
        <v>8.5949999999999999E-2</v>
      </c>
      <c r="F294">
        <v>13.128022</v>
      </c>
      <c r="G294">
        <v>19.087243999999998</v>
      </c>
      <c r="H294">
        <v>9.7301640000000003</v>
      </c>
      <c r="I294">
        <v>45.082993000000002</v>
      </c>
      <c r="J294">
        <v>4.3613780000000002</v>
      </c>
      <c r="K294">
        <v>29.476305</v>
      </c>
      <c r="L294">
        <v>28.962353</v>
      </c>
      <c r="M294" s="4">
        <f t="shared" si="33"/>
        <v>2.8989279082896058E-3</v>
      </c>
      <c r="N294" s="4">
        <f t="shared" si="33"/>
        <v>9.5137732170424982E-3</v>
      </c>
      <c r="O294" s="4">
        <f t="shared" si="34"/>
        <v>-4.6511085464617796E-3</v>
      </c>
      <c r="P294" s="4">
        <f t="shared" si="34"/>
        <v>3.9245917723738089E-3</v>
      </c>
      <c r="Q294" s="4">
        <f t="shared" si="34"/>
        <v>-1.397134467930361E-2</v>
      </c>
      <c r="R294" s="4">
        <f t="shared" si="35"/>
        <v>2.007874850727065E-3</v>
      </c>
      <c r="S294" s="4">
        <f t="shared" si="36"/>
        <v>7.8296583214667592E-3</v>
      </c>
      <c r="T294" s="4">
        <f t="shared" si="37"/>
        <v>5.7560541357097872E-3</v>
      </c>
      <c r="U294" s="4">
        <f t="shared" si="38"/>
        <v>5.2315450782265405E-3</v>
      </c>
      <c r="V294" s="4">
        <f t="shared" si="39"/>
        <v>2.9163755162324723E-3</v>
      </c>
      <c r="W294" s="4">
        <f t="shared" si="40"/>
        <v>3.0252121212122063E-3</v>
      </c>
    </row>
    <row r="295" spans="1:23" x14ac:dyDescent="0.25">
      <c r="A295" s="1">
        <v>45019</v>
      </c>
      <c r="B295">
        <v>4763.8500979999999</v>
      </c>
      <c r="C295">
        <v>9.0281739999999999</v>
      </c>
      <c r="D295">
        <v>8.0600140000000007</v>
      </c>
      <c r="E295">
        <v>8.5613999999999996E-2</v>
      </c>
      <c r="F295">
        <v>13.314037000000001</v>
      </c>
      <c r="G295">
        <v>19.048995999999999</v>
      </c>
      <c r="H295">
        <v>9.6545719999999999</v>
      </c>
      <c r="I295">
        <v>44.824978000000002</v>
      </c>
      <c r="J295">
        <v>4.3386800000000001</v>
      </c>
      <c r="K295">
        <v>29.390591000000001</v>
      </c>
      <c r="L295">
        <v>28.875</v>
      </c>
      <c r="M295" s="4">
        <f t="shared" si="33"/>
        <v>-3.6412303141950542E-3</v>
      </c>
      <c r="N295" s="4">
        <f t="shared" si="33"/>
        <v>-1.1494278043956974E-2</v>
      </c>
      <c r="O295" s="4">
        <f t="shared" si="34"/>
        <v>-2.3200351242150807E-3</v>
      </c>
      <c r="P295" s="4">
        <f t="shared" si="34"/>
        <v>-9.8018623538476124E-4</v>
      </c>
      <c r="Q295" s="4">
        <f t="shared" si="34"/>
        <v>-1.2758617186687138E-2</v>
      </c>
      <c r="R295" s="4">
        <f t="shared" si="35"/>
        <v>1.0051041339274036E-3</v>
      </c>
      <c r="S295" s="4">
        <f t="shared" si="36"/>
        <v>-9.2490267274489835E-3</v>
      </c>
      <c r="T295" s="4">
        <f t="shared" si="37"/>
        <v>-8.1247731630583742E-3</v>
      </c>
      <c r="U295" s="4">
        <f t="shared" si="38"/>
        <v>5.5670016553399648E-4</v>
      </c>
      <c r="V295" s="4">
        <f t="shared" si="39"/>
        <v>-9.7113578459961936E-4</v>
      </c>
      <c r="W295" s="4">
        <f t="shared" si="40"/>
        <v>-2.1703346099808174E-2</v>
      </c>
    </row>
    <row r="296" spans="1:23" x14ac:dyDescent="0.25">
      <c r="A296" s="1">
        <v>45020</v>
      </c>
      <c r="B296">
        <v>4781.2597660000001</v>
      </c>
      <c r="C296">
        <v>9.1331530000000001</v>
      </c>
      <c r="D296">
        <v>8.0787569999999995</v>
      </c>
      <c r="E296">
        <v>8.5697999999999996E-2</v>
      </c>
      <c r="F296">
        <v>13.486101</v>
      </c>
      <c r="G296">
        <v>19.029869000000001</v>
      </c>
      <c r="H296">
        <v>9.7447009999999992</v>
      </c>
      <c r="I296">
        <v>45.192154000000002</v>
      </c>
      <c r="J296">
        <v>4.3362660000000002</v>
      </c>
      <c r="K296">
        <v>29.419160999999999</v>
      </c>
      <c r="L296">
        <v>29.515587</v>
      </c>
      <c r="M296" s="4">
        <f t="shared" si="33"/>
        <v>7.7521216561229345E-3</v>
      </c>
      <c r="N296" s="4">
        <f t="shared" si="33"/>
        <v>1.5923581757508298E-2</v>
      </c>
      <c r="O296" s="4">
        <f t="shared" si="34"/>
        <v>-9.4451916981678208E-3</v>
      </c>
      <c r="P296" s="4">
        <f t="shared" si="34"/>
        <v>7.9034648225246862E-3</v>
      </c>
      <c r="Q296" s="4">
        <f t="shared" si="34"/>
        <v>3.1130785448170162E-3</v>
      </c>
      <c r="R296" s="4">
        <f t="shared" si="35"/>
        <v>5.050585605759883E-3</v>
      </c>
      <c r="S296" s="4">
        <f t="shared" si="36"/>
        <v>4.9973984774518421E-3</v>
      </c>
      <c r="T296" s="4">
        <f t="shared" si="37"/>
        <v>4.8544452439465147E-3</v>
      </c>
      <c r="U296" s="4">
        <f t="shared" si="38"/>
        <v>-4.9864651122981662E-3</v>
      </c>
      <c r="V296" s="4">
        <f t="shared" si="39"/>
        <v>-9.7026144593204133E-4</v>
      </c>
      <c r="W296" s="4">
        <f t="shared" si="40"/>
        <v>4.3582703919748056E-2</v>
      </c>
    </row>
    <row r="297" spans="1:23" x14ac:dyDescent="0.25">
      <c r="A297" s="1">
        <v>45021</v>
      </c>
      <c r="B297">
        <v>4744.4799800000001</v>
      </c>
      <c r="C297">
        <v>8.99</v>
      </c>
      <c r="D297">
        <v>8.1557899999999997</v>
      </c>
      <c r="E297">
        <v>8.5026000000000004E-2</v>
      </c>
      <c r="F297">
        <v>13.444248</v>
      </c>
      <c r="G297">
        <v>18.934239999999999</v>
      </c>
      <c r="H297">
        <v>9.6962449999999993</v>
      </c>
      <c r="I297">
        <v>44.973830999999997</v>
      </c>
      <c r="J297">
        <v>4.3579970000000001</v>
      </c>
      <c r="K297">
        <v>29.447732999999999</v>
      </c>
      <c r="L297">
        <v>28.28294</v>
      </c>
      <c r="M297" s="4">
        <f t="shared" si="33"/>
        <v>-3.4007696952865762E-3</v>
      </c>
      <c r="N297" s="4">
        <f t="shared" si="33"/>
        <v>-2.2826086956521663E-2</v>
      </c>
      <c r="O297" s="4">
        <f t="shared" si="34"/>
        <v>0</v>
      </c>
      <c r="P297" s="4">
        <f t="shared" si="34"/>
        <v>-9.7826846481726681E-3</v>
      </c>
      <c r="Q297" s="4">
        <f t="shared" si="34"/>
        <v>-1.06091882714755E-2</v>
      </c>
      <c r="R297" s="4">
        <f t="shared" si="35"/>
        <v>3.0395410508621268E-3</v>
      </c>
      <c r="S297" s="4">
        <f t="shared" si="36"/>
        <v>-4.4775815987423417E-3</v>
      </c>
      <c r="T297" s="4">
        <f t="shared" si="37"/>
        <v>8.2313270760761004E-3</v>
      </c>
      <c r="U297" s="4">
        <f t="shared" si="38"/>
        <v>2.8894650738555683E-3</v>
      </c>
      <c r="V297" s="4">
        <f t="shared" si="39"/>
        <v>0</v>
      </c>
      <c r="W297" s="4">
        <f t="shared" si="40"/>
        <v>-3.079030590202203E-3</v>
      </c>
    </row>
    <row r="298" spans="1:23" x14ac:dyDescent="0.25">
      <c r="A298" s="1">
        <v>45022</v>
      </c>
      <c r="B298">
        <v>4760.669922</v>
      </c>
      <c r="C298">
        <v>9.1999999999999993</v>
      </c>
      <c r="D298">
        <v>8.1557899999999997</v>
      </c>
      <c r="E298">
        <v>8.5865999999999998E-2</v>
      </c>
      <c r="F298">
        <v>13.58841</v>
      </c>
      <c r="G298">
        <v>18.876863</v>
      </c>
      <c r="H298">
        <v>9.7398559999999996</v>
      </c>
      <c r="I298">
        <v>44.606659000000001</v>
      </c>
      <c r="J298">
        <v>4.3454410000000001</v>
      </c>
      <c r="K298">
        <v>29.447732999999999</v>
      </c>
      <c r="L298">
        <v>28.370293</v>
      </c>
      <c r="M298" s="4">
        <f t="shared" si="33"/>
        <v>-1.1558553549611217E-2</v>
      </c>
      <c r="N298" s="4">
        <f t="shared" si="33"/>
        <v>4.366812227074135E-3</v>
      </c>
      <c r="O298" s="4">
        <f t="shared" si="34"/>
        <v>8.3333055156731284E-3</v>
      </c>
      <c r="P298" s="4">
        <f t="shared" si="34"/>
        <v>-4.8560004635800347E-3</v>
      </c>
      <c r="Q298" s="4">
        <f t="shared" si="34"/>
        <v>-1.8474982377072457E-2</v>
      </c>
      <c r="R298" s="4">
        <f t="shared" si="35"/>
        <v>-1.5461389580692542E-2</v>
      </c>
      <c r="S298" s="4">
        <f t="shared" si="36"/>
        <v>-1.6634072416783718E-2</v>
      </c>
      <c r="T298" s="4">
        <f t="shared" si="37"/>
        <v>-1.4470560267175636E-2</v>
      </c>
      <c r="U298" s="4">
        <f t="shared" si="38"/>
        <v>-7.2816326903593076E-3</v>
      </c>
      <c r="V298" s="4">
        <f t="shared" si="39"/>
        <v>-3.5449797539944816E-3</v>
      </c>
      <c r="W298" s="4">
        <f t="shared" si="40"/>
        <v>-3.0695442296788666E-3</v>
      </c>
    </row>
    <row r="299" spans="1:23" x14ac:dyDescent="0.25">
      <c r="A299" s="1">
        <v>45027</v>
      </c>
      <c r="B299">
        <v>4816.3398440000001</v>
      </c>
      <c r="C299">
        <v>9.16</v>
      </c>
      <c r="D299">
        <v>8.0883870000000009</v>
      </c>
      <c r="E299">
        <v>8.6285000000000001E-2</v>
      </c>
      <c r="F299">
        <v>13.844181000000001</v>
      </c>
      <c r="G299">
        <v>19.173309</v>
      </c>
      <c r="H299">
        <v>9.9046099999999999</v>
      </c>
      <c r="I299">
        <v>45.261620000000001</v>
      </c>
      <c r="J299">
        <v>4.3773150000000003</v>
      </c>
      <c r="K299">
        <v>29.552496000000001</v>
      </c>
      <c r="L299">
        <v>28.457644999999999</v>
      </c>
      <c r="M299" s="4">
        <f t="shared" si="33"/>
        <v>6.3308716084895522E-3</v>
      </c>
      <c r="N299" s="4">
        <f t="shared" si="33"/>
        <v>5.488474204171423E-3</v>
      </c>
      <c r="O299" s="4">
        <f t="shared" si="34"/>
        <v>1.5719414658159403E-2</v>
      </c>
      <c r="P299" s="4">
        <f t="shared" si="34"/>
        <v>5.5009414814271462E-2</v>
      </c>
      <c r="Q299" s="4">
        <f t="shared" si="34"/>
        <v>1.0522759129020232E-2</v>
      </c>
      <c r="R299" s="4">
        <f t="shared" si="35"/>
        <v>1.0584640120022248E-2</v>
      </c>
      <c r="S299" s="4">
        <f t="shared" si="36"/>
        <v>-1.7779827249377766E-2</v>
      </c>
      <c r="T299" s="4">
        <f t="shared" si="37"/>
        <v>-2.1876792225367092E-3</v>
      </c>
      <c r="U299" s="4">
        <f t="shared" si="38"/>
        <v>6.8873777336335706E-3</v>
      </c>
      <c r="V299" s="4">
        <f t="shared" si="39"/>
        <v>2.8846237868864755E-2</v>
      </c>
      <c r="W299" s="4">
        <f t="shared" si="40"/>
        <v>4.1563011102604408E-2</v>
      </c>
    </row>
    <row r="300" spans="1:23" x14ac:dyDescent="0.25">
      <c r="A300" s="1">
        <v>45028</v>
      </c>
      <c r="B300">
        <v>4786.0400390000004</v>
      </c>
      <c r="C300">
        <v>9.11</v>
      </c>
      <c r="D300">
        <v>7.9632100000000001</v>
      </c>
      <c r="E300">
        <v>8.1785999999999998E-2</v>
      </c>
      <c r="F300">
        <v>13.700018999999999</v>
      </c>
      <c r="G300">
        <v>18.972491999999999</v>
      </c>
      <c r="H300">
        <v>10.0839</v>
      </c>
      <c r="I300">
        <v>45.360855000000001</v>
      </c>
      <c r="J300">
        <v>4.3473730000000002</v>
      </c>
      <c r="K300">
        <v>28.723918999999999</v>
      </c>
      <c r="L300">
        <v>27.322057999999998</v>
      </c>
      <c r="M300" s="4">
        <f t="shared" si="33"/>
        <v>-9.9352220792692236E-4</v>
      </c>
      <c r="N300" s="4">
        <f t="shared" si="33"/>
        <v>-6.5430752453653485E-3</v>
      </c>
      <c r="O300" s="4">
        <f t="shared" si="34"/>
        <v>0</v>
      </c>
      <c r="P300" s="4">
        <f t="shared" si="34"/>
        <v>-1.2568365388098135E-2</v>
      </c>
      <c r="Q300" s="4">
        <f t="shared" si="34"/>
        <v>2.7229379360740325E-3</v>
      </c>
      <c r="R300" s="4">
        <f t="shared" si="35"/>
        <v>3.0332881366792463E-3</v>
      </c>
      <c r="S300" s="4">
        <f t="shared" si="36"/>
        <v>-3.8295251299929056E-3</v>
      </c>
      <c r="T300" s="4">
        <f t="shared" si="37"/>
        <v>3.9534792308160149E-3</v>
      </c>
      <c r="U300" s="4">
        <f t="shared" si="38"/>
        <v>2.449992482846719E-3</v>
      </c>
      <c r="V300" s="4">
        <f t="shared" si="39"/>
        <v>-6.7544965025723158E-3</v>
      </c>
      <c r="W300" s="4">
        <f t="shared" si="40"/>
        <v>-1.418960105160405E-3</v>
      </c>
    </row>
    <row r="301" spans="1:23" x14ac:dyDescent="0.25">
      <c r="A301" s="1">
        <v>45029</v>
      </c>
      <c r="B301">
        <v>4790.7998049999997</v>
      </c>
      <c r="C301">
        <v>9.17</v>
      </c>
      <c r="D301">
        <v>7.9632100000000001</v>
      </c>
      <c r="E301">
        <v>8.2826999999999998E-2</v>
      </c>
      <c r="F301">
        <v>13.662815999999999</v>
      </c>
      <c r="G301">
        <v>18.915116999999999</v>
      </c>
      <c r="H301">
        <v>10.122665</v>
      </c>
      <c r="I301">
        <v>45.182228000000002</v>
      </c>
      <c r="J301">
        <v>4.336748</v>
      </c>
      <c r="K301">
        <v>28.919253999999999</v>
      </c>
      <c r="L301">
        <v>27.360882</v>
      </c>
      <c r="M301" s="4">
        <f t="shared" si="33"/>
        <v>-6.3632277075224009E-3</v>
      </c>
      <c r="N301" s="4">
        <f t="shared" si="33"/>
        <v>-3.260869565217317E-3</v>
      </c>
      <c r="O301" s="4">
        <f t="shared" si="34"/>
        <v>-1.3126447724407408E-2</v>
      </c>
      <c r="P301" s="4">
        <f t="shared" si="34"/>
        <v>2.0324465575436435E-3</v>
      </c>
      <c r="Q301" s="4">
        <f t="shared" si="34"/>
        <v>1.6428527217410727E-2</v>
      </c>
      <c r="R301" s="4">
        <f t="shared" si="35"/>
        <v>-6.0300993138735492E-3</v>
      </c>
      <c r="S301" s="4">
        <f t="shared" si="36"/>
        <v>-1.555145627933241E-2</v>
      </c>
      <c r="T301" s="4">
        <f t="shared" si="37"/>
        <v>-8.7780431456208063E-4</v>
      </c>
      <c r="U301" s="4">
        <f t="shared" si="38"/>
        <v>-6.9667494280625242E-3</v>
      </c>
      <c r="V301" s="4">
        <f t="shared" si="39"/>
        <v>1.7875545313964736E-2</v>
      </c>
      <c r="W301" s="4">
        <f t="shared" si="40"/>
        <v>-2.3553862437306616E-2</v>
      </c>
    </row>
    <row r="302" spans="1:23" x14ac:dyDescent="0.25">
      <c r="A302" s="1">
        <v>45030</v>
      </c>
      <c r="B302">
        <v>4821.4799800000001</v>
      </c>
      <c r="C302">
        <v>9.1999999999999993</v>
      </c>
      <c r="D302">
        <v>8.0691290000000002</v>
      </c>
      <c r="E302">
        <v>8.2658999999999996E-2</v>
      </c>
      <c r="F302">
        <v>13.441984</v>
      </c>
      <c r="G302">
        <v>19.029869000000001</v>
      </c>
      <c r="H302">
        <v>10.282574</v>
      </c>
      <c r="I302">
        <v>45.221924000000001</v>
      </c>
      <c r="J302">
        <v>4.3671730000000002</v>
      </c>
      <c r="K302">
        <v>28.411384999999999</v>
      </c>
      <c r="L302">
        <v>28.020882</v>
      </c>
      <c r="M302" s="4">
        <f t="shared" si="33"/>
        <v>6.7036372126816346E-4</v>
      </c>
      <c r="N302" s="4">
        <f t="shared" si="33"/>
        <v>2.1786492374726851E-3</v>
      </c>
      <c r="O302" s="4">
        <f t="shared" si="34"/>
        <v>-2.3809444330495921E-3</v>
      </c>
      <c r="P302" s="4">
        <f t="shared" si="34"/>
        <v>-2.592535853592437E-2</v>
      </c>
      <c r="Q302" s="4">
        <f t="shared" si="34"/>
        <v>9.372790680298726E-3</v>
      </c>
      <c r="R302" s="4">
        <f t="shared" si="35"/>
        <v>0</v>
      </c>
      <c r="S302" s="4">
        <f t="shared" si="36"/>
        <v>-1.5769965296389632E-2</v>
      </c>
      <c r="T302" s="4">
        <f t="shared" si="37"/>
        <v>1.5374272431199598E-2</v>
      </c>
      <c r="U302" s="4">
        <f t="shared" si="38"/>
        <v>9.7140959937187521E-3</v>
      </c>
      <c r="V302" s="4">
        <f t="shared" si="39"/>
        <v>-2.0868341643427324E-2</v>
      </c>
      <c r="W302" s="4">
        <f t="shared" si="40"/>
        <v>1.3874604934347445E-3</v>
      </c>
    </row>
    <row r="303" spans="1:23" x14ac:dyDescent="0.25">
      <c r="A303" s="1">
        <v>45033</v>
      </c>
      <c r="B303">
        <v>4818.25</v>
      </c>
      <c r="C303">
        <v>9.18</v>
      </c>
      <c r="D303">
        <v>8.0883870000000009</v>
      </c>
      <c r="E303">
        <v>8.4859000000000004E-2</v>
      </c>
      <c r="F303">
        <v>13.317164999999999</v>
      </c>
      <c r="G303">
        <v>19.029869000000001</v>
      </c>
      <c r="H303">
        <v>10.447328000000001</v>
      </c>
      <c r="I303">
        <v>44.537196999999999</v>
      </c>
      <c r="J303">
        <v>4.3251580000000001</v>
      </c>
      <c r="K303">
        <v>29.016919999999999</v>
      </c>
      <c r="L303">
        <v>27.982057999999999</v>
      </c>
      <c r="M303" s="4">
        <f t="shared" si="33"/>
        <v>2.036003019554089E-3</v>
      </c>
      <c r="N303" s="4">
        <f t="shared" si="33"/>
        <v>7.6838638858398589E-3</v>
      </c>
      <c r="O303" s="4">
        <f t="shared" si="34"/>
        <v>-4.7393207473990229E-3</v>
      </c>
      <c r="P303" s="4">
        <f t="shared" si="34"/>
        <v>-1.2693426410703812E-2</v>
      </c>
      <c r="Q303" s="4">
        <f t="shared" si="34"/>
        <v>9.461394549430846E-3</v>
      </c>
      <c r="R303" s="4">
        <f t="shared" si="35"/>
        <v>-4.0039004794683031E-3</v>
      </c>
      <c r="S303" s="4">
        <f t="shared" si="36"/>
        <v>3.2573389998740154E-3</v>
      </c>
      <c r="T303" s="4">
        <f t="shared" si="37"/>
        <v>1.6764938441783839E-2</v>
      </c>
      <c r="U303" s="4">
        <f t="shared" si="38"/>
        <v>3.0609779402759107E-2</v>
      </c>
      <c r="V303" s="4">
        <f t="shared" si="39"/>
        <v>-8.3444946290276434E-3</v>
      </c>
      <c r="W303" s="4">
        <f t="shared" si="40"/>
        <v>-2.0768327920110963E-3</v>
      </c>
    </row>
    <row r="304" spans="1:23" x14ac:dyDescent="0.25">
      <c r="A304" s="1">
        <v>45034</v>
      </c>
      <c r="B304">
        <v>4808.4599609999996</v>
      </c>
      <c r="C304">
        <v>9.11</v>
      </c>
      <c r="D304">
        <v>8.1269030000000004</v>
      </c>
      <c r="E304">
        <v>8.5949999999999999E-2</v>
      </c>
      <c r="F304">
        <v>13.192347</v>
      </c>
      <c r="G304">
        <v>19.106369000000001</v>
      </c>
      <c r="H304">
        <v>10.413408</v>
      </c>
      <c r="I304">
        <v>43.802844999999998</v>
      </c>
      <c r="J304">
        <v>4.1966979999999996</v>
      </c>
      <c r="K304">
        <v>29.261088999999998</v>
      </c>
      <c r="L304">
        <v>28.040292999999998</v>
      </c>
      <c r="M304" s="4">
        <f t="shared" si="33"/>
        <v>4.9238352907134963E-3</v>
      </c>
      <c r="N304" s="4">
        <f t="shared" si="33"/>
        <v>-1.0857763300760159E-2</v>
      </c>
      <c r="O304" s="4">
        <f t="shared" si="34"/>
        <v>5.9594556489994677E-3</v>
      </c>
      <c r="P304" s="4">
        <f t="shared" si="34"/>
        <v>3.9245917723738089E-3</v>
      </c>
      <c r="Q304" s="4">
        <f t="shared" si="34"/>
        <v>-1.1510741557994031E-2</v>
      </c>
      <c r="R304" s="4">
        <f t="shared" si="35"/>
        <v>-1.0000786384832816E-3</v>
      </c>
      <c r="S304" s="4">
        <f t="shared" si="36"/>
        <v>2.7997943825766036E-3</v>
      </c>
      <c r="T304" s="4">
        <f t="shared" si="37"/>
        <v>1.2849801263103533E-2</v>
      </c>
      <c r="U304" s="4">
        <f t="shared" si="38"/>
        <v>1.7445216560263876E-2</v>
      </c>
      <c r="V304" s="4">
        <f t="shared" si="39"/>
        <v>-3.336424576597663E-4</v>
      </c>
      <c r="W304" s="4">
        <f t="shared" si="40"/>
        <v>2.6652484072132721E-2</v>
      </c>
    </row>
    <row r="305" spans="1:23" x14ac:dyDescent="0.25">
      <c r="A305" s="1">
        <v>45035</v>
      </c>
      <c r="B305">
        <v>4784.8999020000001</v>
      </c>
      <c r="C305">
        <v>9.2100000000000009</v>
      </c>
      <c r="D305">
        <v>8.0787580000000005</v>
      </c>
      <c r="E305">
        <v>8.5613999999999996E-2</v>
      </c>
      <c r="F305">
        <v>13.345969</v>
      </c>
      <c r="G305">
        <v>19.125495999999998</v>
      </c>
      <c r="H305">
        <v>10.384334000000001</v>
      </c>
      <c r="I305">
        <v>43.247127999999996</v>
      </c>
      <c r="J305">
        <v>4.1247410000000002</v>
      </c>
      <c r="K305">
        <v>29.270855000000001</v>
      </c>
      <c r="L305">
        <v>27.312351</v>
      </c>
      <c r="M305" s="4">
        <f t="shared" si="33"/>
        <v>6.9890841810715809E-3</v>
      </c>
      <c r="N305" s="4">
        <f t="shared" si="33"/>
        <v>8.7623220153341119E-3</v>
      </c>
      <c r="O305" s="4">
        <f t="shared" si="34"/>
        <v>2.1924536726948052E-2</v>
      </c>
      <c r="P305" s="4">
        <f t="shared" si="34"/>
        <v>2.2049255673475265E-2</v>
      </c>
      <c r="Q305" s="4">
        <f t="shared" si="34"/>
        <v>-3.9413295749806121E-3</v>
      </c>
      <c r="R305" s="4">
        <f t="shared" si="35"/>
        <v>-9.9010946611990391E-3</v>
      </c>
      <c r="S305" s="4">
        <f t="shared" si="36"/>
        <v>-7.4107252780192256E-3</v>
      </c>
      <c r="T305" s="4">
        <f t="shared" si="37"/>
        <v>-2.9740090453900248E-3</v>
      </c>
      <c r="U305" s="4">
        <f t="shared" si="38"/>
        <v>9.4859834542355692E-2</v>
      </c>
      <c r="V305" s="4">
        <f t="shared" si="39"/>
        <v>6.3800638185167458E-3</v>
      </c>
      <c r="W305" s="4">
        <f t="shared" si="40"/>
        <v>1.8089721880413467E-2</v>
      </c>
    </row>
    <row r="306" spans="1:23" x14ac:dyDescent="0.25">
      <c r="A306" s="1">
        <v>45036</v>
      </c>
      <c r="B306">
        <v>4751.6899409999996</v>
      </c>
      <c r="C306">
        <v>9.1300000000000008</v>
      </c>
      <c r="D306">
        <v>7.9054349999999998</v>
      </c>
      <c r="E306">
        <v>8.3766999999999994E-2</v>
      </c>
      <c r="F306">
        <v>13.398778</v>
      </c>
      <c r="G306">
        <v>19.316752999999999</v>
      </c>
      <c r="H306">
        <v>10.461864</v>
      </c>
      <c r="I306">
        <v>43.376128999999999</v>
      </c>
      <c r="J306">
        <v>3.767369</v>
      </c>
      <c r="K306">
        <v>29.085289</v>
      </c>
      <c r="L306">
        <v>26.827057</v>
      </c>
      <c r="M306" s="4">
        <f t="shared" si="33"/>
        <v>6.1895665058875338E-3</v>
      </c>
      <c r="N306" s="4">
        <f t="shared" si="33"/>
        <v>1.0964912280704286E-3</v>
      </c>
      <c r="O306" s="4">
        <f t="shared" si="34"/>
        <v>3.6674695564604676E-3</v>
      </c>
      <c r="P306" s="4">
        <f t="shared" si="34"/>
        <v>3.5694856577645817E-2</v>
      </c>
      <c r="Q306" s="4">
        <f t="shared" si="34"/>
        <v>1.7128333220983505E-2</v>
      </c>
      <c r="R306" s="4">
        <f t="shared" si="35"/>
        <v>2.4815589194959742E-3</v>
      </c>
      <c r="S306" s="4">
        <f t="shared" si="36"/>
        <v>2.4679604712608105E-2</v>
      </c>
      <c r="T306" s="4">
        <f t="shared" si="37"/>
        <v>-1.3708547810460381E-3</v>
      </c>
      <c r="U306" s="4">
        <f t="shared" si="38"/>
        <v>1.0623246940260067E-2</v>
      </c>
      <c r="V306" s="4">
        <f t="shared" si="39"/>
        <v>4.7234139820391263E-3</v>
      </c>
      <c r="W306" s="4">
        <f t="shared" si="40"/>
        <v>1.9926175552999137E-2</v>
      </c>
    </row>
    <row r="307" spans="1:23" x14ac:dyDescent="0.25">
      <c r="A307" s="1">
        <v>45037</v>
      </c>
      <c r="B307">
        <v>4722.4599609999996</v>
      </c>
      <c r="C307">
        <v>9.1199999999999992</v>
      </c>
      <c r="D307">
        <v>7.8765479999999997</v>
      </c>
      <c r="E307">
        <v>8.0879999999999994E-2</v>
      </c>
      <c r="F307">
        <v>13.173144000000001</v>
      </c>
      <c r="G307">
        <v>19.268936</v>
      </c>
      <c r="H307">
        <v>10.209887999999999</v>
      </c>
      <c r="I307">
        <v>43.435673000000001</v>
      </c>
      <c r="J307">
        <v>3.7277680000000002</v>
      </c>
      <c r="K307">
        <v>28.948553</v>
      </c>
      <c r="L307">
        <v>26.30294</v>
      </c>
      <c r="M307" s="4">
        <f t="shared" si="33"/>
        <v>-1.6637564123913595E-3</v>
      </c>
      <c r="N307" s="4">
        <f t="shared" si="33"/>
        <v>4.405286343612147E-3</v>
      </c>
      <c r="O307" s="4">
        <f t="shared" si="34"/>
        <v>1.2376196264956674E-2</v>
      </c>
      <c r="P307" s="4">
        <f t="shared" si="34"/>
        <v>-3.1748312024134528E-2</v>
      </c>
      <c r="Q307" s="4">
        <f t="shared" si="34"/>
        <v>1.1053853053183627E-2</v>
      </c>
      <c r="R307" s="4">
        <f t="shared" si="35"/>
        <v>0</v>
      </c>
      <c r="S307" s="4">
        <f t="shared" si="36"/>
        <v>6.2082051906722224E-3</v>
      </c>
      <c r="T307" s="4">
        <f t="shared" si="37"/>
        <v>-7.482916734350975E-3</v>
      </c>
      <c r="U307" s="4">
        <f t="shared" si="38"/>
        <v>-1.0337414175674908E-2</v>
      </c>
      <c r="V307" s="4">
        <f t="shared" si="39"/>
        <v>-9.6893146019902954E-3</v>
      </c>
      <c r="W307" s="4">
        <f t="shared" si="40"/>
        <v>-3.6891005302497337E-4</v>
      </c>
    </row>
    <row r="308" spans="1:23" x14ac:dyDescent="0.25">
      <c r="A308" s="1">
        <v>45040</v>
      </c>
      <c r="B308">
        <v>4730.330078</v>
      </c>
      <c r="C308">
        <v>9.08</v>
      </c>
      <c r="D308">
        <v>7.7802579999999999</v>
      </c>
      <c r="E308">
        <v>8.3531999999999995E-2</v>
      </c>
      <c r="F308">
        <v>13.029121999999999</v>
      </c>
      <c r="G308">
        <v>19.268936</v>
      </c>
      <c r="H308">
        <v>10.146894</v>
      </c>
      <c r="I308">
        <v>43.763148999999999</v>
      </c>
      <c r="J308">
        <v>3.7667060000000001</v>
      </c>
      <c r="K308">
        <v>29.231788999999999</v>
      </c>
      <c r="L308">
        <v>26.312646999999998</v>
      </c>
      <c r="M308" s="4">
        <f t="shared" si="33"/>
        <v>2.1164226157781574E-3</v>
      </c>
      <c r="N308" s="4">
        <f t="shared" si="33"/>
        <v>3.3149171270716593E-3</v>
      </c>
      <c r="O308" s="4">
        <f t="shared" si="34"/>
        <v>-2.469127571505636E-3</v>
      </c>
      <c r="P308" s="4">
        <f t="shared" si="34"/>
        <v>3.9265452373842935E-2</v>
      </c>
      <c r="Q308" s="4">
        <f t="shared" si="34"/>
        <v>1.0424279611226384E-2</v>
      </c>
      <c r="R308" s="4">
        <f t="shared" si="35"/>
        <v>2.4874194408495143E-3</v>
      </c>
      <c r="S308" s="4">
        <f t="shared" si="36"/>
        <v>1.3552700646225269E-2</v>
      </c>
      <c r="T308" s="4">
        <f t="shared" si="37"/>
        <v>4.5556857272595064E-3</v>
      </c>
      <c r="U308" s="4">
        <f t="shared" si="38"/>
        <v>2.003425654496338E-2</v>
      </c>
      <c r="V308" s="4">
        <f t="shared" si="39"/>
        <v>1.8373603253523774E-2</v>
      </c>
      <c r="W308" s="4">
        <f t="shared" si="40"/>
        <v>-7.3232631234527723E-3</v>
      </c>
    </row>
    <row r="309" spans="1:23" x14ac:dyDescent="0.25">
      <c r="A309" s="1">
        <v>45041</v>
      </c>
      <c r="B309">
        <v>4720.3398440000001</v>
      </c>
      <c r="C309">
        <v>9.0500000000000007</v>
      </c>
      <c r="D309">
        <v>7.7995159999999997</v>
      </c>
      <c r="E309">
        <v>8.0376000000000003E-2</v>
      </c>
      <c r="F309">
        <v>12.894704000000001</v>
      </c>
      <c r="G309">
        <v>19.221125000000001</v>
      </c>
      <c r="H309">
        <v>10.011215</v>
      </c>
      <c r="I309">
        <v>43.564681999999998</v>
      </c>
      <c r="J309">
        <v>3.6927249999999998</v>
      </c>
      <c r="K309">
        <v>28.704386</v>
      </c>
      <c r="L309">
        <v>26.506762999999999</v>
      </c>
      <c r="M309" s="4">
        <f t="shared" si="33"/>
        <v>-7.4875365678634953E-3</v>
      </c>
      <c r="N309" s="4">
        <f t="shared" si="33"/>
        <v>-9.8468271334791746E-3</v>
      </c>
      <c r="O309" s="4">
        <f t="shared" si="34"/>
        <v>0</v>
      </c>
      <c r="P309" s="4">
        <f t="shared" si="34"/>
        <v>-4.2283298097245403E-4</v>
      </c>
      <c r="Q309" s="4">
        <f t="shared" si="34"/>
        <v>0</v>
      </c>
      <c r="R309" s="4">
        <f t="shared" si="35"/>
        <v>-1.4705858983954601E-2</v>
      </c>
      <c r="S309" s="4">
        <f t="shared" si="36"/>
        <v>1.5233447973521441E-2</v>
      </c>
      <c r="T309" s="4">
        <f t="shared" si="37"/>
        <v>1.0356760005155952E-2</v>
      </c>
      <c r="U309" s="4">
        <f t="shared" si="38"/>
        <v>-8.8831404184097629E-3</v>
      </c>
      <c r="V309" s="4">
        <f t="shared" si="39"/>
        <v>2.978272106379598E-2</v>
      </c>
      <c r="W309" s="4">
        <f t="shared" si="40"/>
        <v>-8.6927472623166469E-2</v>
      </c>
    </row>
    <row r="310" spans="1:23" x14ac:dyDescent="0.25">
      <c r="A310" s="1">
        <v>45042</v>
      </c>
      <c r="B310">
        <v>4755.9501950000003</v>
      </c>
      <c r="C310">
        <v>9.14</v>
      </c>
      <c r="D310">
        <v>7.7995159999999997</v>
      </c>
      <c r="E310">
        <v>8.0409999999999995E-2</v>
      </c>
      <c r="F310">
        <v>12.894704000000001</v>
      </c>
      <c r="G310">
        <v>19.508006999999999</v>
      </c>
      <c r="H310">
        <v>9.8609980000000004</v>
      </c>
      <c r="I310">
        <v>43.118118000000003</v>
      </c>
      <c r="J310">
        <v>3.725822</v>
      </c>
      <c r="K310">
        <v>27.874216000000001</v>
      </c>
      <c r="L310">
        <v>29.030293</v>
      </c>
      <c r="M310" s="4">
        <f t="shared" si="33"/>
        <v>1.829868237184229E-4</v>
      </c>
      <c r="N310" s="4">
        <f t="shared" si="33"/>
        <v>-3.2715376226826187E-3</v>
      </c>
      <c r="O310" s="4">
        <f t="shared" si="34"/>
        <v>-3.6900246448733354E-3</v>
      </c>
      <c r="P310" s="4">
        <f t="shared" si="34"/>
        <v>-4.9605824577162672E-2</v>
      </c>
      <c r="Q310" s="4">
        <f t="shared" si="34"/>
        <v>3.7246207360919215E-4</v>
      </c>
      <c r="R310" s="4">
        <f t="shared" si="35"/>
        <v>2.4570672272914429E-3</v>
      </c>
      <c r="S310" s="4">
        <f t="shared" si="36"/>
        <v>-3.915850923314812E-3</v>
      </c>
      <c r="T310" s="4">
        <f t="shared" si="37"/>
        <v>1.6136393396559701E-3</v>
      </c>
      <c r="U310" s="4">
        <f t="shared" si="38"/>
        <v>6.7071079997589322E-3</v>
      </c>
      <c r="V310" s="4">
        <f t="shared" si="39"/>
        <v>-1.0402199123896394E-2</v>
      </c>
      <c r="W310" s="4">
        <f t="shared" si="40"/>
        <v>-5.1980962611362203E-2</v>
      </c>
    </row>
    <row r="311" spans="1:23" x14ac:dyDescent="0.25">
      <c r="A311" s="1">
        <v>45043</v>
      </c>
      <c r="B311">
        <v>4755.080078</v>
      </c>
      <c r="C311">
        <v>9.17</v>
      </c>
      <c r="D311">
        <v>7.8284029999999998</v>
      </c>
      <c r="E311">
        <v>8.4607000000000002E-2</v>
      </c>
      <c r="F311">
        <v>12.889903</v>
      </c>
      <c r="G311">
        <v>19.460191999999999</v>
      </c>
      <c r="H311">
        <v>9.8997639999999993</v>
      </c>
      <c r="I311">
        <v>43.048653000000002</v>
      </c>
      <c r="J311">
        <v>3.7009989999999999</v>
      </c>
      <c r="K311">
        <v>28.167217000000001</v>
      </c>
      <c r="L311">
        <v>30.622057000000002</v>
      </c>
      <c r="M311" s="4">
        <f t="shared" si="33"/>
        <v>1.0715483083665323E-3</v>
      </c>
      <c r="N311" s="4">
        <f t="shared" si="33"/>
        <v>4.3811610076669449E-3</v>
      </c>
      <c r="O311" s="4">
        <f t="shared" si="34"/>
        <v>-2.4539795997814418E-3</v>
      </c>
      <c r="P311" s="4">
        <f t="shared" si="34"/>
        <v>-5.0841943481528817E-2</v>
      </c>
      <c r="Q311" s="4">
        <f t="shared" si="34"/>
        <v>-7.7604646456388426E-3</v>
      </c>
      <c r="R311" s="4">
        <f t="shared" si="35"/>
        <v>8.1296527310996902E-2</v>
      </c>
      <c r="S311" s="4">
        <f t="shared" si="36"/>
        <v>2.1499991900034043E-2</v>
      </c>
      <c r="T311" s="4">
        <f t="shared" si="37"/>
        <v>-1.2744615941510773E-2</v>
      </c>
      <c r="U311" s="4">
        <f t="shared" si="38"/>
        <v>-1.0411140725402834E-2</v>
      </c>
      <c r="V311" s="4">
        <f t="shared" si="39"/>
        <v>-2.0761135098409378E-3</v>
      </c>
      <c r="W311" s="4">
        <f t="shared" si="40"/>
        <v>3.0372236166718247E-2</v>
      </c>
    </row>
    <row r="312" spans="1:23" x14ac:dyDescent="0.25">
      <c r="A312" s="1">
        <v>45044</v>
      </c>
      <c r="B312">
        <v>4749.9902339999999</v>
      </c>
      <c r="C312">
        <v>9.1300000000000008</v>
      </c>
      <c r="D312">
        <v>7.8476610000000004</v>
      </c>
      <c r="E312">
        <v>8.9138999999999996E-2</v>
      </c>
      <c r="F312">
        <v>12.990717</v>
      </c>
      <c r="G312">
        <v>17.997091000000001</v>
      </c>
      <c r="H312">
        <v>9.6913990000000005</v>
      </c>
      <c r="I312">
        <v>43.604374</v>
      </c>
      <c r="J312">
        <v>3.7399360000000001</v>
      </c>
      <c r="K312">
        <v>28.225816999999999</v>
      </c>
      <c r="L312">
        <v>29.719411999999998</v>
      </c>
      <c r="M312" s="4">
        <f t="shared" si="33"/>
        <v>9.4506481347411686E-3</v>
      </c>
      <c r="N312" s="4">
        <f t="shared" si="33"/>
        <v>-7.6086956521737026E-3</v>
      </c>
      <c r="O312" s="4">
        <f t="shared" si="34"/>
        <v>0</v>
      </c>
      <c r="P312" s="4">
        <f t="shared" si="34"/>
        <v>1.2390968562602245E-2</v>
      </c>
      <c r="Q312" s="4">
        <f t="shared" si="34"/>
        <v>2.2675696260826994E-2</v>
      </c>
      <c r="R312" s="4">
        <f t="shared" si="35"/>
        <v>1.8398186641333858E-2</v>
      </c>
      <c r="S312" s="4">
        <f t="shared" si="36"/>
        <v>1.0509238777224761E-2</v>
      </c>
      <c r="T312" s="4">
        <f t="shared" si="37"/>
        <v>1.267573299859559E-2</v>
      </c>
      <c r="U312" s="4">
        <f t="shared" si="38"/>
        <v>2.3305217495754205E-2</v>
      </c>
      <c r="V312" s="4">
        <f t="shared" si="39"/>
        <v>-6.8728741185438702E-3</v>
      </c>
      <c r="W312" s="4">
        <f t="shared" si="40"/>
        <v>1.9647017430579394E-2</v>
      </c>
    </row>
    <row r="313" spans="1:23" x14ac:dyDescent="0.25">
      <c r="A313" s="1">
        <v>45048</v>
      </c>
      <c r="B313">
        <v>4705.5200199999999</v>
      </c>
      <c r="C313">
        <v>9.1999999999999993</v>
      </c>
      <c r="D313">
        <v>7.8476610000000004</v>
      </c>
      <c r="E313">
        <v>8.8048000000000001E-2</v>
      </c>
      <c r="F313">
        <v>12.702674999999999</v>
      </c>
      <c r="G313">
        <v>17.671959000000001</v>
      </c>
      <c r="H313">
        <v>9.5906090000000006</v>
      </c>
      <c r="I313">
        <v>43.058574999999998</v>
      </c>
      <c r="J313">
        <v>3.6547610000000001</v>
      </c>
      <c r="K313">
        <v>28.421151999999999</v>
      </c>
      <c r="L313">
        <v>29.146764999999998</v>
      </c>
      <c r="M313" s="4">
        <f t="shared" si="33"/>
        <v>-6.1398822195420921E-3</v>
      </c>
      <c r="N313" s="4">
        <f t="shared" si="33"/>
        <v>3.2715376226826187E-3</v>
      </c>
      <c r="O313" s="4">
        <f t="shared" si="34"/>
        <v>9.913355780253541E-3</v>
      </c>
      <c r="P313" s="4">
        <f t="shared" si="34"/>
        <v>4.7929885424751184E-3</v>
      </c>
      <c r="Q313" s="4">
        <f t="shared" si="34"/>
        <v>3.0327058776709048E-3</v>
      </c>
      <c r="R313" s="4">
        <f t="shared" si="35"/>
        <v>-1.0706639913735438E-2</v>
      </c>
      <c r="S313" s="4">
        <f t="shared" si="36"/>
        <v>-6.4650216999073473E-2</v>
      </c>
      <c r="T313" s="4">
        <f t="shared" si="37"/>
        <v>9.7742155962747823E-3</v>
      </c>
      <c r="U313" s="4">
        <f t="shared" si="38"/>
        <v>4.8173903337118684E-3</v>
      </c>
      <c r="V313" s="4">
        <f t="shared" si="39"/>
        <v>-1.9541755427256446E-2</v>
      </c>
      <c r="W313" s="4">
        <f t="shared" si="40"/>
        <v>-3.3289351101517539E-4</v>
      </c>
    </row>
    <row r="314" spans="1:23" x14ac:dyDescent="0.25">
      <c r="A314" s="1">
        <v>45049</v>
      </c>
      <c r="B314">
        <v>4734.5898440000001</v>
      </c>
      <c r="C314">
        <v>9.17</v>
      </c>
      <c r="D314">
        <v>7.7706280000000003</v>
      </c>
      <c r="E314">
        <v>8.7627999999999998E-2</v>
      </c>
      <c r="F314">
        <v>12.664268</v>
      </c>
      <c r="G314">
        <v>17.863213999999999</v>
      </c>
      <c r="H314">
        <v>10.253500000000001</v>
      </c>
      <c r="I314">
        <v>42.641784999999999</v>
      </c>
      <c r="J314">
        <v>3.6372390000000001</v>
      </c>
      <c r="K314">
        <v>28.987621000000001</v>
      </c>
      <c r="L314">
        <v>29.156471</v>
      </c>
      <c r="M314" s="4">
        <f t="shared" si="33"/>
        <v>5.8443377941614916E-3</v>
      </c>
      <c r="N314" s="4">
        <f t="shared" si="33"/>
        <v>2.1857923497268228E-3</v>
      </c>
      <c r="O314" s="4">
        <f t="shared" si="34"/>
        <v>-1.4652093149823964E-2</v>
      </c>
      <c r="P314" s="4">
        <f t="shared" si="34"/>
        <v>9.5951749977163381E-4</v>
      </c>
      <c r="Q314" s="4">
        <f t="shared" si="34"/>
        <v>-3.4002031560004253E-3</v>
      </c>
      <c r="R314" s="4">
        <f t="shared" si="35"/>
        <v>-7.4388133059949402E-3</v>
      </c>
      <c r="S314" s="4">
        <f t="shared" si="36"/>
        <v>-1.4177727021788877E-2</v>
      </c>
      <c r="T314" s="4">
        <f t="shared" si="37"/>
        <v>1.7282170571707223E-2</v>
      </c>
      <c r="U314" s="4">
        <f t="shared" si="38"/>
        <v>1.1231241183238039E-2</v>
      </c>
      <c r="V314" s="4">
        <f t="shared" si="39"/>
        <v>1.0117989920754855E-3</v>
      </c>
      <c r="W314" s="4">
        <f t="shared" si="40"/>
        <v>2.5256033831073887E-2</v>
      </c>
    </row>
    <row r="315" spans="1:23" x14ac:dyDescent="0.25">
      <c r="A315" s="1">
        <v>45050</v>
      </c>
      <c r="B315">
        <v>4707.080078</v>
      </c>
      <c r="C315">
        <v>9.15</v>
      </c>
      <c r="D315">
        <v>7.886177</v>
      </c>
      <c r="E315">
        <v>8.7543999999999997E-2</v>
      </c>
      <c r="F315">
        <v>12.707476</v>
      </c>
      <c r="G315">
        <v>17.997091000000001</v>
      </c>
      <c r="H315">
        <v>10.400962</v>
      </c>
      <c r="I315">
        <v>41.917361999999997</v>
      </c>
      <c r="J315">
        <v>3.5968420000000001</v>
      </c>
      <c r="K315">
        <v>28.958321000000002</v>
      </c>
      <c r="L315">
        <v>28.438234000000001</v>
      </c>
      <c r="M315" s="4">
        <f t="shared" si="33"/>
        <v>-1.2167733519012125E-2</v>
      </c>
      <c r="N315" s="4">
        <f t="shared" si="33"/>
        <v>-6.514657980456029E-3</v>
      </c>
      <c r="O315" s="4">
        <f t="shared" si="34"/>
        <v>1.1111074071775695E-2</v>
      </c>
      <c r="P315" s="4">
        <f t="shared" si="34"/>
        <v>-4.3997684907123302E-2</v>
      </c>
      <c r="Q315" s="4">
        <f t="shared" si="34"/>
        <v>-2.4686697998529739E-2</v>
      </c>
      <c r="R315" s="4">
        <f t="shared" si="35"/>
        <v>-9.4736592985278367E-3</v>
      </c>
      <c r="S315" s="4">
        <f t="shared" si="36"/>
        <v>7.1395717922424495E-3</v>
      </c>
      <c r="T315" s="4">
        <f t="shared" si="37"/>
        <v>-4.9469261737861148E-3</v>
      </c>
      <c r="U315" s="4">
        <f t="shared" si="38"/>
        <v>-1.7940237796135849E-2</v>
      </c>
      <c r="V315" s="4">
        <f t="shared" si="39"/>
        <v>-1.6909792475481522E-2</v>
      </c>
      <c r="W315" s="4">
        <f t="shared" si="40"/>
        <v>-1.8096561422340174E-2</v>
      </c>
    </row>
    <row r="316" spans="1:23" x14ac:dyDescent="0.25">
      <c r="A316" s="1">
        <v>45051</v>
      </c>
      <c r="B316">
        <v>4765.0600590000004</v>
      </c>
      <c r="C316">
        <v>9.2100000000000009</v>
      </c>
      <c r="D316">
        <v>7.7995159999999997</v>
      </c>
      <c r="E316">
        <v>9.1573000000000002E-2</v>
      </c>
      <c r="F316">
        <v>13.029121999999999</v>
      </c>
      <c r="G316">
        <v>18.169219999999999</v>
      </c>
      <c r="H316">
        <v>10.32723</v>
      </c>
      <c r="I316">
        <v>42.125754999999998</v>
      </c>
      <c r="J316">
        <v>3.6625489999999998</v>
      </c>
      <c r="K316">
        <v>29.456423000000001</v>
      </c>
      <c r="L316">
        <v>28.962353</v>
      </c>
      <c r="M316" s="4">
        <f t="shared" si="33"/>
        <v>-3.615385458130782E-3</v>
      </c>
      <c r="N316" s="4">
        <f t="shared" si="33"/>
        <v>-2.4364406779660897E-2</v>
      </c>
      <c r="O316" s="4">
        <f t="shared" si="34"/>
        <v>7.462661504348711E-3</v>
      </c>
      <c r="P316" s="4">
        <f t="shared" si="34"/>
        <v>8.3133299566164887E-3</v>
      </c>
      <c r="Q316" s="4">
        <f t="shared" si="34"/>
        <v>-2.2060161459001026E-3</v>
      </c>
      <c r="R316" s="4">
        <f t="shared" si="35"/>
        <v>-7.3146621438631154E-3</v>
      </c>
      <c r="S316" s="4">
        <f t="shared" si="36"/>
        <v>-2.596200968602469E-2</v>
      </c>
      <c r="T316" s="4">
        <f t="shared" si="37"/>
        <v>9.5125168801246662E-3</v>
      </c>
      <c r="U316" s="4">
        <f t="shared" si="38"/>
        <v>-2.7826416526605113E-3</v>
      </c>
      <c r="V316" s="4">
        <f t="shared" si="39"/>
        <v>-9.1984858472244913E-3</v>
      </c>
      <c r="W316" s="4">
        <f t="shared" si="40"/>
        <v>-1.0043298942757906E-3</v>
      </c>
    </row>
    <row r="317" spans="1:23" x14ac:dyDescent="0.25">
      <c r="A317" s="1">
        <v>45054</v>
      </c>
      <c r="B317">
        <v>4782.3500979999999</v>
      </c>
      <c r="C317">
        <v>9.44</v>
      </c>
      <c r="D317">
        <v>7.7417420000000003</v>
      </c>
      <c r="E317">
        <v>9.0817999999999996E-2</v>
      </c>
      <c r="F317">
        <v>13.057928</v>
      </c>
      <c r="G317">
        <v>18.303101000000002</v>
      </c>
      <c r="H317">
        <v>10.602492</v>
      </c>
      <c r="I317">
        <v>41.728808999999998</v>
      </c>
      <c r="J317">
        <v>3.6727690000000002</v>
      </c>
      <c r="K317">
        <v>29.729893000000001</v>
      </c>
      <c r="L317">
        <v>28.99147</v>
      </c>
      <c r="M317" s="4">
        <f t="shared" si="33"/>
        <v>1.3310714385077249E-2</v>
      </c>
      <c r="N317" s="4">
        <f t="shared" si="33"/>
        <v>1.396348012889348E-2</v>
      </c>
      <c r="O317" s="4">
        <f t="shared" si="34"/>
        <v>0</v>
      </c>
      <c r="P317" s="4">
        <f t="shared" si="34"/>
        <v>-2.7671022290546299E-3</v>
      </c>
      <c r="Q317" s="4">
        <f t="shared" si="34"/>
        <v>-7.6613706690198402E-3</v>
      </c>
      <c r="R317" s="4">
        <f t="shared" si="35"/>
        <v>1.0559607752870237E-2</v>
      </c>
      <c r="S317" s="4">
        <f t="shared" si="36"/>
        <v>7.9439638822580427E-3</v>
      </c>
      <c r="T317" s="4">
        <f t="shared" si="37"/>
        <v>5.9727736416121058E-2</v>
      </c>
      <c r="U317" s="4">
        <f t="shared" si="38"/>
        <v>3.3237702432551419E-3</v>
      </c>
      <c r="V317" s="4">
        <f t="shared" si="39"/>
        <v>1.2978436838148033E-2</v>
      </c>
      <c r="W317" s="4">
        <f t="shared" si="40"/>
        <v>8.4402411883086614E-3</v>
      </c>
    </row>
    <row r="318" spans="1:23" x14ac:dyDescent="0.25">
      <c r="A318" s="1">
        <v>45055</v>
      </c>
      <c r="B318">
        <v>4719.5297849999997</v>
      </c>
      <c r="C318">
        <v>9.31</v>
      </c>
      <c r="D318">
        <v>7.7417420000000003</v>
      </c>
      <c r="E318">
        <v>9.1069999999999998E-2</v>
      </c>
      <c r="F318">
        <v>13.158742</v>
      </c>
      <c r="G318">
        <v>18.111847000000001</v>
      </c>
      <c r="H318">
        <v>10.518929999999999</v>
      </c>
      <c r="I318">
        <v>39.376914999999997</v>
      </c>
      <c r="J318">
        <v>3.6606019999999999</v>
      </c>
      <c r="K318">
        <v>29.348989</v>
      </c>
      <c r="L318">
        <v>28.748823000000002</v>
      </c>
      <c r="M318" s="4">
        <f t="shared" si="33"/>
        <v>-2.0760067208391852E-4</v>
      </c>
      <c r="N318" s="4">
        <f t="shared" si="33"/>
        <v>-3.2119914346894207E-3</v>
      </c>
      <c r="O318" s="4">
        <f t="shared" si="34"/>
        <v>-1.242231858080256E-3</v>
      </c>
      <c r="P318" s="4">
        <f t="shared" si="34"/>
        <v>1.3070804827854721E-2</v>
      </c>
      <c r="Q318" s="4">
        <f t="shared" si="34"/>
        <v>-3.6351108334752302E-3</v>
      </c>
      <c r="R318" s="4">
        <f t="shared" si="35"/>
        <v>6.3763638245759591E-3</v>
      </c>
      <c r="S318" s="4">
        <f t="shared" si="36"/>
        <v>2.8114944946053821E-3</v>
      </c>
      <c r="T318" s="4">
        <f t="shared" si="37"/>
        <v>-8.9910030826116927E-3</v>
      </c>
      <c r="U318" s="4">
        <f t="shared" si="38"/>
        <v>1.1982317261456377E-3</v>
      </c>
      <c r="V318" s="4">
        <f t="shared" si="39"/>
        <v>-8.2508263650276081E-3</v>
      </c>
      <c r="W318" s="4">
        <f t="shared" si="40"/>
        <v>-2.0215531901938144E-3</v>
      </c>
    </row>
    <row r="319" spans="1:23" x14ac:dyDescent="0.25">
      <c r="A319" s="1">
        <v>45056</v>
      </c>
      <c r="B319">
        <v>4720.5097660000001</v>
      </c>
      <c r="C319">
        <v>9.34</v>
      </c>
      <c r="D319">
        <v>7.7513709999999998</v>
      </c>
      <c r="E319">
        <v>8.9895000000000003E-2</v>
      </c>
      <c r="F319">
        <v>13.20675</v>
      </c>
      <c r="G319">
        <v>17.997091000000001</v>
      </c>
      <c r="H319">
        <v>10.489439000000001</v>
      </c>
      <c r="I319">
        <v>39.734164999999997</v>
      </c>
      <c r="J319">
        <v>3.6562209999999999</v>
      </c>
      <c r="K319">
        <v>29.593157000000001</v>
      </c>
      <c r="L319">
        <v>28.807058000000001</v>
      </c>
      <c r="M319" s="4">
        <f t="shared" si="33"/>
        <v>1.6741534017432613E-3</v>
      </c>
      <c r="N319" s="4">
        <f t="shared" si="33"/>
        <v>-2.9106029106028997E-2</v>
      </c>
      <c r="O319" s="4">
        <f t="shared" si="34"/>
        <v>0</v>
      </c>
      <c r="P319" s="4">
        <f t="shared" si="34"/>
        <v>9.4323732524845827E-3</v>
      </c>
      <c r="Q319" s="4">
        <f t="shared" si="34"/>
        <v>1.0282788148707978E-2</v>
      </c>
      <c r="R319" s="4">
        <f t="shared" si="35"/>
        <v>-8.4299283281987769E-3</v>
      </c>
      <c r="S319" s="4">
        <f t="shared" si="36"/>
        <v>8.030269817719482E-3</v>
      </c>
      <c r="T319" s="4">
        <f t="shared" si="37"/>
        <v>1.8570388281756944E-2</v>
      </c>
      <c r="U319" s="4">
        <f t="shared" si="38"/>
        <v>7.6459055284336941E-3</v>
      </c>
      <c r="V319" s="4">
        <f t="shared" si="39"/>
        <v>6.6041952380135882E-4</v>
      </c>
      <c r="W319" s="4">
        <f t="shared" si="40"/>
        <v>-6.7344351655118651E-4</v>
      </c>
    </row>
    <row r="320" spans="1:23" x14ac:dyDescent="0.25">
      <c r="A320" s="1">
        <v>45057</v>
      </c>
      <c r="B320">
        <v>4712.6201170000004</v>
      </c>
      <c r="C320">
        <v>9.6199999999999992</v>
      </c>
      <c r="D320">
        <v>7.7513709999999998</v>
      </c>
      <c r="E320">
        <v>8.9054999999999995E-2</v>
      </c>
      <c r="F320">
        <v>13.072329999999999</v>
      </c>
      <c r="G320">
        <v>18.150095</v>
      </c>
      <c r="H320">
        <v>10.405877</v>
      </c>
      <c r="I320">
        <v>39.009739000000003</v>
      </c>
      <c r="J320">
        <v>3.6284779999999999</v>
      </c>
      <c r="K320">
        <v>29.573626000000001</v>
      </c>
      <c r="L320">
        <v>28.826471000000002</v>
      </c>
      <c r="M320" s="4">
        <f t="shared" si="33"/>
        <v>3.8406492577929274E-3</v>
      </c>
      <c r="N320" s="4">
        <f t="shared" si="33"/>
        <v>3.9999999999999813E-2</v>
      </c>
      <c r="O320" s="4">
        <f t="shared" si="34"/>
        <v>3.8709681742043367E-2</v>
      </c>
      <c r="P320" s="4">
        <f t="shared" si="34"/>
        <v>1.5311473914629614E-2</v>
      </c>
      <c r="Q320" s="4">
        <f t="shared" si="34"/>
        <v>-1.1615194127424622E-2</v>
      </c>
      <c r="R320" s="4">
        <f t="shared" si="35"/>
        <v>-6.2827784669887698E-3</v>
      </c>
      <c r="S320" s="4">
        <f t="shared" si="36"/>
        <v>-8.4309143754821569E-3</v>
      </c>
      <c r="T320" s="4">
        <f t="shared" si="37"/>
        <v>1.2361480916469159E-2</v>
      </c>
      <c r="U320" s="4">
        <f t="shared" si="38"/>
        <v>-9.3025376588817821E-3</v>
      </c>
      <c r="V320" s="4">
        <f t="shared" si="39"/>
        <v>2.5745304920469669E-2</v>
      </c>
      <c r="W320" s="4">
        <f t="shared" si="40"/>
        <v>2.3625339933950329E-3</v>
      </c>
    </row>
    <row r="321" spans="1:23" x14ac:dyDescent="0.25">
      <c r="A321" s="1">
        <v>45058</v>
      </c>
      <c r="B321">
        <v>4694.5898440000001</v>
      </c>
      <c r="C321">
        <v>9.25</v>
      </c>
      <c r="D321">
        <v>7.4625000000000004</v>
      </c>
      <c r="E321">
        <v>8.7711999999999998E-2</v>
      </c>
      <c r="F321">
        <v>13.225951999999999</v>
      </c>
      <c r="G321">
        <v>18.264849000000002</v>
      </c>
      <c r="H321">
        <v>10.494354</v>
      </c>
      <c r="I321">
        <v>38.533408999999999</v>
      </c>
      <c r="J321">
        <v>3.6625489999999998</v>
      </c>
      <c r="K321">
        <v>28.831354000000001</v>
      </c>
      <c r="L321">
        <v>28.758527999999998</v>
      </c>
      <c r="M321" s="4">
        <f t="shared" si="33"/>
        <v>-2.5136044373560429E-3</v>
      </c>
      <c r="N321" s="4">
        <f t="shared" si="33"/>
        <v>-2.1574973031283085E-3</v>
      </c>
      <c r="O321" s="4">
        <f t="shared" si="34"/>
        <v>3.8874003968672799E-2</v>
      </c>
      <c r="P321" s="4">
        <f t="shared" si="34"/>
        <v>-2.154100152828442E-2</v>
      </c>
      <c r="Q321" s="4">
        <f t="shared" si="34"/>
        <v>-1.3605521323232228E-2</v>
      </c>
      <c r="R321" s="4">
        <f t="shared" si="35"/>
        <v>2.2483915828361178E-2</v>
      </c>
      <c r="S321" s="4">
        <f t="shared" si="36"/>
        <v>-1.248839167224769E-2</v>
      </c>
      <c r="T321" s="4">
        <f t="shared" si="37"/>
        <v>1.0145758241573821E-2</v>
      </c>
      <c r="U321" s="4">
        <f t="shared" si="38"/>
        <v>-6.2068842011122616E-3</v>
      </c>
      <c r="V321" s="4">
        <f t="shared" si="39"/>
        <v>5.7921909049747367E-3</v>
      </c>
      <c r="W321" s="4">
        <f t="shared" si="40"/>
        <v>-1.5614636533211601E-2</v>
      </c>
    </row>
    <row r="322" spans="1:23" x14ac:dyDescent="0.25">
      <c r="A322" s="1">
        <v>45061</v>
      </c>
      <c r="B322">
        <v>4706.419922</v>
      </c>
      <c r="C322">
        <v>9.27</v>
      </c>
      <c r="D322">
        <v>7.1832580000000004</v>
      </c>
      <c r="E322">
        <v>8.9643E-2</v>
      </c>
      <c r="F322">
        <v>13.408379999999999</v>
      </c>
      <c r="G322">
        <v>17.863213999999999</v>
      </c>
      <c r="H322">
        <v>10.627069000000001</v>
      </c>
      <c r="I322">
        <v>38.146385000000002</v>
      </c>
      <c r="J322">
        <v>3.6854239999999998</v>
      </c>
      <c r="K322">
        <v>28.665319</v>
      </c>
      <c r="L322">
        <v>29.214704999999999</v>
      </c>
      <c r="M322" s="4">
        <f t="shared" si="33"/>
        <v>1.2778001158082919E-2</v>
      </c>
      <c r="N322" s="4">
        <f t="shared" si="33"/>
        <v>-4.2964554242750363E-3</v>
      </c>
      <c r="O322" s="4">
        <f t="shared" si="34"/>
        <v>5.3908174710857182E-3</v>
      </c>
      <c r="P322" s="4">
        <f t="shared" si="34"/>
        <v>-2.3762591886741125E-2</v>
      </c>
      <c r="Q322" s="4">
        <f t="shared" si="34"/>
        <v>2.7972037622342238E-2</v>
      </c>
      <c r="R322" s="4">
        <f t="shared" si="35"/>
        <v>2.5246956264612486E-2</v>
      </c>
      <c r="S322" s="4">
        <f t="shared" si="36"/>
        <v>2.8055070193058862E-2</v>
      </c>
      <c r="T322" s="4">
        <f t="shared" si="37"/>
        <v>2.0854547027848724E-3</v>
      </c>
      <c r="U322" s="4">
        <f t="shared" si="38"/>
        <v>1.542161185765778E-2</v>
      </c>
      <c r="V322" s="4">
        <f t="shared" si="39"/>
        <v>-5.0847879417270647E-3</v>
      </c>
      <c r="W322" s="4">
        <f t="shared" si="40"/>
        <v>9.0512970731586595E-3</v>
      </c>
    </row>
    <row r="323" spans="1:23" x14ac:dyDescent="0.25">
      <c r="A323" s="1">
        <v>45062</v>
      </c>
      <c r="B323">
        <v>4647.0400390000004</v>
      </c>
      <c r="C323">
        <v>9.31</v>
      </c>
      <c r="D323">
        <v>7.1447419999999999</v>
      </c>
      <c r="E323">
        <v>9.1825000000000004E-2</v>
      </c>
      <c r="F323">
        <v>13.043526</v>
      </c>
      <c r="G323">
        <v>17.423328000000001</v>
      </c>
      <c r="H323">
        <v>10.337062</v>
      </c>
      <c r="I323">
        <v>38.066997999999998</v>
      </c>
      <c r="J323">
        <v>3.6294520000000001</v>
      </c>
      <c r="K323">
        <v>28.811820999999998</v>
      </c>
      <c r="L323">
        <v>28.952646000000001</v>
      </c>
      <c r="M323" s="4">
        <f t="shared" si="33"/>
        <v>3.3205983345037104E-3</v>
      </c>
      <c r="N323" s="4">
        <f t="shared" si="33"/>
        <v>-9.5744680851063135E-3</v>
      </c>
      <c r="O323" s="4">
        <f t="shared" si="34"/>
        <v>-9.345763292335274E-3</v>
      </c>
      <c r="P323" s="4">
        <f t="shared" si="34"/>
        <v>-4.0350730514390754E-2</v>
      </c>
      <c r="Q323" s="4">
        <f t="shared" si="34"/>
        <v>1.4563213653200568E-2</v>
      </c>
      <c r="R323" s="4">
        <f t="shared" si="35"/>
        <v>1.2222194594441405E-2</v>
      </c>
      <c r="S323" s="4">
        <f t="shared" si="36"/>
        <v>0</v>
      </c>
      <c r="T323" s="4">
        <f t="shared" si="37"/>
        <v>-2.6395882948773375E-2</v>
      </c>
      <c r="U323" s="4">
        <f t="shared" si="38"/>
        <v>1.3419804269254598E-4</v>
      </c>
      <c r="V323" s="4">
        <f t="shared" si="39"/>
        <v>2.7874582111196533E-2</v>
      </c>
      <c r="W323" s="4">
        <f t="shared" si="40"/>
        <v>0</v>
      </c>
    </row>
    <row r="324" spans="1:23" x14ac:dyDescent="0.25">
      <c r="A324" s="1">
        <v>45063</v>
      </c>
      <c r="B324">
        <v>4631.6601559999999</v>
      </c>
      <c r="C324">
        <v>9.4</v>
      </c>
      <c r="D324">
        <v>7.2121449999999996</v>
      </c>
      <c r="E324">
        <v>9.5685999999999993E-2</v>
      </c>
      <c r="F324">
        <v>12.856297</v>
      </c>
      <c r="G324">
        <v>17.212948000000001</v>
      </c>
      <c r="H324">
        <v>10.337062</v>
      </c>
      <c r="I324">
        <v>39.099052</v>
      </c>
      <c r="J324">
        <v>3.628965</v>
      </c>
      <c r="K324">
        <v>28.030483</v>
      </c>
      <c r="L324">
        <v>28.952646000000001</v>
      </c>
      <c r="M324" s="4">
        <f t="shared" si="33"/>
        <v>-2.399338646478566E-3</v>
      </c>
      <c r="N324" s="4">
        <f t="shared" si="33"/>
        <v>-2.1231422505307851E-3</v>
      </c>
      <c r="O324" s="4">
        <f t="shared" si="34"/>
        <v>8.0753430315536612E-3</v>
      </c>
      <c r="P324" s="4">
        <f t="shared" si="34"/>
        <v>-1.7526655121330448E-3</v>
      </c>
      <c r="Q324" s="4">
        <f t="shared" si="34"/>
        <v>1.8638208207977458E-2</v>
      </c>
      <c r="R324" s="4">
        <f t="shared" si="35"/>
        <v>-6.6224599918049964E-3</v>
      </c>
      <c r="S324" s="4">
        <f t="shared" si="36"/>
        <v>-3.3991664174641167E-2</v>
      </c>
      <c r="T324" s="4">
        <f t="shared" si="37"/>
        <v>3.8208099653399996E-2</v>
      </c>
      <c r="U324" s="4">
        <f t="shared" si="38"/>
        <v>-2.2292169074768053E-2</v>
      </c>
      <c r="V324" s="4">
        <f t="shared" si="39"/>
        <v>-2.2812456259583613E-2</v>
      </c>
      <c r="W324" s="4">
        <f t="shared" si="40"/>
        <v>-2.3411655201471815E-3</v>
      </c>
    </row>
    <row r="325" spans="1:23" x14ac:dyDescent="0.25">
      <c r="A325" s="1">
        <v>45065</v>
      </c>
      <c r="B325">
        <v>4642.7998049999997</v>
      </c>
      <c r="C325">
        <v>9.42</v>
      </c>
      <c r="D325">
        <v>7.1543710000000003</v>
      </c>
      <c r="E325">
        <v>9.5853999999999995E-2</v>
      </c>
      <c r="F325">
        <v>12.621062999999999</v>
      </c>
      <c r="G325">
        <v>17.3277</v>
      </c>
      <c r="H325">
        <v>10.700799999999999</v>
      </c>
      <c r="I325">
        <v>37.660130000000002</v>
      </c>
      <c r="J325">
        <v>3.7117070000000001</v>
      </c>
      <c r="K325">
        <v>28.684854999999999</v>
      </c>
      <c r="L325">
        <v>29.020588</v>
      </c>
      <c r="M325" s="4">
        <f t="shared" si="33"/>
        <v>3.2672156296393862E-3</v>
      </c>
      <c r="N325" s="4">
        <f t="shared" si="33"/>
        <v>1.8378378378378413E-2</v>
      </c>
      <c r="O325" s="4">
        <f t="shared" si="34"/>
        <v>2.0604470654863594E-2</v>
      </c>
      <c r="P325" s="4">
        <f t="shared" si="34"/>
        <v>-1.4668845920580709E-2</v>
      </c>
      <c r="Q325" s="4">
        <f t="shared" si="34"/>
        <v>6.5083386419118039E-3</v>
      </c>
      <c r="R325" s="4">
        <f t="shared" si="35"/>
        <v>-4.3956623581096199E-3</v>
      </c>
      <c r="S325" s="4">
        <f t="shared" si="36"/>
        <v>5.0785546360243572E-3</v>
      </c>
      <c r="T325" s="4">
        <f t="shared" si="37"/>
        <v>1.6064364622423E-2</v>
      </c>
      <c r="U325" s="4">
        <f t="shared" si="38"/>
        <v>1.576149812216654E-3</v>
      </c>
      <c r="V325" s="4">
        <f t="shared" si="39"/>
        <v>4.7896675784488973E-3</v>
      </c>
      <c r="W325" s="4">
        <f t="shared" si="40"/>
        <v>-1.0023509360129745E-3</v>
      </c>
    </row>
    <row r="326" spans="1:23" x14ac:dyDescent="0.25">
      <c r="A326" s="1">
        <v>45068</v>
      </c>
      <c r="B326">
        <v>4627.6801759999998</v>
      </c>
      <c r="C326">
        <v>9.25</v>
      </c>
      <c r="D326">
        <v>7.0099349999999996</v>
      </c>
      <c r="E326">
        <v>9.7281000000000006E-2</v>
      </c>
      <c r="F326">
        <v>12.539452000000001</v>
      </c>
      <c r="G326">
        <v>17.404202999999999</v>
      </c>
      <c r="H326">
        <v>10.64673</v>
      </c>
      <c r="I326">
        <v>37.064709000000001</v>
      </c>
      <c r="J326">
        <v>3.7058659999999999</v>
      </c>
      <c r="K326">
        <v>28.548119</v>
      </c>
      <c r="L326">
        <v>29.049706</v>
      </c>
      <c r="M326" s="4">
        <f t="shared" ref="M326:N389" si="41">B326/B327-1</f>
        <v>-5.6129725820031062E-5</v>
      </c>
      <c r="N326" s="4">
        <f t="shared" si="41"/>
        <v>-1.2806830309498363E-2</v>
      </c>
      <c r="O326" s="4">
        <f t="shared" ref="O326:Q389" si="42">D326/D327-1</f>
        <v>-4.1039537581715191E-3</v>
      </c>
      <c r="P326" s="4">
        <f t="shared" si="42"/>
        <v>6.0811020446154274E-3</v>
      </c>
      <c r="Q326" s="4">
        <f t="shared" si="42"/>
        <v>-2.3186088689542972E-2</v>
      </c>
      <c r="R326" s="4">
        <f t="shared" si="35"/>
        <v>2.2026434254798222E-3</v>
      </c>
      <c r="S326" s="4">
        <f t="shared" si="36"/>
        <v>3.537277866208588E-2</v>
      </c>
      <c r="T326" s="4">
        <f t="shared" si="37"/>
        <v>-1.0698190974850474E-3</v>
      </c>
      <c r="U326" s="4">
        <f t="shared" si="38"/>
        <v>-1.573669473371786E-3</v>
      </c>
      <c r="V326" s="4">
        <f t="shared" si="39"/>
        <v>-1.8798313404232214E-2</v>
      </c>
      <c r="W326" s="4">
        <f t="shared" si="40"/>
        <v>1.5264632016143809E-2</v>
      </c>
    </row>
    <row r="327" spans="1:23" x14ac:dyDescent="0.25">
      <c r="A327" s="1">
        <v>45069</v>
      </c>
      <c r="B327">
        <v>4627.9399409999996</v>
      </c>
      <c r="C327">
        <v>9.3699999999999992</v>
      </c>
      <c r="D327">
        <v>7.0388219999999997</v>
      </c>
      <c r="E327">
        <v>9.6693000000000001E-2</v>
      </c>
      <c r="F327">
        <v>12.837094</v>
      </c>
      <c r="G327">
        <v>17.365952</v>
      </c>
      <c r="H327">
        <v>10.282992</v>
      </c>
      <c r="I327">
        <v>37.104404000000002</v>
      </c>
      <c r="J327">
        <v>3.7117070000000001</v>
      </c>
      <c r="K327">
        <v>29.095057000000001</v>
      </c>
      <c r="L327">
        <v>28.612939999999998</v>
      </c>
      <c r="M327" s="4">
        <f t="shared" si="41"/>
        <v>1.6499690280737056E-2</v>
      </c>
      <c r="N327" s="4">
        <f t="shared" si="41"/>
        <v>1.297297297297284E-2</v>
      </c>
      <c r="O327" s="4">
        <f t="shared" si="42"/>
        <v>5.5020451963099237E-3</v>
      </c>
      <c r="P327" s="4">
        <f t="shared" si="42"/>
        <v>1.0524005601655562E-2</v>
      </c>
      <c r="Q327" s="4">
        <f t="shared" si="42"/>
        <v>2.6487534428901061E-2</v>
      </c>
      <c r="R327" s="4">
        <f t="shared" si="35"/>
        <v>4.4247792729092961E-3</v>
      </c>
      <c r="S327" s="4">
        <f t="shared" si="36"/>
        <v>2.2982758603537379E-2</v>
      </c>
      <c r="T327" s="4">
        <f t="shared" si="37"/>
        <v>1.9912654162390853E-2</v>
      </c>
      <c r="U327" s="4">
        <f t="shared" si="38"/>
        <v>2.3074747684118435E-2</v>
      </c>
      <c r="V327" s="4">
        <f t="shared" si="39"/>
        <v>1.0173024818751708E-2</v>
      </c>
      <c r="W327" s="4">
        <f t="shared" si="40"/>
        <v>3.6568186625702603E-2</v>
      </c>
    </row>
    <row r="328" spans="1:23" x14ac:dyDescent="0.25">
      <c r="A328" s="1">
        <v>45070</v>
      </c>
      <c r="B328">
        <v>4552.8198240000002</v>
      </c>
      <c r="C328">
        <v>9.25</v>
      </c>
      <c r="D328">
        <v>7.0003060000000001</v>
      </c>
      <c r="E328">
        <v>9.5685999999999993E-2</v>
      </c>
      <c r="F328">
        <v>12.505845000000001</v>
      </c>
      <c r="G328">
        <v>17.289449999999999</v>
      </c>
      <c r="H328">
        <v>10.051970000000001</v>
      </c>
      <c r="I328">
        <v>36.379981999999998</v>
      </c>
      <c r="J328">
        <v>3.6279919999999999</v>
      </c>
      <c r="K328">
        <v>28.802053000000001</v>
      </c>
      <c r="L328">
        <v>27.603529000000002</v>
      </c>
      <c r="M328" s="4">
        <f t="shared" si="41"/>
        <v>1.2228146558144637E-2</v>
      </c>
      <c r="N328" s="4">
        <f t="shared" si="41"/>
        <v>4.3431053203040193E-3</v>
      </c>
      <c r="O328" s="4">
        <f t="shared" si="42"/>
        <v>9.7221899686177338E-3</v>
      </c>
      <c r="P328" s="4">
        <f t="shared" si="42"/>
        <v>-2.6266964080968735E-3</v>
      </c>
      <c r="Q328" s="4">
        <f t="shared" si="42"/>
        <v>1.9170520522572287E-2</v>
      </c>
      <c r="R328" s="4">
        <f t="shared" si="35"/>
        <v>2.031608969861054E-2</v>
      </c>
      <c r="S328" s="4">
        <f t="shared" si="36"/>
        <v>2.7431858332546355E-2</v>
      </c>
      <c r="T328" s="4">
        <f t="shared" si="37"/>
        <v>2.5454539714580005E-2</v>
      </c>
      <c r="U328" s="4">
        <f t="shared" si="38"/>
        <v>-1.4732980215200753E-3</v>
      </c>
      <c r="V328" s="4">
        <f t="shared" si="39"/>
        <v>1.2706023079261275E-2</v>
      </c>
      <c r="W328" s="4">
        <f t="shared" si="40"/>
        <v>4.2521941525924145E-2</v>
      </c>
    </row>
    <row r="329" spans="1:23" x14ac:dyDescent="0.25">
      <c r="A329" s="1">
        <v>45071</v>
      </c>
      <c r="B329">
        <v>4497.8198240000002</v>
      </c>
      <c r="C329">
        <v>9.2100000000000009</v>
      </c>
      <c r="D329">
        <v>6.9329029999999996</v>
      </c>
      <c r="E329">
        <v>9.5937999999999996E-2</v>
      </c>
      <c r="F329">
        <v>12.270611000000001</v>
      </c>
      <c r="G329">
        <v>16.94519</v>
      </c>
      <c r="H329">
        <v>9.783588</v>
      </c>
      <c r="I329">
        <v>35.476933000000002</v>
      </c>
      <c r="J329">
        <v>3.6333449999999998</v>
      </c>
      <c r="K329">
        <v>28.440684999999998</v>
      </c>
      <c r="L329">
        <v>26.477647999999999</v>
      </c>
      <c r="M329" s="4">
        <f t="shared" si="41"/>
        <v>-9.7335251182196769E-3</v>
      </c>
      <c r="N329" s="4">
        <f t="shared" si="41"/>
        <v>1.0869565217392907E-3</v>
      </c>
      <c r="O329" s="4">
        <f t="shared" si="42"/>
        <v>1.408445965860583E-2</v>
      </c>
      <c r="P329" s="4">
        <f t="shared" si="42"/>
        <v>8.763327560665779E-4</v>
      </c>
      <c r="Q329" s="4">
        <f t="shared" si="42"/>
        <v>1.9545212418356384E-2</v>
      </c>
      <c r="R329" s="4">
        <f t="shared" si="35"/>
        <v>-2.2521939018244064E-3</v>
      </c>
      <c r="S329" s="4">
        <f t="shared" si="36"/>
        <v>-2.2396887206189708E-2</v>
      </c>
      <c r="T329" s="4">
        <f t="shared" si="37"/>
        <v>-1.2157994874917644E-2</v>
      </c>
      <c r="U329" s="4">
        <f t="shared" si="38"/>
        <v>-2.0726921954252631E-2</v>
      </c>
      <c r="V329" s="4">
        <f t="shared" si="39"/>
        <v>-9.8605625506742456E-3</v>
      </c>
      <c r="W329" s="4">
        <f t="shared" si="40"/>
        <v>-2.046673874718552E-2</v>
      </c>
    </row>
    <row r="330" spans="1:23" x14ac:dyDescent="0.25">
      <c r="A330" s="1">
        <v>45072</v>
      </c>
      <c r="B330">
        <v>4542.0297849999997</v>
      </c>
      <c r="C330">
        <v>9.1999999999999993</v>
      </c>
      <c r="D330">
        <v>6.8366129999999998</v>
      </c>
      <c r="E330">
        <v>9.5853999999999995E-2</v>
      </c>
      <c r="F330">
        <v>12.035377</v>
      </c>
      <c r="G330">
        <v>16.983440000000002</v>
      </c>
      <c r="H330">
        <v>10.00773</v>
      </c>
      <c r="I330">
        <v>35.91357</v>
      </c>
      <c r="J330">
        <v>3.7102469999999999</v>
      </c>
      <c r="K330">
        <v>28.723918999999999</v>
      </c>
      <c r="L330">
        <v>27.030881999999998</v>
      </c>
      <c r="M330" s="4">
        <f t="shared" si="41"/>
        <v>1.1858713183108271E-3</v>
      </c>
      <c r="N330" s="4">
        <f t="shared" si="41"/>
        <v>6.5645514223193757E-3</v>
      </c>
      <c r="O330" s="4">
        <f t="shared" si="42"/>
        <v>1.865145084471509E-2</v>
      </c>
      <c r="P330" s="4">
        <f t="shared" si="42"/>
        <v>4.4009472515036396E-3</v>
      </c>
      <c r="Q330" s="4">
        <f t="shared" si="42"/>
        <v>-1.2214263097168998E-2</v>
      </c>
      <c r="R330" s="4">
        <f t="shared" si="35"/>
        <v>-2.2471329227590209E-3</v>
      </c>
      <c r="S330" s="4">
        <f t="shared" si="36"/>
        <v>4.4400095870003042E-3</v>
      </c>
      <c r="T330" s="4">
        <f t="shared" si="37"/>
        <v>-1.1040999724475364E-3</v>
      </c>
      <c r="U330" s="4">
        <f t="shared" si="38"/>
        <v>1.3127533856627238E-4</v>
      </c>
      <c r="V330" s="4">
        <f t="shared" si="39"/>
        <v>-6.7963300443996122E-4</v>
      </c>
      <c r="W330" s="4">
        <f t="shared" si="40"/>
        <v>3.5923678374460977E-4</v>
      </c>
    </row>
    <row r="331" spans="1:23" x14ac:dyDescent="0.25">
      <c r="A331" s="1">
        <v>45075</v>
      </c>
      <c r="B331">
        <v>4536.6499020000001</v>
      </c>
      <c r="C331">
        <v>9.14</v>
      </c>
      <c r="D331">
        <v>6.7114349999999998</v>
      </c>
      <c r="E331">
        <v>9.5434000000000005E-2</v>
      </c>
      <c r="F331">
        <v>12.184198</v>
      </c>
      <c r="G331">
        <v>17.02169</v>
      </c>
      <c r="H331">
        <v>9.9634920000000005</v>
      </c>
      <c r="I331">
        <v>35.953265999999999</v>
      </c>
      <c r="J331">
        <v>3.7097600000000002</v>
      </c>
      <c r="K331">
        <v>28.743454</v>
      </c>
      <c r="L331">
        <v>27.021174999999999</v>
      </c>
      <c r="M331" s="4">
        <f t="shared" si="41"/>
        <v>2.665447789923503E-3</v>
      </c>
      <c r="N331" s="4">
        <f t="shared" si="41"/>
        <v>-1.1891891891891881E-2</v>
      </c>
      <c r="O331" s="4">
        <f t="shared" si="42"/>
        <v>-1.8309943827447883E-2</v>
      </c>
      <c r="P331" s="4">
        <f t="shared" si="42"/>
        <v>-6.9922793582085641E-3</v>
      </c>
      <c r="Q331" s="4">
        <f t="shared" si="42"/>
        <v>-1.1807091649279622E-3</v>
      </c>
      <c r="R331" s="4">
        <f t="shared" si="35"/>
        <v>5.6495706474009033E-3</v>
      </c>
      <c r="S331" s="4">
        <f t="shared" si="36"/>
        <v>-3.4415227197710507E-3</v>
      </c>
      <c r="T331" s="4">
        <f t="shared" si="37"/>
        <v>-2.7525412799366267E-3</v>
      </c>
      <c r="U331" s="4">
        <f t="shared" si="38"/>
        <v>-3.934016307305388E-4</v>
      </c>
      <c r="V331" s="4">
        <f t="shared" si="39"/>
        <v>1.7634902736202607E-2</v>
      </c>
      <c r="W331" s="4">
        <f t="shared" si="40"/>
        <v>-2.8654010963723442E-3</v>
      </c>
    </row>
    <row r="332" spans="1:23" x14ac:dyDescent="0.25">
      <c r="A332" s="1">
        <v>45076</v>
      </c>
      <c r="B332">
        <v>4524.5898440000001</v>
      </c>
      <c r="C332">
        <v>9.25</v>
      </c>
      <c r="D332">
        <v>6.8366129999999998</v>
      </c>
      <c r="E332">
        <v>9.6105999999999997E-2</v>
      </c>
      <c r="F332">
        <v>12.198601</v>
      </c>
      <c r="G332">
        <v>16.926065000000001</v>
      </c>
      <c r="H332">
        <v>9.9978999999999996</v>
      </c>
      <c r="I332">
        <v>36.052501999999997</v>
      </c>
      <c r="J332">
        <v>3.71122</v>
      </c>
      <c r="K332">
        <v>28.245349999999998</v>
      </c>
      <c r="L332">
        <v>27.098824</v>
      </c>
      <c r="M332" s="4">
        <f t="shared" si="41"/>
        <v>1.3777362068924992E-2</v>
      </c>
      <c r="N332" s="4">
        <f t="shared" si="41"/>
        <v>1.0928961748633892E-2</v>
      </c>
      <c r="O332" s="4">
        <f t="shared" si="42"/>
        <v>1.4285665538580128E-2</v>
      </c>
      <c r="P332" s="4">
        <f t="shared" si="42"/>
        <v>4.3893568547124229E-3</v>
      </c>
      <c r="Q332" s="4">
        <f t="shared" si="42"/>
        <v>2.2123895288323148E-2</v>
      </c>
      <c r="R332" s="4">
        <f t="shared" si="35"/>
        <v>-2.2548505784228956E-3</v>
      </c>
      <c r="S332" s="4">
        <f t="shared" si="36"/>
        <v>-6.350653595843192E-3</v>
      </c>
      <c r="T332" s="4">
        <f t="shared" si="37"/>
        <v>2.714166682383734E-2</v>
      </c>
      <c r="U332" s="4">
        <f t="shared" si="38"/>
        <v>4.6113012748414395E-3</v>
      </c>
      <c r="V332" s="4">
        <f t="shared" si="39"/>
        <v>3.0281474006843778E-2</v>
      </c>
      <c r="W332" s="4">
        <f t="shared" si="40"/>
        <v>1.416634808859718E-2</v>
      </c>
    </row>
    <row r="333" spans="1:23" x14ac:dyDescent="0.25">
      <c r="A333" s="1">
        <v>45077</v>
      </c>
      <c r="B333">
        <v>4463.1000979999999</v>
      </c>
      <c r="C333">
        <v>9.15</v>
      </c>
      <c r="D333">
        <v>6.7403230000000001</v>
      </c>
      <c r="E333">
        <v>9.5685999999999993E-2</v>
      </c>
      <c r="F333">
        <v>11.934562</v>
      </c>
      <c r="G333">
        <v>16.964317000000001</v>
      </c>
      <c r="H333">
        <v>10.061799000000001</v>
      </c>
      <c r="I333">
        <v>35.099834000000001</v>
      </c>
      <c r="J333">
        <v>3.6941850000000001</v>
      </c>
      <c r="K333">
        <v>27.415178000000001</v>
      </c>
      <c r="L333">
        <v>26.720295</v>
      </c>
      <c r="M333" s="4">
        <f t="shared" si="41"/>
        <v>-7.0415266700039059E-3</v>
      </c>
      <c r="N333" s="4">
        <f t="shared" si="41"/>
        <v>-1.8240343347639465E-2</v>
      </c>
      <c r="O333" s="4">
        <f t="shared" si="42"/>
        <v>-1.426528662722415E-3</v>
      </c>
      <c r="P333" s="4">
        <f t="shared" si="42"/>
        <v>4.4914985858276912E-2</v>
      </c>
      <c r="Q333" s="4">
        <f t="shared" si="42"/>
        <v>3.4970899209820328E-2</v>
      </c>
      <c r="R333" s="4">
        <f t="shared" si="35"/>
        <v>-1.1259791891395921E-3</v>
      </c>
      <c r="S333" s="4">
        <f t="shared" si="36"/>
        <v>3.4314010493856628E-3</v>
      </c>
      <c r="T333" s="4">
        <f t="shared" si="37"/>
        <v>-3.1489622086291025E-2</v>
      </c>
      <c r="U333" s="4">
        <f t="shared" si="38"/>
        <v>-6.5445374652987054E-3</v>
      </c>
      <c r="V333" s="4">
        <f t="shared" si="39"/>
        <v>2.4999256768969413E-3</v>
      </c>
      <c r="W333" s="4">
        <f t="shared" si="40"/>
        <v>-1.3968465937857721E-2</v>
      </c>
    </row>
    <row r="334" spans="1:23" x14ac:dyDescent="0.25">
      <c r="A334" s="1">
        <v>45078</v>
      </c>
      <c r="B334">
        <v>4494.75</v>
      </c>
      <c r="C334">
        <v>9.32</v>
      </c>
      <c r="D334">
        <v>6.7499520000000004</v>
      </c>
      <c r="E334">
        <v>9.1573000000000002E-2</v>
      </c>
      <c r="F334">
        <v>11.531302</v>
      </c>
      <c r="G334">
        <v>16.983440000000002</v>
      </c>
      <c r="H334">
        <v>10.027391</v>
      </c>
      <c r="I334">
        <v>36.241050999999999</v>
      </c>
      <c r="J334">
        <v>3.718521</v>
      </c>
      <c r="K334">
        <v>27.346813000000001</v>
      </c>
      <c r="L334">
        <v>27.098824</v>
      </c>
      <c r="M334" s="4">
        <f t="shared" si="41"/>
        <v>-2.240859497797798E-2</v>
      </c>
      <c r="N334" s="4">
        <f t="shared" si="41"/>
        <v>-1.6877637130801704E-2</v>
      </c>
      <c r="O334" s="4">
        <f t="shared" si="42"/>
        <v>-9.8869722935067683E-3</v>
      </c>
      <c r="P334" s="4">
        <f t="shared" si="42"/>
        <v>-1.0887763147946039E-2</v>
      </c>
      <c r="Q334" s="4">
        <f t="shared" si="42"/>
        <v>-1.5977089276555945E-2</v>
      </c>
      <c r="R334" s="4">
        <f t="shared" si="35"/>
        <v>-1.0033533713334042E-2</v>
      </c>
      <c r="S334" s="4">
        <f t="shared" si="36"/>
        <v>-4.0000095737755204E-2</v>
      </c>
      <c r="T334" s="4">
        <f t="shared" si="37"/>
        <v>-2.2745478663800611E-2</v>
      </c>
      <c r="U334" s="4">
        <f t="shared" si="38"/>
        <v>-3.9112035449149207E-3</v>
      </c>
      <c r="V334" s="4">
        <f t="shared" si="39"/>
        <v>-2.2346333364340665E-2</v>
      </c>
      <c r="W334" s="4">
        <f t="shared" si="40"/>
        <v>-3.0218798932908131E-2</v>
      </c>
    </row>
    <row r="335" spans="1:23" x14ac:dyDescent="0.25">
      <c r="A335" s="1">
        <v>45079</v>
      </c>
      <c r="B335">
        <v>4597.7797849999997</v>
      </c>
      <c r="C335">
        <v>9.48</v>
      </c>
      <c r="D335">
        <v>6.8173550000000001</v>
      </c>
      <c r="E335">
        <v>9.2580999999999997E-2</v>
      </c>
      <c r="F335">
        <v>11.718529999999999</v>
      </c>
      <c r="G335">
        <v>17.155570999999998</v>
      </c>
      <c r="H335">
        <v>10.4452</v>
      </c>
      <c r="I335">
        <v>37.084556999999997</v>
      </c>
      <c r="J335">
        <v>3.7331219999999998</v>
      </c>
      <c r="K335">
        <v>27.971882000000001</v>
      </c>
      <c r="L335">
        <v>27.943235000000001</v>
      </c>
      <c r="M335" s="4">
        <f t="shared" si="41"/>
        <v>-4.3268141479824163E-4</v>
      </c>
      <c r="N335" s="4">
        <f t="shared" si="41"/>
        <v>-1.5576323987538943E-2</v>
      </c>
      <c r="O335" s="4">
        <f t="shared" si="42"/>
        <v>1.4326598537582891E-2</v>
      </c>
      <c r="P335" s="4">
        <f t="shared" si="42"/>
        <v>9.1562115084857787E-3</v>
      </c>
      <c r="Q335" s="4">
        <f t="shared" si="42"/>
        <v>-7.3199851384276871E-3</v>
      </c>
      <c r="R335" s="4">
        <f t="shared" si="35"/>
        <v>5.6054704054679938E-3</v>
      </c>
      <c r="S335" s="4">
        <f t="shared" si="36"/>
        <v>-6.0804445670894491E-3</v>
      </c>
      <c r="T335" s="4">
        <f t="shared" si="37"/>
        <v>-4.2632861889708717E-3</v>
      </c>
      <c r="U335" s="4">
        <f t="shared" si="38"/>
        <v>2.6070770486374961E-4</v>
      </c>
      <c r="V335" s="4">
        <f t="shared" si="39"/>
        <v>-1.5469256426605016E-2</v>
      </c>
      <c r="W335" s="4">
        <f t="shared" si="40"/>
        <v>-3.471906711780548E-4</v>
      </c>
    </row>
    <row r="336" spans="1:23" x14ac:dyDescent="0.25">
      <c r="A336" s="1">
        <v>45082</v>
      </c>
      <c r="B336">
        <v>4599.7700199999999</v>
      </c>
      <c r="C336">
        <v>9.6300000000000008</v>
      </c>
      <c r="D336">
        <v>6.7210650000000003</v>
      </c>
      <c r="E336">
        <v>9.1741000000000003E-2</v>
      </c>
      <c r="F336">
        <v>11.804942</v>
      </c>
      <c r="G336">
        <v>17.059941999999999</v>
      </c>
      <c r="H336">
        <v>10.5091</v>
      </c>
      <c r="I336">
        <v>37.243335999999999</v>
      </c>
      <c r="J336">
        <v>3.7321490000000002</v>
      </c>
      <c r="K336">
        <v>28.411384999999999</v>
      </c>
      <c r="L336">
        <v>27.952940000000002</v>
      </c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</row>
    <row r="337" spans="1:23" x14ac:dyDescent="0.25">
      <c r="A337" s="1">
        <v>45083</v>
      </c>
      <c r="C337">
        <v>9.65</v>
      </c>
      <c r="D337">
        <v>6.692177</v>
      </c>
      <c r="E337">
        <v>9.2580999999999997E-2</v>
      </c>
      <c r="F337">
        <v>11.713729000000001</v>
      </c>
      <c r="G337">
        <v>17.193822999999998</v>
      </c>
      <c r="H337">
        <v>10.553338</v>
      </c>
      <c r="I337">
        <v>37.838752999999997</v>
      </c>
      <c r="J337">
        <v>3.681044</v>
      </c>
      <c r="K337">
        <v>29.046220999999999</v>
      </c>
      <c r="L337">
        <v>28.127645000000001</v>
      </c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</row>
    <row r="338" spans="1:23" x14ac:dyDescent="0.25">
      <c r="A338" s="1">
        <v>45084</v>
      </c>
      <c r="B338">
        <v>4618.7202150000003</v>
      </c>
      <c r="C338">
        <v>9.7100000000000009</v>
      </c>
      <c r="D338">
        <v>6.7788389999999996</v>
      </c>
      <c r="E338">
        <v>9.3923999999999994E-2</v>
      </c>
      <c r="F338">
        <v>11.65132</v>
      </c>
      <c r="G338">
        <v>17.098192000000001</v>
      </c>
      <c r="H338">
        <v>10.636900000000001</v>
      </c>
      <c r="I338">
        <v>38.583022999999997</v>
      </c>
      <c r="J338">
        <v>3.699052</v>
      </c>
      <c r="K338">
        <v>28.684854999999999</v>
      </c>
      <c r="L338">
        <v>28.011177</v>
      </c>
      <c r="M338" s="4">
        <f t="shared" si="41"/>
        <v>1.6308162044567087E-3</v>
      </c>
      <c r="N338" s="4">
        <f t="shared" si="41"/>
        <v>6.2176165803109473E-3</v>
      </c>
      <c r="O338" s="4">
        <f t="shared" si="42"/>
        <v>1.4224702734881856E-3</v>
      </c>
      <c r="P338" s="4">
        <f t="shared" si="42"/>
        <v>2.0990727555357358E-2</v>
      </c>
      <c r="Q338" s="4">
        <f t="shared" si="42"/>
        <v>-7.361983783410353E-3</v>
      </c>
      <c r="R338" s="4">
        <f t="shared" si="35"/>
        <v>-4.4544602128619992E-3</v>
      </c>
      <c r="S338" s="4">
        <f t="shared" si="36"/>
        <v>-7.3394300206446328E-3</v>
      </c>
      <c r="T338" s="4">
        <f t="shared" si="37"/>
        <v>1.0132473808843301E-2</v>
      </c>
      <c r="U338" s="4">
        <f t="shared" si="38"/>
        <v>1.2253596747260787E-2</v>
      </c>
      <c r="V338" s="4">
        <f t="shared" si="39"/>
        <v>-9.443434237779269E-3</v>
      </c>
      <c r="W338" s="4">
        <f t="shared" si="40"/>
        <v>-4.1406950350802996E-3</v>
      </c>
    </row>
    <row r="339" spans="1:23" x14ac:dyDescent="0.25">
      <c r="A339" s="1">
        <v>45085</v>
      </c>
      <c r="B339">
        <v>4611.2001950000003</v>
      </c>
      <c r="C339">
        <v>9.65</v>
      </c>
      <c r="D339">
        <v>6.7692100000000002</v>
      </c>
      <c r="E339">
        <v>9.1993000000000005E-2</v>
      </c>
      <c r="F339">
        <v>11.737733</v>
      </c>
      <c r="G339">
        <v>17.174696000000001</v>
      </c>
      <c r="H339">
        <v>10.715546</v>
      </c>
      <c r="I339">
        <v>38.196002999999997</v>
      </c>
      <c r="J339">
        <v>3.654274</v>
      </c>
      <c r="K339">
        <v>28.958321000000002</v>
      </c>
      <c r="L339">
        <v>28.127645000000001</v>
      </c>
      <c r="M339" s="4">
        <f t="shared" si="41"/>
        <v>-3.6257254941711725E-3</v>
      </c>
      <c r="N339" s="4">
        <f t="shared" si="41"/>
        <v>-6.1791967044284579E-3</v>
      </c>
      <c r="O339" s="4">
        <f t="shared" si="42"/>
        <v>7.1632992687915564E-3</v>
      </c>
      <c r="P339" s="4">
        <f t="shared" si="42"/>
        <v>1.8295671113530698E-3</v>
      </c>
      <c r="Q339" s="4">
        <f t="shared" si="42"/>
        <v>-1.4510235372683589E-2</v>
      </c>
      <c r="R339" s="4">
        <f t="shared" si="35"/>
        <v>-6.6372267481035196E-3</v>
      </c>
      <c r="S339" s="4">
        <f t="shared" si="36"/>
        <v>5.0714361621753135E-3</v>
      </c>
      <c r="T339" s="4">
        <f t="shared" si="37"/>
        <v>-1.0794090963583081E-2</v>
      </c>
      <c r="U339" s="4">
        <f t="shared" si="38"/>
        <v>-7.0096492729758708E-3</v>
      </c>
      <c r="V339" s="4">
        <f t="shared" si="39"/>
        <v>-6.7001888202289361E-3</v>
      </c>
      <c r="W339" s="4">
        <f t="shared" si="40"/>
        <v>-9.2308458565931728E-3</v>
      </c>
    </row>
    <row r="340" spans="1:23" x14ac:dyDescent="0.25">
      <c r="A340" s="1">
        <v>45086</v>
      </c>
      <c r="B340">
        <v>4627.9799800000001</v>
      </c>
      <c r="C340">
        <v>9.7100000000000009</v>
      </c>
      <c r="D340">
        <v>6.7210650000000003</v>
      </c>
      <c r="E340">
        <v>9.1825000000000004E-2</v>
      </c>
      <c r="F340">
        <v>11.910558</v>
      </c>
      <c r="G340">
        <v>17.289449999999999</v>
      </c>
      <c r="H340">
        <v>10.661477</v>
      </c>
      <c r="I340">
        <v>38.612793000000003</v>
      </c>
      <c r="J340">
        <v>3.6800700000000002</v>
      </c>
      <c r="K340">
        <v>29.153656000000002</v>
      </c>
      <c r="L340">
        <v>28.389706</v>
      </c>
      <c r="M340" s="4">
        <f t="shared" si="41"/>
        <v>-2.7223776176998893E-4</v>
      </c>
      <c r="N340" s="4">
        <f t="shared" si="41"/>
        <v>5.1759834368529933E-3</v>
      </c>
      <c r="O340" s="4">
        <f t="shared" si="42"/>
        <v>8.6706416800110819E-3</v>
      </c>
      <c r="P340" s="4">
        <f t="shared" si="42"/>
        <v>-2.0596015188361294E-2</v>
      </c>
      <c r="Q340" s="4">
        <f t="shared" si="42"/>
        <v>-1.5085357337332406E-2</v>
      </c>
      <c r="R340" s="4">
        <f t="shared" si="35"/>
        <v>-3.3155110955551126E-2</v>
      </c>
      <c r="S340" s="4">
        <f t="shared" si="36"/>
        <v>1.3851201260857149E-3</v>
      </c>
      <c r="T340" s="4">
        <f t="shared" si="37"/>
        <v>-4.0952427722041884E-3</v>
      </c>
      <c r="U340" s="4">
        <f t="shared" si="38"/>
        <v>-4.4765242175415221E-3</v>
      </c>
      <c r="V340" s="4">
        <f t="shared" si="39"/>
        <v>1.1178871446689609E-2</v>
      </c>
      <c r="W340" s="4">
        <f t="shared" si="40"/>
        <v>2.7426124495300019E-3</v>
      </c>
    </row>
    <row r="341" spans="1:23" x14ac:dyDescent="0.25">
      <c r="A341" s="1">
        <v>45089</v>
      </c>
      <c r="B341">
        <v>4629.2402339999999</v>
      </c>
      <c r="C341">
        <v>9.66</v>
      </c>
      <c r="D341">
        <v>6.6632899999999999</v>
      </c>
      <c r="E341">
        <v>9.3756000000000006E-2</v>
      </c>
      <c r="F341">
        <v>12.092985000000001</v>
      </c>
      <c r="G341">
        <v>17.882341</v>
      </c>
      <c r="H341">
        <v>10.64673</v>
      </c>
      <c r="I341">
        <v>38.771571999999999</v>
      </c>
      <c r="J341">
        <v>3.696618</v>
      </c>
      <c r="K341">
        <v>28.831354000000001</v>
      </c>
      <c r="L341">
        <v>28.312056999999999</v>
      </c>
      <c r="M341" s="4">
        <f t="shared" si="41"/>
        <v>-9.2711114363442926E-3</v>
      </c>
      <c r="N341" s="4">
        <f t="shared" si="41"/>
        <v>-5.1493305870237149E-3</v>
      </c>
      <c r="O341" s="4">
        <f t="shared" si="42"/>
        <v>-1.9830108337671626E-2</v>
      </c>
      <c r="P341" s="4">
        <f t="shared" si="42"/>
        <v>-3.8725354495401487E-2</v>
      </c>
      <c r="Q341" s="4">
        <f t="shared" si="42"/>
        <v>-1.4861171258447325E-2</v>
      </c>
      <c r="R341" s="4">
        <f t="shared" ref="R341:R404" si="43">G341/G342-1</f>
        <v>-3.1981000366002599E-3</v>
      </c>
      <c r="S341" s="4">
        <f t="shared" ref="S341:S404" si="44">H341/H342-1</f>
        <v>-2.0352921128267032E-2</v>
      </c>
      <c r="T341" s="4">
        <f t="shared" ref="T341:T404" si="45">I341/I342-1</f>
        <v>-4.6142610240913151E-2</v>
      </c>
      <c r="U341" s="4">
        <f t="shared" ref="U341:U404" si="46">J341/J342-1</f>
        <v>-1.37647000128861E-2</v>
      </c>
      <c r="V341" s="4">
        <f t="shared" ref="V341:V404" si="47">K341/K342-1</f>
        <v>3.3887793895592822E-4</v>
      </c>
      <c r="W341" s="4">
        <f t="shared" ref="W341:W404" si="48">L341/L342-1</f>
        <v>-1.0274802630815261E-3</v>
      </c>
    </row>
    <row r="342" spans="1:23" x14ac:dyDescent="0.25">
      <c r="A342" s="1">
        <v>45090</v>
      </c>
      <c r="B342">
        <v>4672.5600590000004</v>
      </c>
      <c r="C342">
        <v>9.7100000000000009</v>
      </c>
      <c r="D342">
        <v>6.7980970000000003</v>
      </c>
      <c r="E342">
        <v>9.7532999999999995E-2</v>
      </c>
      <c r="F342">
        <v>12.275411999999999</v>
      </c>
      <c r="G342">
        <v>17.939713999999999</v>
      </c>
      <c r="H342">
        <v>10.867924</v>
      </c>
      <c r="I342">
        <v>40.647137000000001</v>
      </c>
      <c r="J342">
        <v>3.748211</v>
      </c>
      <c r="K342">
        <v>28.821587000000001</v>
      </c>
      <c r="L342">
        <v>28.341176999999998</v>
      </c>
      <c r="M342" s="4">
        <f t="shared" si="41"/>
        <v>-2.2122656745270364E-3</v>
      </c>
      <c r="N342" s="4">
        <f t="shared" si="41"/>
        <v>-4.1025641025640436E-3</v>
      </c>
      <c r="O342" s="4">
        <f t="shared" si="42"/>
        <v>-9.8176389192338176E-3</v>
      </c>
      <c r="P342" s="4">
        <f t="shared" si="42"/>
        <v>-4.2776053577262552E-3</v>
      </c>
      <c r="Q342" s="4">
        <f t="shared" si="42"/>
        <v>-3.0704972446887635E-2</v>
      </c>
      <c r="R342" s="4">
        <f t="shared" si="43"/>
        <v>-2.0876939297659658E-2</v>
      </c>
      <c r="S342" s="4">
        <f t="shared" si="44"/>
        <v>-4.9503790151099736E-3</v>
      </c>
      <c r="T342" s="4">
        <f t="shared" si="45"/>
        <v>-4.8806175328697243E-4</v>
      </c>
      <c r="U342" s="4">
        <f t="shared" si="46"/>
        <v>-1.0154064491117665E-2</v>
      </c>
      <c r="V342" s="4">
        <f t="shared" si="47"/>
        <v>-1.205223056005289E-2</v>
      </c>
      <c r="W342" s="4">
        <f t="shared" si="48"/>
        <v>-6.8436526664161779E-4</v>
      </c>
    </row>
    <row r="343" spans="1:23" x14ac:dyDescent="0.25">
      <c r="A343" s="1">
        <v>45091</v>
      </c>
      <c r="B343">
        <v>4682.919922</v>
      </c>
      <c r="C343">
        <v>9.75</v>
      </c>
      <c r="D343">
        <v>6.8654999999999999</v>
      </c>
      <c r="E343">
        <v>9.7951999999999997E-2</v>
      </c>
      <c r="F343">
        <v>12.664268</v>
      </c>
      <c r="G343">
        <v>18.322226000000001</v>
      </c>
      <c r="H343">
        <v>10.921991999999999</v>
      </c>
      <c r="I343">
        <v>40.666984999999997</v>
      </c>
      <c r="J343">
        <v>3.7866610000000001</v>
      </c>
      <c r="K343">
        <v>29.173189000000001</v>
      </c>
      <c r="L343">
        <v>28.360586000000001</v>
      </c>
      <c r="M343" s="4">
        <f t="shared" si="41"/>
        <v>3.6627660489783054E-3</v>
      </c>
      <c r="N343" s="4">
        <f t="shared" si="41"/>
        <v>0</v>
      </c>
      <c r="O343" s="4">
        <f t="shared" si="42"/>
        <v>2.1489897806374447E-2</v>
      </c>
      <c r="P343" s="4">
        <f t="shared" si="42"/>
        <v>-5.1190379458845303E-3</v>
      </c>
      <c r="Q343" s="4">
        <f t="shared" si="42"/>
        <v>8.7953077035392013E-3</v>
      </c>
      <c r="R343" s="4">
        <f t="shared" si="43"/>
        <v>6.3024667782032306E-3</v>
      </c>
      <c r="S343" s="4">
        <f t="shared" si="44"/>
        <v>-2.2451783750689902E-3</v>
      </c>
      <c r="T343" s="4">
        <f t="shared" si="45"/>
        <v>1.1102917097759679E-2</v>
      </c>
      <c r="U343" s="4">
        <f t="shared" si="46"/>
        <v>-3.5860430614618188E-3</v>
      </c>
      <c r="V343" s="4">
        <f t="shared" si="47"/>
        <v>9.8039269982914679E-3</v>
      </c>
      <c r="W343" s="4">
        <f t="shared" si="48"/>
        <v>2.5622975331528686E-2</v>
      </c>
    </row>
    <row r="344" spans="1:23" x14ac:dyDescent="0.25">
      <c r="A344" s="1">
        <v>45092</v>
      </c>
      <c r="B344">
        <v>4665.830078</v>
      </c>
      <c r="C344">
        <v>9.75</v>
      </c>
      <c r="D344">
        <v>6.7210650000000003</v>
      </c>
      <c r="E344">
        <v>9.8456000000000002E-2</v>
      </c>
      <c r="F344">
        <v>12.553853</v>
      </c>
      <c r="G344">
        <v>18.207474000000001</v>
      </c>
      <c r="H344">
        <v>10.946569</v>
      </c>
      <c r="I344">
        <v>40.220421000000002</v>
      </c>
      <c r="J344">
        <v>3.8002889999999998</v>
      </c>
      <c r="K344">
        <v>28.889953999999999</v>
      </c>
      <c r="L344">
        <v>27.652058</v>
      </c>
      <c r="M344" s="4">
        <f t="shared" si="41"/>
        <v>1.0878724187819433E-3</v>
      </c>
      <c r="N344" s="4">
        <f t="shared" si="41"/>
        <v>-3.0674846625766694E-3</v>
      </c>
      <c r="O344" s="4">
        <f t="shared" si="42"/>
        <v>0</v>
      </c>
      <c r="P344" s="4">
        <f t="shared" si="42"/>
        <v>-2.5529845605219981E-3</v>
      </c>
      <c r="Q344" s="4">
        <f t="shared" si="42"/>
        <v>1.0432837181981514E-2</v>
      </c>
      <c r="R344" s="4">
        <f t="shared" si="43"/>
        <v>1.7094132636302772E-2</v>
      </c>
      <c r="S344" s="4">
        <f t="shared" si="44"/>
        <v>-4.0250907849540551E-3</v>
      </c>
      <c r="T344" s="4">
        <f t="shared" si="45"/>
        <v>1.9109909802622393E-2</v>
      </c>
      <c r="U344" s="4">
        <f t="shared" si="46"/>
        <v>-9.3887168049898717E-3</v>
      </c>
      <c r="V344" s="4">
        <f t="shared" si="47"/>
        <v>7.836473056518134E-3</v>
      </c>
      <c r="W344" s="4">
        <f t="shared" si="48"/>
        <v>1.1000733972123644E-2</v>
      </c>
    </row>
    <row r="345" spans="1:23" x14ac:dyDescent="0.25">
      <c r="A345" s="1">
        <v>45093</v>
      </c>
      <c r="B345">
        <v>4660.7597660000001</v>
      </c>
      <c r="C345">
        <v>9.7799999999999994</v>
      </c>
      <c r="D345">
        <v>6.7210650000000003</v>
      </c>
      <c r="E345">
        <v>9.8708000000000004E-2</v>
      </c>
      <c r="F345">
        <v>12.424232999999999</v>
      </c>
      <c r="G345">
        <v>17.901464000000001</v>
      </c>
      <c r="H345">
        <v>10.990807999999999</v>
      </c>
      <c r="I345">
        <v>39.466225000000001</v>
      </c>
      <c r="J345">
        <v>3.8363070000000001</v>
      </c>
      <c r="K345">
        <v>28.665319</v>
      </c>
      <c r="L345">
        <v>27.351175000000001</v>
      </c>
      <c r="M345" s="4">
        <f t="shared" si="41"/>
        <v>1.1502335775202432E-2</v>
      </c>
      <c r="N345" s="4">
        <f t="shared" si="41"/>
        <v>1.4522821576763434E-2</v>
      </c>
      <c r="O345" s="4">
        <f t="shared" si="42"/>
        <v>-2.3776144346685735E-2</v>
      </c>
      <c r="P345" s="4">
        <f t="shared" si="42"/>
        <v>2.5595189729421541E-3</v>
      </c>
      <c r="Q345" s="4">
        <f t="shared" si="42"/>
        <v>2.4950442546063156E-2</v>
      </c>
      <c r="R345" s="4">
        <f t="shared" si="43"/>
        <v>1.4084424064713996E-2</v>
      </c>
      <c r="S345" s="4">
        <f t="shared" si="44"/>
        <v>2.14709680537295E-2</v>
      </c>
      <c r="T345" s="4">
        <f t="shared" si="45"/>
        <v>-4.256372271263964E-3</v>
      </c>
      <c r="U345" s="4">
        <f t="shared" si="46"/>
        <v>8.5732380891538895E-3</v>
      </c>
      <c r="V345" s="4">
        <f t="shared" si="47"/>
        <v>1.0327073757390837E-2</v>
      </c>
      <c r="W345" s="4">
        <f t="shared" si="48"/>
        <v>1.366908317218174E-2</v>
      </c>
    </row>
    <row r="346" spans="1:23" x14ac:dyDescent="0.25">
      <c r="A346" s="1">
        <v>45096</v>
      </c>
      <c r="B346">
        <v>4607.7597660000001</v>
      </c>
      <c r="C346">
        <v>9.64</v>
      </c>
      <c r="D346">
        <v>6.8847579999999997</v>
      </c>
      <c r="E346">
        <v>9.8456000000000002E-2</v>
      </c>
      <c r="F346">
        <v>12.121789</v>
      </c>
      <c r="G346">
        <v>17.652833999999999</v>
      </c>
      <c r="H346">
        <v>10.759785000000001</v>
      </c>
      <c r="I346">
        <v>39.634926</v>
      </c>
      <c r="J346">
        <v>3.8036970000000001</v>
      </c>
      <c r="K346">
        <v>28.372316000000001</v>
      </c>
      <c r="L346">
        <v>26.982351000000001</v>
      </c>
      <c r="M346" s="4">
        <f t="shared" si="41"/>
        <v>1.7873281917540673E-2</v>
      </c>
      <c r="N346" s="4">
        <f t="shared" si="41"/>
        <v>1.5806111696522684E-2</v>
      </c>
      <c r="O346" s="4">
        <f t="shared" si="42"/>
        <v>5.6258601434187039E-3</v>
      </c>
      <c r="P346" s="4">
        <f t="shared" si="42"/>
        <v>1.2078412022902718E-2</v>
      </c>
      <c r="Q346" s="4">
        <f t="shared" si="42"/>
        <v>-1.2514691971234781E-2</v>
      </c>
      <c r="R346" s="4">
        <f t="shared" si="43"/>
        <v>3.8630866410287457E-3</v>
      </c>
      <c r="S346" s="4">
        <f t="shared" si="44"/>
        <v>3.1574084078610953E-2</v>
      </c>
      <c r="T346" s="4">
        <f t="shared" si="45"/>
        <v>9.4546365261146015E-2</v>
      </c>
      <c r="U346" s="4">
        <f t="shared" si="46"/>
        <v>6.9579347140664716E-3</v>
      </c>
      <c r="V346" s="4">
        <f t="shared" si="47"/>
        <v>2.7227637546482608E-2</v>
      </c>
      <c r="W346" s="4">
        <f t="shared" si="48"/>
        <v>6.8814988435119684E-3</v>
      </c>
    </row>
    <row r="347" spans="1:23" x14ac:dyDescent="0.25">
      <c r="A347" s="1">
        <v>45097</v>
      </c>
      <c r="B347">
        <v>4526.8500979999999</v>
      </c>
      <c r="C347">
        <v>9.49</v>
      </c>
      <c r="D347">
        <v>6.8462420000000002</v>
      </c>
      <c r="E347">
        <v>9.7281000000000006E-2</v>
      </c>
      <c r="F347">
        <v>12.275411999999999</v>
      </c>
      <c r="G347">
        <v>17.584902</v>
      </c>
      <c r="H347">
        <v>10.430453</v>
      </c>
      <c r="I347">
        <v>36.211281</v>
      </c>
      <c r="J347">
        <v>3.7774139999999998</v>
      </c>
      <c r="K347">
        <v>27.620280999999999</v>
      </c>
      <c r="L347">
        <v>26.797941000000002</v>
      </c>
      <c r="M347" s="4">
        <f t="shared" si="41"/>
        <v>1.8187143863168442E-2</v>
      </c>
      <c r="N347" s="4">
        <f t="shared" si="41"/>
        <v>4.2328042328043658E-3</v>
      </c>
      <c r="O347" s="4">
        <f t="shared" si="42"/>
        <v>2.3021656480394892E-2</v>
      </c>
      <c r="P347" s="4">
        <f t="shared" si="42"/>
        <v>4.336110508873503E-3</v>
      </c>
      <c r="Q347" s="4">
        <f t="shared" si="42"/>
        <v>1.6295702898261988E-2</v>
      </c>
      <c r="R347" s="4">
        <f t="shared" si="43"/>
        <v>5.5944155044810984E-2</v>
      </c>
      <c r="S347" s="4">
        <f t="shared" si="44"/>
        <v>-5.6233703251432621E-3</v>
      </c>
      <c r="T347" s="4">
        <f t="shared" si="45"/>
        <v>2.5288072114076687E-2</v>
      </c>
      <c r="U347" s="4">
        <f t="shared" si="46"/>
        <v>2.3473641600768147E-2</v>
      </c>
      <c r="V347" s="4">
        <f t="shared" si="47"/>
        <v>3.0236806957854467E-2</v>
      </c>
      <c r="W347" s="4">
        <f t="shared" si="48"/>
        <v>3.6800622313880371E-2</v>
      </c>
    </row>
    <row r="348" spans="1:23" x14ac:dyDescent="0.25">
      <c r="A348" s="1">
        <v>45098</v>
      </c>
      <c r="B348">
        <v>4445.9902339999999</v>
      </c>
      <c r="C348">
        <v>9.4499999999999993</v>
      </c>
      <c r="D348">
        <v>6.692177</v>
      </c>
      <c r="E348">
        <v>9.6861000000000003E-2</v>
      </c>
      <c r="F348">
        <v>12.078583</v>
      </c>
      <c r="G348">
        <v>16.65325</v>
      </c>
      <c r="H348">
        <v>10.489439000000001</v>
      </c>
      <c r="I348">
        <v>35.318153000000002</v>
      </c>
      <c r="J348">
        <v>3.6907779999999999</v>
      </c>
      <c r="K348">
        <v>26.809643000000001</v>
      </c>
      <c r="L348">
        <v>25.846764</v>
      </c>
      <c r="M348" s="4">
        <f t="shared" si="41"/>
        <v>1.696784032217713E-2</v>
      </c>
      <c r="N348" s="4">
        <f t="shared" si="41"/>
        <v>2.1621621621621623E-2</v>
      </c>
      <c r="O348" s="4">
        <f t="shared" si="42"/>
        <v>-2.250358663921026E-2</v>
      </c>
      <c r="P348" s="4">
        <f t="shared" si="42"/>
        <v>-1.3675614027941818E-2</v>
      </c>
      <c r="Q348" s="4">
        <f t="shared" si="42"/>
        <v>1.4925354322345763E-2</v>
      </c>
      <c r="R348" s="4">
        <f t="shared" si="43"/>
        <v>4.6838086772416077E-3</v>
      </c>
      <c r="S348" s="4">
        <f t="shared" si="44"/>
        <v>5.1814171592783342E-3</v>
      </c>
      <c r="T348" s="4">
        <f t="shared" si="45"/>
        <v>2.564838771954725E-2</v>
      </c>
      <c r="U348" s="4">
        <f t="shared" si="46"/>
        <v>1.1066793046203394E-2</v>
      </c>
      <c r="V348" s="4">
        <f t="shared" si="47"/>
        <v>1.0677510904511189E-2</v>
      </c>
      <c r="W348" s="4">
        <f t="shared" si="48"/>
        <v>5.6326843350493094E-2</v>
      </c>
    </row>
    <row r="349" spans="1:23" x14ac:dyDescent="0.25">
      <c r="A349" s="1">
        <v>45099</v>
      </c>
      <c r="B349">
        <v>4371.8100590000004</v>
      </c>
      <c r="C349">
        <v>9.25</v>
      </c>
      <c r="D349">
        <v>6.8462420000000002</v>
      </c>
      <c r="E349">
        <v>9.8204E-2</v>
      </c>
      <c r="F349">
        <v>11.900957</v>
      </c>
      <c r="G349">
        <v>16.575613000000001</v>
      </c>
      <c r="H349">
        <v>10.435369</v>
      </c>
      <c r="I349">
        <v>34.434952000000003</v>
      </c>
      <c r="J349">
        <v>3.6503800000000002</v>
      </c>
      <c r="K349">
        <v>26.526406999999999</v>
      </c>
      <c r="L349">
        <v>24.468529</v>
      </c>
      <c r="M349" s="4">
        <f t="shared" si="41"/>
        <v>1.1672820963171127E-4</v>
      </c>
      <c r="N349" s="4">
        <f t="shared" si="41"/>
        <v>1.0928961748633892E-2</v>
      </c>
      <c r="O349" s="4">
        <f t="shared" si="42"/>
        <v>8.5106094629894269E-3</v>
      </c>
      <c r="P349" s="4">
        <f t="shared" si="42"/>
        <v>6.9469098829294751E-2</v>
      </c>
      <c r="Q349" s="4">
        <f t="shared" si="42"/>
        <v>1.5983637661414196E-2</v>
      </c>
      <c r="R349" s="4">
        <f t="shared" si="43"/>
        <v>-1.9517824092682323E-2</v>
      </c>
      <c r="S349" s="4">
        <f t="shared" si="44"/>
        <v>-6.08613799684532E-3</v>
      </c>
      <c r="T349" s="4">
        <f t="shared" si="45"/>
        <v>-1.726072672703749E-3</v>
      </c>
      <c r="U349" s="4">
        <f t="shared" si="46"/>
        <v>3.2102133207501105E-3</v>
      </c>
      <c r="V349" s="4">
        <f t="shared" si="47"/>
        <v>-2.9369045330680521E-3</v>
      </c>
      <c r="W349" s="4">
        <f t="shared" si="48"/>
        <v>2.1061163738356647E-2</v>
      </c>
    </row>
    <row r="350" spans="1:23" x14ac:dyDescent="0.25">
      <c r="A350" s="1">
        <v>45103</v>
      </c>
      <c r="B350">
        <v>4371.2998049999997</v>
      </c>
      <c r="C350">
        <v>9.15</v>
      </c>
      <c r="D350">
        <v>6.7884679999999999</v>
      </c>
      <c r="E350">
        <v>9.1825000000000004E-2</v>
      </c>
      <c r="F350">
        <v>11.713729000000001</v>
      </c>
      <c r="G350">
        <v>16.905573</v>
      </c>
      <c r="H350">
        <v>10.499269</v>
      </c>
      <c r="I350">
        <v>34.494492000000001</v>
      </c>
      <c r="J350">
        <v>3.6386989999999999</v>
      </c>
      <c r="K350">
        <v>26.604541999999999</v>
      </c>
      <c r="L350">
        <v>23.963823000000001</v>
      </c>
      <c r="M350" s="4">
        <f t="shared" si="41"/>
        <v>-2.457747008277833E-3</v>
      </c>
      <c r="N350" s="4">
        <f t="shared" si="41"/>
        <v>1.094091903719896E-3</v>
      </c>
      <c r="O350" s="4">
        <f t="shared" si="42"/>
        <v>1.4204497259782123E-3</v>
      </c>
      <c r="P350" s="4">
        <f t="shared" si="42"/>
        <v>-4.5530923085260744E-3</v>
      </c>
      <c r="Q350" s="4">
        <f t="shared" si="42"/>
        <v>-2.0080286008657966E-2</v>
      </c>
      <c r="R350" s="4">
        <f t="shared" si="43"/>
        <v>-1.1466483269109151E-3</v>
      </c>
      <c r="S350" s="4">
        <f t="shared" si="44"/>
        <v>-5.5865302716273657E-3</v>
      </c>
      <c r="T350" s="4">
        <f t="shared" si="45"/>
        <v>4.0439451430860363E-3</v>
      </c>
      <c r="U350" s="4">
        <f t="shared" si="46"/>
        <v>-7.566736361846238E-3</v>
      </c>
      <c r="V350" s="4">
        <f t="shared" si="47"/>
        <v>-1.8321881625803504E-3</v>
      </c>
      <c r="W350" s="4">
        <f t="shared" si="48"/>
        <v>-6.4386682796608863E-3</v>
      </c>
    </row>
    <row r="351" spans="1:23" x14ac:dyDescent="0.25">
      <c r="A351" s="1">
        <v>45104</v>
      </c>
      <c r="B351">
        <v>4382.0698240000002</v>
      </c>
      <c r="C351">
        <v>9.14</v>
      </c>
      <c r="D351">
        <v>6.7788389999999996</v>
      </c>
      <c r="E351">
        <v>9.2244999999999994E-2</v>
      </c>
      <c r="F351">
        <v>11.953764</v>
      </c>
      <c r="G351">
        <v>16.924980000000001</v>
      </c>
      <c r="H351">
        <v>10.558253000000001</v>
      </c>
      <c r="I351">
        <v>34.355559999999997</v>
      </c>
      <c r="J351">
        <v>3.666442</v>
      </c>
      <c r="K351">
        <v>26.653376000000002</v>
      </c>
      <c r="L351">
        <v>24.119118</v>
      </c>
      <c r="M351" s="4">
        <f t="shared" si="41"/>
        <v>-7.0651279669177169E-3</v>
      </c>
      <c r="N351" s="4">
        <f t="shared" si="41"/>
        <v>-3.2715376226826187E-3</v>
      </c>
      <c r="O351" s="4">
        <f t="shared" si="42"/>
        <v>5.71426621543214E-3</v>
      </c>
      <c r="P351" s="4">
        <f t="shared" si="42"/>
        <v>-5.094807452904937E-2</v>
      </c>
      <c r="Q351" s="4">
        <f t="shared" si="42"/>
        <v>7.2814895858823725E-3</v>
      </c>
      <c r="R351" s="4">
        <f t="shared" si="43"/>
        <v>-1.4689325792296759E-2</v>
      </c>
      <c r="S351" s="4">
        <f t="shared" si="44"/>
        <v>-1.0594296406775894E-2</v>
      </c>
      <c r="T351" s="4">
        <f t="shared" si="45"/>
        <v>-1.8985679994318772E-2</v>
      </c>
      <c r="U351" s="4">
        <f t="shared" si="46"/>
        <v>-2.1942290881338256E-2</v>
      </c>
      <c r="V351" s="4">
        <f t="shared" si="47"/>
        <v>3.6778533639547639E-3</v>
      </c>
      <c r="W351" s="4">
        <f t="shared" si="48"/>
        <v>-1.5061373067722261E-2</v>
      </c>
    </row>
    <row r="352" spans="1:23" x14ac:dyDescent="0.25">
      <c r="A352" s="1">
        <v>45105</v>
      </c>
      <c r="B352">
        <v>4413.25</v>
      </c>
      <c r="C352">
        <v>9.17</v>
      </c>
      <c r="D352">
        <v>6.7403230000000001</v>
      </c>
      <c r="E352">
        <v>9.7197000000000006E-2</v>
      </c>
      <c r="F352">
        <v>11.867352</v>
      </c>
      <c r="G352">
        <v>17.177302999999998</v>
      </c>
      <c r="H352">
        <v>10.671308</v>
      </c>
      <c r="I352">
        <v>35.020446999999997</v>
      </c>
      <c r="J352">
        <v>3.7486969999999999</v>
      </c>
      <c r="K352">
        <v>26.555707999999999</v>
      </c>
      <c r="L352">
        <v>24.487939999999998</v>
      </c>
      <c r="M352" s="4">
        <f t="shared" si="41"/>
        <v>2.8199517455558265E-3</v>
      </c>
      <c r="N352" s="4">
        <f t="shared" si="41"/>
        <v>-7.575757575757569E-3</v>
      </c>
      <c r="O352" s="4">
        <f t="shared" si="42"/>
        <v>1.4307590615112442E-3</v>
      </c>
      <c r="P352" s="4">
        <f t="shared" si="42"/>
        <v>1.4900281925446457E-2</v>
      </c>
      <c r="Q352" s="4">
        <f t="shared" si="42"/>
        <v>8.0968136369197197E-4</v>
      </c>
      <c r="R352" s="4">
        <f t="shared" si="43"/>
        <v>1.7241395646920843E-2</v>
      </c>
      <c r="S352" s="4">
        <f t="shared" si="44"/>
        <v>1.8458178345563958E-3</v>
      </c>
      <c r="T352" s="4">
        <f t="shared" si="45"/>
        <v>1.2625620575873464E-2</v>
      </c>
      <c r="U352" s="4">
        <f t="shared" si="46"/>
        <v>2.0815790810257973E-3</v>
      </c>
      <c r="V352" s="4">
        <f t="shared" si="47"/>
        <v>1.1045973923269337E-3</v>
      </c>
      <c r="W352" s="4">
        <f t="shared" si="48"/>
        <v>-4.341015501466039E-3</v>
      </c>
    </row>
    <row r="353" spans="1:23" x14ac:dyDescent="0.25">
      <c r="A353" s="1">
        <v>45106</v>
      </c>
      <c r="B353">
        <v>4400.8398440000001</v>
      </c>
      <c r="C353">
        <v>9.24</v>
      </c>
      <c r="D353">
        <v>6.7306929999999996</v>
      </c>
      <c r="E353">
        <v>9.5769999999999994E-2</v>
      </c>
      <c r="F353">
        <v>11.857751</v>
      </c>
      <c r="G353">
        <v>16.886161999999999</v>
      </c>
      <c r="H353">
        <v>10.651647000000001</v>
      </c>
      <c r="I353">
        <v>34.583804999999998</v>
      </c>
      <c r="J353">
        <v>3.74091</v>
      </c>
      <c r="K353">
        <v>26.526406999999999</v>
      </c>
      <c r="L353">
        <v>24.594705999999999</v>
      </c>
      <c r="M353" s="4">
        <f t="shared" si="41"/>
        <v>-4.3056181508150937E-3</v>
      </c>
      <c r="N353" s="4">
        <f t="shared" si="41"/>
        <v>-6.4516129032258229E-3</v>
      </c>
      <c r="O353" s="4">
        <f t="shared" si="42"/>
        <v>1.4325110678143904E-3</v>
      </c>
      <c r="P353" s="4">
        <f t="shared" si="42"/>
        <v>8.8379981249537831E-3</v>
      </c>
      <c r="Q353" s="4">
        <f t="shared" si="42"/>
        <v>6.9303705510246338E-3</v>
      </c>
      <c r="R353" s="4">
        <f t="shared" si="43"/>
        <v>-1.1482012470089842E-3</v>
      </c>
      <c r="S353" s="4">
        <f t="shared" si="44"/>
        <v>-1.9013008915378382E-2</v>
      </c>
      <c r="T353" s="4">
        <f t="shared" si="45"/>
        <v>-1.1627898668882475E-2</v>
      </c>
      <c r="U353" s="4">
        <f t="shared" si="46"/>
        <v>1.9554806087085375E-3</v>
      </c>
      <c r="V353" s="4">
        <f t="shared" si="47"/>
        <v>-4.0337777779113626E-3</v>
      </c>
      <c r="W353" s="4">
        <f t="shared" si="48"/>
        <v>-5.494451061756056E-3</v>
      </c>
    </row>
    <row r="354" spans="1:23" x14ac:dyDescent="0.25">
      <c r="A354" s="1">
        <v>45107</v>
      </c>
      <c r="B354">
        <v>4419.8701170000004</v>
      </c>
      <c r="C354">
        <v>9.3000000000000007</v>
      </c>
      <c r="D354">
        <v>6.7210650000000003</v>
      </c>
      <c r="E354">
        <v>9.4931000000000001E-2</v>
      </c>
      <c r="F354">
        <v>11.776138</v>
      </c>
      <c r="G354">
        <v>16.905573</v>
      </c>
      <c r="H354">
        <v>10.858091999999999</v>
      </c>
      <c r="I354">
        <v>34.990673000000001</v>
      </c>
      <c r="J354">
        <v>3.733609</v>
      </c>
      <c r="K354">
        <v>26.633842000000001</v>
      </c>
      <c r="L354">
        <v>24.730587</v>
      </c>
      <c r="M354" s="4">
        <f t="shared" si="41"/>
        <v>-8.6487973295108489E-3</v>
      </c>
      <c r="N354" s="4">
        <f t="shared" si="41"/>
        <v>-1.0638297872340385E-2</v>
      </c>
      <c r="O354" s="4">
        <f t="shared" si="42"/>
        <v>2.8735533565797944E-3</v>
      </c>
      <c r="P354" s="4">
        <f t="shared" si="42"/>
        <v>8.8563686779763451E-4</v>
      </c>
      <c r="Q354" s="4">
        <f t="shared" si="42"/>
        <v>-2.2709213173121245E-2</v>
      </c>
      <c r="R354" s="4">
        <f t="shared" si="43"/>
        <v>-5.7077089123739322E-3</v>
      </c>
      <c r="S354" s="4">
        <f t="shared" si="44"/>
        <v>-2.0833312667422055E-2</v>
      </c>
      <c r="T354" s="4">
        <f t="shared" si="45"/>
        <v>-1.7279842480206531E-2</v>
      </c>
      <c r="U354" s="4">
        <f t="shared" si="46"/>
        <v>-2.2678126664651077E-2</v>
      </c>
      <c r="V354" s="4">
        <f t="shared" si="47"/>
        <v>-1.6943050494672374E-2</v>
      </c>
      <c r="W354" s="4">
        <f t="shared" si="48"/>
        <v>-7.8436363636369411E-4</v>
      </c>
    </row>
    <row r="355" spans="1:23" x14ac:dyDescent="0.25">
      <c r="A355" s="1">
        <v>45110</v>
      </c>
      <c r="B355">
        <v>4458.4301759999998</v>
      </c>
      <c r="C355">
        <v>9.4</v>
      </c>
      <c r="D355">
        <v>6.7018069999999996</v>
      </c>
      <c r="E355">
        <v>9.4847000000000001E-2</v>
      </c>
      <c r="F355">
        <v>12.049778999999999</v>
      </c>
      <c r="G355">
        <v>17.002618999999999</v>
      </c>
      <c r="H355">
        <v>11.089115</v>
      </c>
      <c r="I355">
        <v>35.605938000000002</v>
      </c>
      <c r="J355">
        <v>3.8202449999999999</v>
      </c>
      <c r="K355">
        <v>27.092877999999999</v>
      </c>
      <c r="L355">
        <v>24.75</v>
      </c>
      <c r="M355" s="4">
        <f t="shared" si="41"/>
        <v>-6.9703801216980388E-4</v>
      </c>
      <c r="N355" s="4">
        <f t="shared" si="41"/>
        <v>2.132196162046851E-3</v>
      </c>
      <c r="O355" s="4">
        <f t="shared" si="42"/>
        <v>1.4389936189673769E-3</v>
      </c>
      <c r="P355" s="4">
        <f t="shared" si="42"/>
        <v>8.8642191572652074E-4</v>
      </c>
      <c r="Q355" s="4">
        <f t="shared" si="42"/>
        <v>2.7966472522784613E-3</v>
      </c>
      <c r="R355" s="4">
        <f t="shared" si="43"/>
        <v>-2.277859549050909E-3</v>
      </c>
      <c r="S355" s="4">
        <f t="shared" si="44"/>
        <v>1.165918505215835E-2</v>
      </c>
      <c r="T355" s="4">
        <f t="shared" si="45"/>
        <v>2.7885146234929437E-4</v>
      </c>
      <c r="U355" s="4">
        <f t="shared" si="46"/>
        <v>3.4517050230307156E-3</v>
      </c>
      <c r="V355" s="4">
        <f t="shared" si="47"/>
        <v>-1.596313083129286E-2</v>
      </c>
      <c r="W355" s="4">
        <f t="shared" si="48"/>
        <v>-4.2951689125744208E-3</v>
      </c>
    </row>
    <row r="356" spans="1:23" x14ac:dyDescent="0.25">
      <c r="A356" s="1">
        <v>45111</v>
      </c>
      <c r="B356">
        <v>4461.5400390000004</v>
      </c>
      <c r="C356">
        <v>9.3800000000000008</v>
      </c>
      <c r="D356">
        <v>6.692177</v>
      </c>
      <c r="E356">
        <v>9.4763E-2</v>
      </c>
      <c r="F356">
        <v>12.016173999999999</v>
      </c>
      <c r="G356">
        <v>17.041436999999998</v>
      </c>
      <c r="H356">
        <v>10.961315000000001</v>
      </c>
      <c r="I356">
        <v>35.596012000000002</v>
      </c>
      <c r="J356">
        <v>3.8071039999999998</v>
      </c>
      <c r="K356">
        <v>27.532381000000001</v>
      </c>
      <c r="L356">
        <v>24.856763999999998</v>
      </c>
      <c r="M356" s="4">
        <f t="shared" si="41"/>
        <v>6.3041905055392089E-3</v>
      </c>
      <c r="N356" s="4">
        <f t="shared" si="41"/>
        <v>2.1367521367523512E-3</v>
      </c>
      <c r="O356" s="4">
        <f t="shared" si="42"/>
        <v>1.4409174464591334E-3</v>
      </c>
      <c r="P356" s="4">
        <f t="shared" si="42"/>
        <v>-1.769706418345951E-3</v>
      </c>
      <c r="Q356" s="4">
        <f t="shared" si="42"/>
        <v>9.6813222667722076E-3</v>
      </c>
      <c r="R356" s="4">
        <f t="shared" si="43"/>
        <v>4.576627878187578E-3</v>
      </c>
      <c r="S356" s="4">
        <f t="shared" si="44"/>
        <v>4.9570712022932728E-3</v>
      </c>
      <c r="T356" s="4">
        <f t="shared" si="45"/>
        <v>-3.6111665266759241E-3</v>
      </c>
      <c r="U356" s="4">
        <f t="shared" si="46"/>
        <v>8.8999130785050173E-3</v>
      </c>
      <c r="V356" s="4">
        <f t="shared" si="47"/>
        <v>6.4263152201888829E-3</v>
      </c>
      <c r="W356" s="4">
        <f t="shared" si="48"/>
        <v>6.2867915841933186E-3</v>
      </c>
    </row>
    <row r="357" spans="1:23" x14ac:dyDescent="0.25">
      <c r="A357" s="1">
        <v>45112</v>
      </c>
      <c r="B357">
        <v>4433.5898440000001</v>
      </c>
      <c r="C357">
        <v>9.36</v>
      </c>
      <c r="D357">
        <v>6.6825479999999997</v>
      </c>
      <c r="E357">
        <v>9.4931000000000001E-2</v>
      </c>
      <c r="F357">
        <v>11.900957</v>
      </c>
      <c r="G357">
        <v>16.963799999999999</v>
      </c>
      <c r="H357">
        <v>10.907247</v>
      </c>
      <c r="I357">
        <v>35.725020999999998</v>
      </c>
      <c r="J357">
        <v>3.77352</v>
      </c>
      <c r="K357">
        <v>27.356579</v>
      </c>
      <c r="L357">
        <v>24.701471000000002</v>
      </c>
      <c r="M357" s="4">
        <f t="shared" si="41"/>
        <v>1.8684462045394978E-2</v>
      </c>
      <c r="N357" s="4">
        <f t="shared" si="41"/>
        <v>1.5184381778741818E-2</v>
      </c>
      <c r="O357" s="4">
        <f t="shared" si="42"/>
        <v>1.1661768739944067E-2</v>
      </c>
      <c r="P357" s="4">
        <f t="shared" si="42"/>
        <v>1.5261379192333946E-2</v>
      </c>
      <c r="Q357" s="4">
        <f t="shared" si="42"/>
        <v>1.1011407539227802E-2</v>
      </c>
      <c r="R357" s="4">
        <f t="shared" si="43"/>
        <v>1.1455709615730836E-3</v>
      </c>
      <c r="S357" s="4">
        <f t="shared" si="44"/>
        <v>2.1168999033623459E-2</v>
      </c>
      <c r="T357" s="4">
        <f t="shared" si="45"/>
        <v>1.3513495878201054E-2</v>
      </c>
      <c r="U357" s="4">
        <f t="shared" si="46"/>
        <v>1.1876717680785909E-2</v>
      </c>
      <c r="V357" s="4">
        <f t="shared" si="47"/>
        <v>2.7136039929950728E-2</v>
      </c>
      <c r="W357" s="4">
        <f t="shared" si="48"/>
        <v>2.7867532825824437E-2</v>
      </c>
    </row>
    <row r="358" spans="1:23" x14ac:dyDescent="0.25">
      <c r="A358" s="1">
        <v>45113</v>
      </c>
      <c r="B358">
        <v>4352.2700199999999</v>
      </c>
      <c r="C358">
        <v>9.2200000000000006</v>
      </c>
      <c r="D358">
        <v>6.6055159999999997</v>
      </c>
      <c r="E358">
        <v>9.3504000000000004E-2</v>
      </c>
      <c r="F358">
        <v>11.771338</v>
      </c>
      <c r="G358">
        <v>16.944389000000001</v>
      </c>
      <c r="H358">
        <v>10.681138000000001</v>
      </c>
      <c r="I358">
        <v>35.248688000000001</v>
      </c>
      <c r="J358">
        <v>3.7292290000000001</v>
      </c>
      <c r="K358">
        <v>26.633842000000001</v>
      </c>
      <c r="L358">
        <v>24.031765</v>
      </c>
      <c r="M358" s="4">
        <f t="shared" si="41"/>
        <v>-2.914144893365167E-3</v>
      </c>
      <c r="N358" s="4">
        <f t="shared" si="41"/>
        <v>-5.3937432578208266E-3</v>
      </c>
      <c r="O358" s="4">
        <f t="shared" si="42"/>
        <v>0</v>
      </c>
      <c r="P358" s="4">
        <f t="shared" si="42"/>
        <v>-2.7074272157825652E-2</v>
      </c>
      <c r="Q358" s="4">
        <f t="shared" si="42"/>
        <v>7.3952549973577142E-3</v>
      </c>
      <c r="R358" s="4">
        <f t="shared" si="43"/>
        <v>-5.694824914119434E-3</v>
      </c>
      <c r="S358" s="4">
        <f t="shared" si="44"/>
        <v>-9.1200411301246564E-3</v>
      </c>
      <c r="T358" s="4">
        <f t="shared" si="45"/>
        <v>-3.6466195071995777E-3</v>
      </c>
      <c r="U358" s="4">
        <f t="shared" si="46"/>
        <v>2.0927377325075103E-3</v>
      </c>
      <c r="V358" s="4">
        <f t="shared" si="47"/>
        <v>-1.552350552299242E-2</v>
      </c>
      <c r="W358" s="4">
        <f t="shared" si="48"/>
        <v>-1.7070268138097977E-2</v>
      </c>
    </row>
    <row r="359" spans="1:23" x14ac:dyDescent="0.25">
      <c r="A359" s="1">
        <v>45114</v>
      </c>
      <c r="B359">
        <v>4364.9902339999999</v>
      </c>
      <c r="C359">
        <v>9.27</v>
      </c>
      <c r="D359">
        <v>6.6055159999999997</v>
      </c>
      <c r="E359">
        <v>9.6105999999999997E-2</v>
      </c>
      <c r="F359">
        <v>11.684925</v>
      </c>
      <c r="G359">
        <v>17.041436999999998</v>
      </c>
      <c r="H359">
        <v>10.779446999999999</v>
      </c>
      <c r="I359">
        <v>35.377696999999998</v>
      </c>
      <c r="J359">
        <v>3.721441</v>
      </c>
      <c r="K359">
        <v>27.053812000000001</v>
      </c>
      <c r="L359">
        <v>24.449117999999999</v>
      </c>
      <c r="M359" s="4">
        <f t="shared" si="41"/>
        <v>2.1674482953135676E-3</v>
      </c>
      <c r="N359" s="4">
        <f t="shared" si="41"/>
        <v>1.4223194748358647E-2</v>
      </c>
      <c r="O359" s="4">
        <f t="shared" si="42"/>
        <v>-2.9069670905000899E-3</v>
      </c>
      <c r="P359" s="4">
        <f t="shared" si="42"/>
        <v>-2.6152473069179782E-3</v>
      </c>
      <c r="Q359" s="4">
        <f t="shared" si="42"/>
        <v>1.2900543623787009E-2</v>
      </c>
      <c r="R359" s="4">
        <f t="shared" si="43"/>
        <v>-5.6625775265434219E-3</v>
      </c>
      <c r="S359" s="4">
        <f t="shared" si="44"/>
        <v>-2.7284824162668864E-3</v>
      </c>
      <c r="T359" s="4">
        <f t="shared" si="45"/>
        <v>1.0774044181357967E-2</v>
      </c>
      <c r="U359" s="4">
        <f t="shared" si="46"/>
        <v>5.2345829835998003E-4</v>
      </c>
      <c r="V359" s="4">
        <f t="shared" si="47"/>
        <v>1.4461732452470955E-3</v>
      </c>
      <c r="W359" s="4">
        <f t="shared" si="48"/>
        <v>4.386018245073231E-3</v>
      </c>
    </row>
    <row r="360" spans="1:23" x14ac:dyDescent="0.25">
      <c r="A360" s="1">
        <v>45117</v>
      </c>
      <c r="B360">
        <v>4355.5498049999997</v>
      </c>
      <c r="C360">
        <v>9.14</v>
      </c>
      <c r="D360">
        <v>6.6247740000000004</v>
      </c>
      <c r="E360">
        <v>9.6357999999999999E-2</v>
      </c>
      <c r="F360">
        <v>11.536103000000001</v>
      </c>
      <c r="G360">
        <v>17.138484999999999</v>
      </c>
      <c r="H360">
        <v>10.808939000000001</v>
      </c>
      <c r="I360">
        <v>35.000599000000001</v>
      </c>
      <c r="J360">
        <v>3.7194940000000001</v>
      </c>
      <c r="K360">
        <v>27.014744</v>
      </c>
      <c r="L360">
        <v>24.342352000000002</v>
      </c>
      <c r="M360" s="4">
        <f t="shared" si="41"/>
        <v>-6.8044874156656387E-3</v>
      </c>
      <c r="N360" s="4">
        <f t="shared" si="41"/>
        <v>-9.750812567713929E-3</v>
      </c>
      <c r="O360" s="4">
        <f t="shared" si="42"/>
        <v>8.7976244860668018E-3</v>
      </c>
      <c r="P360" s="4">
        <f t="shared" si="42"/>
        <v>-8.6319536611212389E-3</v>
      </c>
      <c r="Q360" s="4">
        <f t="shared" si="42"/>
        <v>3.7593654585090786E-3</v>
      </c>
      <c r="R360" s="4">
        <f t="shared" si="43"/>
        <v>1.1338814237265016E-3</v>
      </c>
      <c r="S360" s="4">
        <f t="shared" si="44"/>
        <v>-9.9053986703584451E-3</v>
      </c>
      <c r="T360" s="4">
        <f t="shared" si="45"/>
        <v>-1.5629427833990794E-2</v>
      </c>
      <c r="U360" s="4">
        <f t="shared" si="46"/>
        <v>-6.2420231390084568E-3</v>
      </c>
      <c r="V360" s="4">
        <f t="shared" si="47"/>
        <v>-1.810434296764496E-2</v>
      </c>
      <c r="W360" s="4">
        <f t="shared" si="48"/>
        <v>-7.9114069790805486E-3</v>
      </c>
    </row>
    <row r="361" spans="1:23" x14ac:dyDescent="0.25">
      <c r="A361" s="1">
        <v>45118</v>
      </c>
      <c r="B361">
        <v>4385.3901370000003</v>
      </c>
      <c r="C361">
        <v>9.23</v>
      </c>
      <c r="D361">
        <v>6.5670000000000002</v>
      </c>
      <c r="E361">
        <v>9.7197000000000006E-2</v>
      </c>
      <c r="F361">
        <v>11.492896999999999</v>
      </c>
      <c r="G361">
        <v>17.119074000000001</v>
      </c>
      <c r="H361">
        <v>10.917077000000001</v>
      </c>
      <c r="I361">
        <v>35.556323999999996</v>
      </c>
      <c r="J361">
        <v>3.7428569999999999</v>
      </c>
      <c r="K361">
        <v>27.512846</v>
      </c>
      <c r="L361">
        <v>24.536470000000001</v>
      </c>
      <c r="M361" s="4">
        <f t="shared" si="41"/>
        <v>-1.2630917562431732E-2</v>
      </c>
      <c r="N361" s="4">
        <f t="shared" si="41"/>
        <v>-1.4941302027748016E-2</v>
      </c>
      <c r="O361" s="4">
        <f t="shared" si="42"/>
        <v>-1.4641239455653876E-3</v>
      </c>
      <c r="P361" s="4">
        <f t="shared" si="42"/>
        <v>0</v>
      </c>
      <c r="Q361" s="4">
        <f t="shared" si="42"/>
        <v>1.872347742997138E-2</v>
      </c>
      <c r="R361" s="4">
        <f t="shared" si="43"/>
        <v>-6.7567979193678962E-3</v>
      </c>
      <c r="S361" s="4">
        <f t="shared" si="44"/>
        <v>-3.2665495925784493E-2</v>
      </c>
      <c r="T361" s="4">
        <f t="shared" si="45"/>
        <v>-1.9497675082874588E-3</v>
      </c>
      <c r="U361" s="4">
        <f t="shared" si="46"/>
        <v>-7.9978097196605757E-3</v>
      </c>
      <c r="V361" s="4">
        <f t="shared" si="47"/>
        <v>-2.4246681806597614E-2</v>
      </c>
      <c r="W361" s="4">
        <f t="shared" si="48"/>
        <v>-2.6943774044618896E-2</v>
      </c>
    </row>
    <row r="362" spans="1:23" x14ac:dyDescent="0.25">
      <c r="A362" s="1">
        <v>45119</v>
      </c>
      <c r="B362">
        <v>4441.4902339999999</v>
      </c>
      <c r="C362">
        <v>9.3699999999999992</v>
      </c>
      <c r="D362">
        <v>6.5766289999999996</v>
      </c>
      <c r="E362">
        <v>9.7197000000000006E-2</v>
      </c>
      <c r="F362">
        <v>11.281665</v>
      </c>
      <c r="G362">
        <v>17.235531000000002</v>
      </c>
      <c r="H362">
        <v>11.285731</v>
      </c>
      <c r="I362">
        <v>35.625785999999998</v>
      </c>
      <c r="J362">
        <v>3.7730329999999999</v>
      </c>
      <c r="K362">
        <v>28.196518000000001</v>
      </c>
      <c r="L362">
        <v>25.215881</v>
      </c>
      <c r="M362" s="4">
        <f t="shared" si="41"/>
        <v>-5.8797995809697357E-3</v>
      </c>
      <c r="N362" s="4">
        <f t="shared" si="41"/>
        <v>-1.0559662090813271E-2</v>
      </c>
      <c r="O362" s="4">
        <f t="shared" si="42"/>
        <v>1.4662707476778003E-3</v>
      </c>
      <c r="P362" s="4">
        <f t="shared" si="42"/>
        <v>3.6701651094329879E-2</v>
      </c>
      <c r="Q362" s="4">
        <f t="shared" si="42"/>
        <v>-1.5912818556656605E-2</v>
      </c>
      <c r="R362" s="4">
        <f t="shared" si="43"/>
        <v>3.3898220227006615E-3</v>
      </c>
      <c r="S362" s="4">
        <f t="shared" si="44"/>
        <v>7.901579449606233E-3</v>
      </c>
      <c r="T362" s="4">
        <f t="shared" si="45"/>
        <v>-2.2234033146962817E-3</v>
      </c>
      <c r="U362" s="4">
        <f t="shared" si="46"/>
        <v>-8.3153072408382878E-3</v>
      </c>
      <c r="V362" s="4">
        <f t="shared" si="47"/>
        <v>-4.8259197355813299E-3</v>
      </c>
      <c r="W362" s="4">
        <f t="shared" si="48"/>
        <v>-1.9209233921613222E-3</v>
      </c>
    </row>
    <row r="363" spans="1:23" x14ac:dyDescent="0.25">
      <c r="A363" s="1">
        <v>45120</v>
      </c>
      <c r="B363">
        <v>4467.7597660000001</v>
      </c>
      <c r="C363">
        <v>9.4700000000000006</v>
      </c>
      <c r="D363">
        <v>6.5670000000000002</v>
      </c>
      <c r="E363">
        <v>9.3756000000000006E-2</v>
      </c>
      <c r="F363">
        <v>11.464091</v>
      </c>
      <c r="G363">
        <v>17.177302999999998</v>
      </c>
      <c r="H363">
        <v>11.197255</v>
      </c>
      <c r="I363">
        <v>35.705173000000002</v>
      </c>
      <c r="J363">
        <v>3.8046700000000002</v>
      </c>
      <c r="K363">
        <v>28.333252000000002</v>
      </c>
      <c r="L363">
        <v>25.264412</v>
      </c>
      <c r="M363" s="4">
        <f t="shared" si="41"/>
        <v>1.452381212410736E-2</v>
      </c>
      <c r="N363" s="4">
        <f t="shared" si="41"/>
        <v>8.5197018104365974E-3</v>
      </c>
      <c r="O363" s="4">
        <f t="shared" si="42"/>
        <v>7.3854994473723234E-3</v>
      </c>
      <c r="P363" s="4">
        <f t="shared" si="42"/>
        <v>1.5455598999231102E-2</v>
      </c>
      <c r="Q363" s="4">
        <f t="shared" si="42"/>
        <v>-3.7547476392808532E-3</v>
      </c>
      <c r="R363" s="4">
        <f t="shared" si="43"/>
        <v>-2.2548051181329187E-3</v>
      </c>
      <c r="S363" s="4">
        <f t="shared" si="44"/>
        <v>4.4091814381659322E-3</v>
      </c>
      <c r="T363" s="4">
        <f t="shared" si="45"/>
        <v>1.6671306989624934E-2</v>
      </c>
      <c r="U363" s="4">
        <f t="shared" si="46"/>
        <v>0.10378414666023406</v>
      </c>
      <c r="V363" s="4">
        <f t="shared" si="47"/>
        <v>2.0725631591351767E-3</v>
      </c>
      <c r="W363" s="4">
        <f t="shared" si="48"/>
        <v>3.0828094404815598E-3</v>
      </c>
    </row>
    <row r="364" spans="1:23" x14ac:dyDescent="0.25">
      <c r="A364" s="1">
        <v>45121</v>
      </c>
      <c r="B364">
        <v>4403.7998049999997</v>
      </c>
      <c r="C364">
        <v>9.39</v>
      </c>
      <c r="D364">
        <v>6.5188550000000003</v>
      </c>
      <c r="E364">
        <v>9.2328999999999994E-2</v>
      </c>
      <c r="F364">
        <v>11.507298</v>
      </c>
      <c r="G364">
        <v>17.216121999999999</v>
      </c>
      <c r="H364">
        <v>11.148101</v>
      </c>
      <c r="I364">
        <v>35.119681999999997</v>
      </c>
      <c r="J364">
        <v>3.446933</v>
      </c>
      <c r="K364">
        <v>28.274650999999999</v>
      </c>
      <c r="L364">
        <v>25.186765999999999</v>
      </c>
      <c r="M364" s="4">
        <f t="shared" si="41"/>
        <v>6.0906590069267352E-3</v>
      </c>
      <c r="N364" s="4">
        <f t="shared" si="41"/>
        <v>-7.3995771670191113E-3</v>
      </c>
      <c r="O364" s="4">
        <f t="shared" si="42"/>
        <v>5.9435162265430996E-3</v>
      </c>
      <c r="P364" s="4">
        <f t="shared" si="42"/>
        <v>5.4887013340592095E-3</v>
      </c>
      <c r="Q364" s="4">
        <f t="shared" si="42"/>
        <v>1.3959357205009404E-2</v>
      </c>
      <c r="R364" s="4">
        <f t="shared" si="43"/>
        <v>2.3068072408650941E-2</v>
      </c>
      <c r="S364" s="4">
        <f t="shared" si="44"/>
        <v>5.7650529582651266E-3</v>
      </c>
      <c r="T364" s="4">
        <f t="shared" si="45"/>
        <v>-5.0604128141447102E-3</v>
      </c>
      <c r="U364" s="4">
        <f t="shared" si="46"/>
        <v>2.5930930618100367E-2</v>
      </c>
      <c r="V364" s="4">
        <f t="shared" si="47"/>
        <v>1.4010516862333233E-2</v>
      </c>
      <c r="W364" s="4">
        <f t="shared" si="48"/>
        <v>-1.6300113622356727E-2</v>
      </c>
    </row>
    <row r="365" spans="1:23" x14ac:dyDescent="0.25">
      <c r="A365" s="1">
        <v>45124</v>
      </c>
      <c r="B365">
        <v>4377.1401370000003</v>
      </c>
      <c r="C365">
        <v>9.4600000000000009</v>
      </c>
      <c r="D365">
        <v>6.4803389999999998</v>
      </c>
      <c r="E365">
        <v>9.1825000000000004E-2</v>
      </c>
      <c r="F365">
        <v>11.348875</v>
      </c>
      <c r="G365">
        <v>16.827933999999999</v>
      </c>
      <c r="H365">
        <v>11.084199999999999</v>
      </c>
      <c r="I365">
        <v>35.298305999999997</v>
      </c>
      <c r="J365">
        <v>3.35981</v>
      </c>
      <c r="K365">
        <v>27.883982</v>
      </c>
      <c r="L365">
        <v>25.604116000000001</v>
      </c>
      <c r="M365" s="4">
        <f t="shared" si="41"/>
        <v>-7.5276981308290969E-3</v>
      </c>
      <c r="N365" s="4">
        <f t="shared" si="41"/>
        <v>1.9396551724138122E-2</v>
      </c>
      <c r="O365" s="4">
        <f t="shared" si="42"/>
        <v>-5.9083995578979032E-3</v>
      </c>
      <c r="P365" s="4">
        <f t="shared" si="42"/>
        <v>0</v>
      </c>
      <c r="Q365" s="4">
        <f t="shared" si="42"/>
        <v>-1.5000042094479027E-2</v>
      </c>
      <c r="R365" s="4">
        <f t="shared" si="43"/>
        <v>-1.140251913579271E-2</v>
      </c>
      <c r="S365" s="4">
        <f t="shared" si="44"/>
        <v>-2.4232043363317524E-2</v>
      </c>
      <c r="T365" s="4">
        <f t="shared" si="45"/>
        <v>-1.1944429647781085E-2</v>
      </c>
      <c r="U365" s="4">
        <f t="shared" si="46"/>
        <v>-1.582559912075443E-2</v>
      </c>
      <c r="V365" s="4">
        <f t="shared" si="47"/>
        <v>-5.2264886052801884E-3</v>
      </c>
      <c r="W365" s="4">
        <f t="shared" si="48"/>
        <v>-1.7870502493287255E-2</v>
      </c>
    </row>
    <row r="366" spans="1:23" x14ac:dyDescent="0.25">
      <c r="A366" s="1">
        <v>45125</v>
      </c>
      <c r="B366">
        <v>4410.3398440000001</v>
      </c>
      <c r="C366">
        <v>9.2799999999999994</v>
      </c>
      <c r="D366">
        <v>6.5188550000000003</v>
      </c>
      <c r="E366">
        <v>9.1825000000000004E-2</v>
      </c>
      <c r="F366">
        <v>11.521701</v>
      </c>
      <c r="G366">
        <v>17.022027999999999</v>
      </c>
      <c r="H366">
        <v>11.359463</v>
      </c>
      <c r="I366">
        <v>35.725020999999998</v>
      </c>
      <c r="J366">
        <v>3.4138359999999999</v>
      </c>
      <c r="K366">
        <v>28.030483</v>
      </c>
      <c r="L366">
        <v>26.07</v>
      </c>
      <c r="M366" s="4">
        <f t="shared" si="41"/>
        <v>-2.0274616784002886E-3</v>
      </c>
      <c r="N366" s="4">
        <f t="shared" si="41"/>
        <v>-9.605122732123772E-3</v>
      </c>
      <c r="O366" s="4">
        <f t="shared" si="42"/>
        <v>2.9629529338512928E-3</v>
      </c>
      <c r="P366" s="4">
        <f t="shared" si="42"/>
        <v>-1.6188823176480627E-2</v>
      </c>
      <c r="Q366" s="4">
        <f t="shared" si="42"/>
        <v>-1.0717193695386484E-2</v>
      </c>
      <c r="R366" s="4">
        <f t="shared" si="43"/>
        <v>-5.668881389262248E-3</v>
      </c>
      <c r="S366" s="4">
        <f t="shared" si="44"/>
        <v>2.3472136590975579E-2</v>
      </c>
      <c r="T366" s="4">
        <f t="shared" si="45"/>
        <v>-1.9073672205448866E-2</v>
      </c>
      <c r="U366" s="4">
        <f t="shared" si="46"/>
        <v>-5.5295678361043654E-3</v>
      </c>
      <c r="V366" s="4">
        <f t="shared" si="47"/>
        <v>-8.9778413667794821E-3</v>
      </c>
      <c r="W366" s="4">
        <f t="shared" si="48"/>
        <v>7.4520393724708534E-4</v>
      </c>
    </row>
    <row r="367" spans="1:23" x14ac:dyDescent="0.25">
      <c r="A367" s="1">
        <v>45126</v>
      </c>
      <c r="B367">
        <v>4419.2998049999997</v>
      </c>
      <c r="C367">
        <v>9.3699999999999992</v>
      </c>
      <c r="D367">
        <v>6.4995969999999996</v>
      </c>
      <c r="E367">
        <v>9.3336000000000002E-2</v>
      </c>
      <c r="F367">
        <v>11.646519</v>
      </c>
      <c r="G367">
        <v>17.119074000000001</v>
      </c>
      <c r="H367">
        <v>11.098947000000001</v>
      </c>
      <c r="I367">
        <v>36.419677999999998</v>
      </c>
      <c r="J367">
        <v>3.4328180000000001</v>
      </c>
      <c r="K367">
        <v>28.284416</v>
      </c>
      <c r="L367">
        <v>26.050587</v>
      </c>
      <c r="M367" s="4">
        <f t="shared" si="41"/>
        <v>3.189332046989346E-3</v>
      </c>
      <c r="N367" s="4">
        <f t="shared" si="41"/>
        <v>-3.1914893617022155E-3</v>
      </c>
      <c r="O367" s="4">
        <f t="shared" si="42"/>
        <v>5.961231564810765E-3</v>
      </c>
      <c r="P367" s="4">
        <f t="shared" si="42"/>
        <v>-2.0269348252805242E-2</v>
      </c>
      <c r="Q367" s="4">
        <f t="shared" si="42"/>
        <v>-1.4221877712758069E-2</v>
      </c>
      <c r="R367" s="4">
        <f t="shared" si="43"/>
        <v>-1.7817422922179915E-2</v>
      </c>
      <c r="S367" s="4">
        <f t="shared" si="44"/>
        <v>6.9635234236200771E-2</v>
      </c>
      <c r="T367" s="4">
        <f t="shared" si="45"/>
        <v>-6.2279388906094635E-3</v>
      </c>
      <c r="U367" s="4">
        <f t="shared" si="46"/>
        <v>-7.4584790323521943E-3</v>
      </c>
      <c r="V367" s="4">
        <f t="shared" si="47"/>
        <v>-5.8359356060823098E-3</v>
      </c>
      <c r="W367" s="4">
        <f t="shared" si="48"/>
        <v>7.129465411874758E-3</v>
      </c>
    </row>
    <row r="368" spans="1:23" x14ac:dyDescent="0.25">
      <c r="A368" s="1">
        <v>45127</v>
      </c>
      <c r="B368">
        <v>4405.25</v>
      </c>
      <c r="C368">
        <v>9.4</v>
      </c>
      <c r="D368">
        <v>6.4610810000000001</v>
      </c>
      <c r="E368">
        <v>9.5267000000000004E-2</v>
      </c>
      <c r="F368">
        <v>11.814544</v>
      </c>
      <c r="G368">
        <v>17.429625000000001</v>
      </c>
      <c r="H368">
        <v>10.376385000000001</v>
      </c>
      <c r="I368">
        <v>36.647919000000002</v>
      </c>
      <c r="J368">
        <v>3.4586139999999999</v>
      </c>
      <c r="K368">
        <v>28.450451000000001</v>
      </c>
      <c r="L368">
        <v>25.866174999999998</v>
      </c>
      <c r="M368" s="4">
        <f t="shared" si="41"/>
        <v>1.6575955817348387E-3</v>
      </c>
      <c r="N368" s="4">
        <f t="shared" si="41"/>
        <v>-1.0626992561104665E-3</v>
      </c>
      <c r="O368" s="4">
        <f t="shared" si="42"/>
        <v>-1.4879358660697672E-3</v>
      </c>
      <c r="P368" s="4">
        <f t="shared" si="42"/>
        <v>-2.6586559584750979E-2</v>
      </c>
      <c r="Q368" s="4">
        <f t="shared" si="42"/>
        <v>-1.1646540788324056E-2</v>
      </c>
      <c r="R368" s="4">
        <f t="shared" si="43"/>
        <v>0</v>
      </c>
      <c r="S368" s="4">
        <f t="shared" si="44"/>
        <v>7.6372104594999435E-3</v>
      </c>
      <c r="T368" s="4">
        <f t="shared" si="45"/>
        <v>-8.8565923366065169E-3</v>
      </c>
      <c r="U368" s="4">
        <f t="shared" si="46"/>
        <v>-8.2343798837506421E-3</v>
      </c>
      <c r="V368" s="4">
        <f t="shared" si="47"/>
        <v>1.7108931032956631E-2</v>
      </c>
      <c r="W368" s="4">
        <f t="shared" si="48"/>
        <v>3.7772521770166323E-2</v>
      </c>
    </row>
    <row r="369" spans="1:23" x14ac:dyDescent="0.25">
      <c r="A369" s="1">
        <v>45128</v>
      </c>
      <c r="B369">
        <v>4397.9599609999996</v>
      </c>
      <c r="C369">
        <v>9.41</v>
      </c>
      <c r="D369">
        <v>6.4707090000000003</v>
      </c>
      <c r="E369">
        <v>9.7868999999999998E-2</v>
      </c>
      <c r="F369">
        <v>11.953764</v>
      </c>
      <c r="G369">
        <v>17.429625000000001</v>
      </c>
      <c r="H369">
        <v>10.297739</v>
      </c>
      <c r="I369">
        <v>36.975394999999999</v>
      </c>
      <c r="J369">
        <v>3.48733</v>
      </c>
      <c r="K369">
        <v>27.971882000000001</v>
      </c>
      <c r="L369">
        <v>24.924706</v>
      </c>
      <c r="M369" s="4">
        <f t="shared" si="41"/>
        <v>-3.2138997311274009E-3</v>
      </c>
      <c r="N369" s="4">
        <f t="shared" si="41"/>
        <v>3.1982942430703876E-3</v>
      </c>
      <c r="O369" s="4">
        <f t="shared" si="42"/>
        <v>-1.4662859753312052E-2</v>
      </c>
      <c r="P369" s="4">
        <f t="shared" si="42"/>
        <v>7.7847456056345798E-3</v>
      </c>
      <c r="Q369" s="4">
        <f t="shared" si="42"/>
        <v>-6.3847317036191953E-3</v>
      </c>
      <c r="R369" s="4">
        <f t="shared" si="43"/>
        <v>-1.1123251865976513E-3</v>
      </c>
      <c r="S369" s="4">
        <f t="shared" si="44"/>
        <v>1.6496925408773233E-2</v>
      </c>
      <c r="T369" s="4">
        <f t="shared" si="45"/>
        <v>-1.662716107669171E-2</v>
      </c>
      <c r="U369" s="4">
        <f t="shared" si="46"/>
        <v>-9.3420403747951353E-3</v>
      </c>
      <c r="V369" s="4">
        <f t="shared" si="47"/>
        <v>-2.0906168473799891E-3</v>
      </c>
      <c r="W369" s="4">
        <f t="shared" si="48"/>
        <v>-6.1919457735246652E-3</v>
      </c>
    </row>
    <row r="370" spans="1:23" x14ac:dyDescent="0.25">
      <c r="A370" s="1">
        <v>45131</v>
      </c>
      <c r="B370">
        <v>4412.1401370000003</v>
      </c>
      <c r="C370">
        <v>9.3800000000000008</v>
      </c>
      <c r="D370">
        <v>6.5670000000000002</v>
      </c>
      <c r="E370">
        <v>9.7113000000000005E-2</v>
      </c>
      <c r="F370">
        <v>12.030576</v>
      </c>
      <c r="G370">
        <v>17.449034000000001</v>
      </c>
      <c r="H370">
        <v>10.130615000000001</v>
      </c>
      <c r="I370">
        <v>37.600586</v>
      </c>
      <c r="J370">
        <v>3.520216</v>
      </c>
      <c r="K370">
        <v>28.030483</v>
      </c>
      <c r="L370">
        <v>25.08</v>
      </c>
      <c r="M370" s="4">
        <f t="shared" si="41"/>
        <v>-1.5041764005778391E-2</v>
      </c>
      <c r="N370" s="4">
        <f t="shared" si="41"/>
        <v>-1.0548523206751037E-2</v>
      </c>
      <c r="O370" s="4">
        <f t="shared" si="42"/>
        <v>-1.4641239455653876E-3</v>
      </c>
      <c r="P370" s="4">
        <f t="shared" si="42"/>
        <v>1.9377119044370117E-2</v>
      </c>
      <c r="Q370" s="4">
        <f t="shared" si="42"/>
        <v>-8.3102588977637115E-3</v>
      </c>
      <c r="R370" s="4">
        <f t="shared" si="43"/>
        <v>-4.4297057650192206E-3</v>
      </c>
      <c r="S370" s="4">
        <f t="shared" si="44"/>
        <v>-2.0437291631957732E-2</v>
      </c>
      <c r="T370" s="4">
        <f t="shared" si="45"/>
        <v>1.8508906741925291E-3</v>
      </c>
      <c r="U370" s="4">
        <f t="shared" si="46"/>
        <v>-2.0869843274904376E-3</v>
      </c>
      <c r="V370" s="4">
        <f t="shared" si="47"/>
        <v>-3.3995234504557992E-2</v>
      </c>
      <c r="W370" s="4">
        <f t="shared" si="48"/>
        <v>-1.8609941590856827E-2</v>
      </c>
    </row>
    <row r="371" spans="1:23" x14ac:dyDescent="0.25">
      <c r="A371" s="1">
        <v>45132</v>
      </c>
      <c r="B371">
        <v>4479.5200199999999</v>
      </c>
      <c r="C371">
        <v>9.48</v>
      </c>
      <c r="D371">
        <v>6.5766289999999996</v>
      </c>
      <c r="E371">
        <v>9.5267000000000004E-2</v>
      </c>
      <c r="F371">
        <v>12.131391000000001</v>
      </c>
      <c r="G371">
        <v>17.526672000000001</v>
      </c>
      <c r="H371">
        <v>10.341977</v>
      </c>
      <c r="I371">
        <v>37.531120000000001</v>
      </c>
      <c r="J371">
        <v>3.5275780000000001</v>
      </c>
      <c r="K371">
        <v>29.016919999999999</v>
      </c>
      <c r="L371">
        <v>25.555588</v>
      </c>
      <c r="M371" s="4">
        <f t="shared" si="41"/>
        <v>9.4306468790130715E-3</v>
      </c>
      <c r="N371" s="4">
        <f t="shared" si="41"/>
        <v>-6.2893081761005165E-3</v>
      </c>
      <c r="O371" s="4">
        <f t="shared" si="42"/>
        <v>-4.373163277479053E-3</v>
      </c>
      <c r="P371" s="4">
        <f t="shared" si="42"/>
        <v>-1.3043117916416214E-2</v>
      </c>
      <c r="Q371" s="4">
        <f t="shared" si="42"/>
        <v>2.4736395037634695E-2</v>
      </c>
      <c r="R371" s="4">
        <f t="shared" si="43"/>
        <v>3.3332675003414636E-3</v>
      </c>
      <c r="S371" s="4">
        <f t="shared" si="44"/>
        <v>1.7408125884220915E-2</v>
      </c>
      <c r="T371" s="4">
        <f t="shared" si="45"/>
        <v>3.1830129965926268E-3</v>
      </c>
      <c r="U371" s="4">
        <f t="shared" si="46"/>
        <v>2.6507481556181656E-3</v>
      </c>
      <c r="V371" s="4">
        <f t="shared" si="47"/>
        <v>-3.3651789690924971E-4</v>
      </c>
      <c r="W371" s="4">
        <f t="shared" si="48"/>
        <v>5.4043273471679587E-2</v>
      </c>
    </row>
    <row r="372" spans="1:23" x14ac:dyDescent="0.25">
      <c r="A372" s="1">
        <v>45133</v>
      </c>
      <c r="B372">
        <v>4437.669922</v>
      </c>
      <c r="C372">
        <v>9.5399999999999991</v>
      </c>
      <c r="D372">
        <v>6.6055159999999997</v>
      </c>
      <c r="E372">
        <v>9.6526000000000001E-2</v>
      </c>
      <c r="F372">
        <v>11.838547999999999</v>
      </c>
      <c r="G372">
        <v>17.468444999999999</v>
      </c>
      <c r="H372">
        <v>10.165023</v>
      </c>
      <c r="I372">
        <v>37.412036999999998</v>
      </c>
      <c r="J372">
        <v>3.5182519999999999</v>
      </c>
      <c r="K372">
        <v>29.026688</v>
      </c>
      <c r="L372">
        <v>24.245293</v>
      </c>
      <c r="M372" s="4">
        <f t="shared" si="41"/>
        <v>1.2175262705059309E-2</v>
      </c>
      <c r="N372" s="4">
        <f t="shared" si="41"/>
        <v>3.154574132492094E-3</v>
      </c>
      <c r="O372" s="4">
        <f t="shared" si="42"/>
        <v>1.6296241136181333E-2</v>
      </c>
      <c r="P372" s="4">
        <f t="shared" si="42"/>
        <v>-1.7271157167529916E-3</v>
      </c>
      <c r="Q372" s="4">
        <f t="shared" si="42"/>
        <v>1.5232586239750212E-2</v>
      </c>
      <c r="R372" s="4">
        <f t="shared" si="43"/>
        <v>-3.0172428151420627E-2</v>
      </c>
      <c r="S372" s="4">
        <f t="shared" si="44"/>
        <v>4.8590981160392399E-3</v>
      </c>
      <c r="T372" s="4">
        <f t="shared" si="45"/>
        <v>0.15750695672997495</v>
      </c>
      <c r="U372" s="4">
        <f t="shared" si="46"/>
        <v>-5.579203094355778E-4</v>
      </c>
      <c r="V372" s="4">
        <f t="shared" si="47"/>
        <v>-1.3280254467447405E-2</v>
      </c>
      <c r="W372" s="4">
        <f t="shared" si="48"/>
        <v>5.1346774336226364E-2</v>
      </c>
    </row>
    <row r="373" spans="1:23" x14ac:dyDescent="0.25">
      <c r="A373" s="1">
        <v>45134</v>
      </c>
      <c r="B373">
        <v>4384.2900390000004</v>
      </c>
      <c r="C373">
        <v>9.51</v>
      </c>
      <c r="D373">
        <v>6.4995969999999996</v>
      </c>
      <c r="E373">
        <v>9.6693000000000001E-2</v>
      </c>
      <c r="F373">
        <v>11.660921999999999</v>
      </c>
      <c r="G373">
        <v>18.011907999999998</v>
      </c>
      <c r="H373">
        <v>10.115869</v>
      </c>
      <c r="I373">
        <v>32.321219999999997</v>
      </c>
      <c r="J373">
        <v>3.520216</v>
      </c>
      <c r="K373">
        <v>29.417358</v>
      </c>
      <c r="L373">
        <v>23.061176</v>
      </c>
      <c r="M373" s="4">
        <f t="shared" si="41"/>
        <v>-1.9152089502638692E-4</v>
      </c>
      <c r="N373" s="4">
        <f t="shared" si="41"/>
        <v>1.1702127659574346E-2</v>
      </c>
      <c r="O373" s="4">
        <f t="shared" si="42"/>
        <v>-8.8105431277261115E-3</v>
      </c>
      <c r="P373" s="4">
        <f t="shared" si="42"/>
        <v>1.4084950183534284E-2</v>
      </c>
      <c r="Q373" s="4">
        <f t="shared" si="42"/>
        <v>1.0399358663758074E-2</v>
      </c>
      <c r="R373" s="4">
        <f t="shared" si="43"/>
        <v>1.9780225255270567E-2</v>
      </c>
      <c r="S373" s="4">
        <f t="shared" si="44"/>
        <v>0</v>
      </c>
      <c r="T373" s="4">
        <f t="shared" si="45"/>
        <v>-3.2095223621135927E-2</v>
      </c>
      <c r="U373" s="4">
        <f t="shared" si="46"/>
        <v>-2.0869843274904376E-3</v>
      </c>
      <c r="V373" s="4">
        <f t="shared" si="47"/>
        <v>7.3579347074810286E-3</v>
      </c>
      <c r="W373" s="4">
        <f t="shared" si="48"/>
        <v>-1.5741443938663613E-2</v>
      </c>
    </row>
    <row r="374" spans="1:23" x14ac:dyDescent="0.25">
      <c r="A374" s="1">
        <v>45135</v>
      </c>
      <c r="B374">
        <v>4385.1298829999996</v>
      </c>
      <c r="C374">
        <v>9.4</v>
      </c>
      <c r="D374">
        <v>6.5573709999999998</v>
      </c>
      <c r="E374">
        <v>9.5350000000000004E-2</v>
      </c>
      <c r="F374">
        <v>11.540903999999999</v>
      </c>
      <c r="G374">
        <v>17.662538999999999</v>
      </c>
      <c r="H374">
        <v>10.115869</v>
      </c>
      <c r="I374">
        <v>33.392975</v>
      </c>
      <c r="J374">
        <v>3.5275780000000001</v>
      </c>
      <c r="K374">
        <v>29.202487999999999</v>
      </c>
      <c r="L374">
        <v>23.429998000000001</v>
      </c>
      <c r="M374" s="4">
        <f t="shared" si="41"/>
        <v>-7.087923254295303E-4</v>
      </c>
      <c r="N374" s="4">
        <f t="shared" si="41"/>
        <v>0</v>
      </c>
      <c r="O374" s="4">
        <f t="shared" si="42"/>
        <v>-8.7335954087174317E-3</v>
      </c>
      <c r="P374" s="4">
        <f t="shared" si="42"/>
        <v>7.9813943654527542E-3</v>
      </c>
      <c r="Q374" s="4">
        <f t="shared" si="42"/>
        <v>-2.3558073649597389E-2</v>
      </c>
      <c r="R374" s="4">
        <f t="shared" si="43"/>
        <v>-1.097560189359359E-3</v>
      </c>
      <c r="S374" s="4">
        <f t="shared" si="44"/>
        <v>-3.3897600419929841E-3</v>
      </c>
      <c r="T374" s="4">
        <f t="shared" si="45"/>
        <v>5.6785508869872103E-3</v>
      </c>
      <c r="U374" s="4">
        <f t="shared" si="46"/>
        <v>4.332127497108873E-3</v>
      </c>
      <c r="V374" s="4">
        <f t="shared" si="47"/>
        <v>-6.6445396313870031E-3</v>
      </c>
      <c r="W374" s="4">
        <f t="shared" si="48"/>
        <v>1.2441838199011013E-3</v>
      </c>
    </row>
    <row r="375" spans="1:23" x14ac:dyDescent="0.25">
      <c r="A375" s="1">
        <v>45138</v>
      </c>
      <c r="B375">
        <v>4388.2402339999999</v>
      </c>
      <c r="C375">
        <v>9.4</v>
      </c>
      <c r="D375">
        <v>6.6151450000000001</v>
      </c>
      <c r="E375">
        <v>9.4594999999999999E-2</v>
      </c>
      <c r="F375">
        <v>11.819345</v>
      </c>
      <c r="G375">
        <v>17.681946</v>
      </c>
      <c r="H375">
        <v>10.150276</v>
      </c>
      <c r="I375">
        <v>33.204422000000001</v>
      </c>
      <c r="J375">
        <v>3.512362</v>
      </c>
      <c r="K375">
        <v>29.397822999999999</v>
      </c>
      <c r="L375">
        <v>23.400883</v>
      </c>
      <c r="M375" s="4">
        <f t="shared" si="41"/>
        <v>2.7192563704383499E-3</v>
      </c>
      <c r="N375" s="4">
        <f t="shared" si="41"/>
        <v>-5.2910052910051242E-3</v>
      </c>
      <c r="O375" s="4">
        <f t="shared" si="42"/>
        <v>-4.3478116902507802E-3</v>
      </c>
      <c r="P375" s="4">
        <f t="shared" si="42"/>
        <v>-1.7728438314532635E-3</v>
      </c>
      <c r="Q375" s="4">
        <f t="shared" si="42"/>
        <v>1.0673197812959723E-2</v>
      </c>
      <c r="R375" s="4">
        <f t="shared" si="43"/>
        <v>-4.3716114071140622E-3</v>
      </c>
      <c r="S375" s="4">
        <f t="shared" si="44"/>
        <v>1.9407508823501285E-3</v>
      </c>
      <c r="T375" s="4">
        <f t="shared" si="45"/>
        <v>6.6183924038081265E-3</v>
      </c>
      <c r="U375" s="4">
        <f t="shared" si="46"/>
        <v>1.8197469353806728E-3</v>
      </c>
      <c r="V375" s="4">
        <f t="shared" si="47"/>
        <v>6.6487872507203782E-4</v>
      </c>
      <c r="W375" s="4">
        <f t="shared" si="48"/>
        <v>-8.2872579043846706E-4</v>
      </c>
    </row>
    <row r="376" spans="1:23" x14ac:dyDescent="0.25">
      <c r="A376" s="1">
        <v>45139</v>
      </c>
      <c r="B376">
        <v>4376.3398440000001</v>
      </c>
      <c r="C376">
        <v>9.4499999999999993</v>
      </c>
      <c r="D376">
        <v>6.6440320000000002</v>
      </c>
      <c r="E376">
        <v>9.4763E-2</v>
      </c>
      <c r="F376">
        <v>11.694527000000001</v>
      </c>
      <c r="G376">
        <v>17.759584</v>
      </c>
      <c r="H376">
        <v>10.130615000000001</v>
      </c>
      <c r="I376">
        <v>32.986106999999997</v>
      </c>
      <c r="J376">
        <v>3.5059819999999999</v>
      </c>
      <c r="K376">
        <v>29.37829</v>
      </c>
      <c r="L376">
        <v>23.420292</v>
      </c>
      <c r="M376" s="4">
        <f t="shared" si="41"/>
        <v>1.5531055429201635E-2</v>
      </c>
      <c r="N376" s="4">
        <f t="shared" si="41"/>
        <v>1.0695187165775444E-2</v>
      </c>
      <c r="O376" s="4">
        <f t="shared" si="42"/>
        <v>7.2992457269203115E-3</v>
      </c>
      <c r="P376" s="4">
        <f t="shared" si="42"/>
        <v>1.9878169529467415E-2</v>
      </c>
      <c r="Q376" s="4">
        <f t="shared" si="42"/>
        <v>2.3959699799122491E-2</v>
      </c>
      <c r="R376" s="4">
        <f t="shared" si="43"/>
        <v>1.3289003183262649E-2</v>
      </c>
      <c r="S376" s="4">
        <f t="shared" si="44"/>
        <v>1.377276297050023E-2</v>
      </c>
      <c r="T376" s="4">
        <f t="shared" si="45"/>
        <v>1.9944888647462022E-2</v>
      </c>
      <c r="U376" s="4">
        <f t="shared" si="46"/>
        <v>-2.7972921299712628E-4</v>
      </c>
      <c r="V376" s="4">
        <f t="shared" si="47"/>
        <v>2.452313396642869E-2</v>
      </c>
      <c r="W376" s="4">
        <f t="shared" si="48"/>
        <v>4.9978494944797891E-3</v>
      </c>
    </row>
    <row r="377" spans="1:23" x14ac:dyDescent="0.25">
      <c r="A377" s="1">
        <v>45140</v>
      </c>
      <c r="B377">
        <v>4309.4101559999999</v>
      </c>
      <c r="C377">
        <v>9.35</v>
      </c>
      <c r="D377">
        <v>6.5958870000000003</v>
      </c>
      <c r="E377">
        <v>9.2915999999999999E-2</v>
      </c>
      <c r="F377">
        <v>11.420885999999999</v>
      </c>
      <c r="G377">
        <v>17.526672000000001</v>
      </c>
      <c r="H377">
        <v>9.9929839999999999</v>
      </c>
      <c r="I377">
        <v>32.341068</v>
      </c>
      <c r="J377">
        <v>3.5069629999999998</v>
      </c>
      <c r="K377">
        <v>28.675087000000001</v>
      </c>
      <c r="L377">
        <v>23.303823000000001</v>
      </c>
      <c r="M377" s="4">
        <f t="shared" si="41"/>
        <v>1.0073991188646714E-2</v>
      </c>
      <c r="N377" s="4">
        <f t="shared" si="41"/>
        <v>-1.0683760683760646E-3</v>
      </c>
      <c r="O377" s="4">
        <f t="shared" si="42"/>
        <v>1.3313564469877193E-2</v>
      </c>
      <c r="P377" s="4">
        <f t="shared" si="42"/>
        <v>2.7086818108239541E-3</v>
      </c>
      <c r="Q377" s="4">
        <f t="shared" si="42"/>
        <v>1.9280215520880439E-2</v>
      </c>
      <c r="R377" s="4">
        <f t="shared" si="43"/>
        <v>1.006720498737157E-2</v>
      </c>
      <c r="S377" s="4">
        <f t="shared" si="44"/>
        <v>1.043725824746855E-2</v>
      </c>
      <c r="T377" s="4">
        <f t="shared" si="45"/>
        <v>3.0688674011125627E-4</v>
      </c>
      <c r="U377" s="4">
        <f t="shared" si="46"/>
        <v>9.3234612187758081E-3</v>
      </c>
      <c r="V377" s="4">
        <f t="shared" si="47"/>
        <v>3.0748041071686494E-3</v>
      </c>
      <c r="W377" s="4">
        <f t="shared" si="48"/>
        <v>8.3998475964968122E-3</v>
      </c>
    </row>
    <row r="378" spans="1:23" x14ac:dyDescent="0.25">
      <c r="A378" s="1">
        <v>45141</v>
      </c>
      <c r="B378">
        <v>4266.4301759999998</v>
      </c>
      <c r="C378">
        <v>9.36</v>
      </c>
      <c r="D378">
        <v>6.509226</v>
      </c>
      <c r="E378">
        <v>9.2664999999999997E-2</v>
      </c>
      <c r="F378">
        <v>11.204853999999999</v>
      </c>
      <c r="G378">
        <v>17.351986</v>
      </c>
      <c r="H378">
        <v>9.8897619999999993</v>
      </c>
      <c r="I378">
        <v>32.331145999999997</v>
      </c>
      <c r="J378">
        <v>3.4745680000000001</v>
      </c>
      <c r="K378">
        <v>28.587187</v>
      </c>
      <c r="L378">
        <v>23.109705000000002</v>
      </c>
      <c r="M378" s="4">
        <f t="shared" si="41"/>
        <v>-5.9436444476564931E-3</v>
      </c>
      <c r="N378" s="4">
        <f t="shared" si="41"/>
        <v>-9.52380952380949E-3</v>
      </c>
      <c r="O378" s="4">
        <f t="shared" si="42"/>
        <v>-1.0248867618957935E-2</v>
      </c>
      <c r="P378" s="4">
        <f t="shared" si="42"/>
        <v>-1.9532117954523809E-2</v>
      </c>
      <c r="Q378" s="4">
        <f t="shared" si="42"/>
        <v>-1.2272486938995741E-2</v>
      </c>
      <c r="R378" s="4">
        <f t="shared" si="43"/>
        <v>-2.2322139640912342E-3</v>
      </c>
      <c r="S378" s="4">
        <f t="shared" si="44"/>
        <v>-1.9840711209927475E-3</v>
      </c>
      <c r="T378" s="4">
        <f t="shared" si="45"/>
        <v>-3.0679258953358879E-4</v>
      </c>
      <c r="U378" s="4">
        <f t="shared" si="46"/>
        <v>-5.8981174948492532E-3</v>
      </c>
      <c r="V378" s="4">
        <f t="shared" si="47"/>
        <v>-2.0087005229356358E-2</v>
      </c>
      <c r="W378" s="4">
        <f t="shared" si="48"/>
        <v>4.2176375545863731E-3</v>
      </c>
    </row>
    <row r="379" spans="1:23" x14ac:dyDescent="0.25">
      <c r="A379" s="1">
        <v>45142</v>
      </c>
      <c r="B379">
        <v>4291.9399409999996</v>
      </c>
      <c r="C379">
        <v>9.4499999999999993</v>
      </c>
      <c r="D379">
        <v>6.5766289999999996</v>
      </c>
      <c r="E379">
        <v>9.4510999999999998E-2</v>
      </c>
      <c r="F379">
        <v>11.344074000000001</v>
      </c>
      <c r="G379">
        <v>17.390806000000001</v>
      </c>
      <c r="H379">
        <v>9.9094230000000003</v>
      </c>
      <c r="I379">
        <v>32.341068</v>
      </c>
      <c r="J379">
        <v>3.4951829999999999</v>
      </c>
      <c r="K379">
        <v>29.173189000000001</v>
      </c>
      <c r="L379">
        <v>23.012646</v>
      </c>
      <c r="M379" s="4">
        <f t="shared" si="41"/>
        <v>-1.4494496758056252E-3</v>
      </c>
      <c r="N379" s="4">
        <f t="shared" si="41"/>
        <v>-3.1645569620254443E-3</v>
      </c>
      <c r="O379" s="4">
        <f t="shared" si="42"/>
        <v>1.1851811735404505E-2</v>
      </c>
      <c r="P379" s="4">
        <f t="shared" si="42"/>
        <v>-7.0600842587437151E-3</v>
      </c>
      <c r="Q379" s="4">
        <f t="shared" si="42"/>
        <v>-1.1297060153169558E-2</v>
      </c>
      <c r="R379" s="4">
        <f t="shared" si="43"/>
        <v>-1.1148053025191729E-3</v>
      </c>
      <c r="S379" s="4">
        <f t="shared" si="44"/>
        <v>-2.1359214671578197E-2</v>
      </c>
      <c r="T379" s="4">
        <f t="shared" si="45"/>
        <v>-1.182531652933716E-2</v>
      </c>
      <c r="U379" s="4">
        <f t="shared" si="46"/>
        <v>5.5068395338260245E-3</v>
      </c>
      <c r="V379" s="4">
        <f t="shared" si="47"/>
        <v>5.0471138836094553E-3</v>
      </c>
      <c r="W379" s="4">
        <f t="shared" si="48"/>
        <v>4.6609862043296424E-3</v>
      </c>
    </row>
    <row r="380" spans="1:23" x14ac:dyDescent="0.25">
      <c r="A380" s="1">
        <v>45145</v>
      </c>
      <c r="B380">
        <v>4298.169922</v>
      </c>
      <c r="C380">
        <v>9.48</v>
      </c>
      <c r="D380">
        <v>6.4995969999999996</v>
      </c>
      <c r="E380">
        <v>9.5183000000000004E-2</v>
      </c>
      <c r="F380">
        <v>11.473693000000001</v>
      </c>
      <c r="G380">
        <v>17.410215000000001</v>
      </c>
      <c r="H380">
        <v>10.1257</v>
      </c>
      <c r="I380">
        <v>32.728088</v>
      </c>
      <c r="J380">
        <v>3.4760409999999999</v>
      </c>
      <c r="K380">
        <v>29.026688</v>
      </c>
      <c r="L380">
        <v>22.905881999999998</v>
      </c>
      <c r="M380" s="4">
        <f t="shared" si="41"/>
        <v>7.6095096236667992E-3</v>
      </c>
      <c r="N380" s="4">
        <f t="shared" si="41"/>
        <v>-7.3298429319371694E-3</v>
      </c>
      <c r="O380" s="4">
        <f t="shared" si="42"/>
        <v>2.9717581132715498E-3</v>
      </c>
      <c r="P380" s="4">
        <f t="shared" si="42"/>
        <v>-1.0468863707245979E-2</v>
      </c>
      <c r="Q380" s="4">
        <f t="shared" si="42"/>
        <v>-9.1210969497401706E-3</v>
      </c>
      <c r="R380" s="4">
        <f t="shared" si="43"/>
        <v>5.6053866051550827E-3</v>
      </c>
      <c r="S380" s="4">
        <f t="shared" si="44"/>
        <v>1.7283992291881267E-2</v>
      </c>
      <c r="T380" s="4">
        <f t="shared" si="45"/>
        <v>-3.926396664732823E-3</v>
      </c>
      <c r="U380" s="4">
        <f t="shared" si="46"/>
        <v>2.1224218211024493E-3</v>
      </c>
      <c r="V380" s="4">
        <f t="shared" si="47"/>
        <v>1.1228318905689205E-2</v>
      </c>
      <c r="W380" s="4">
        <f t="shared" si="48"/>
        <v>1.7241366293733851E-2</v>
      </c>
    </row>
    <row r="381" spans="1:23" x14ac:dyDescent="0.25">
      <c r="A381" s="1">
        <v>45146</v>
      </c>
      <c r="B381">
        <v>4265.7099609999996</v>
      </c>
      <c r="C381">
        <v>9.5500000000000007</v>
      </c>
      <c r="D381">
        <v>6.4803389999999998</v>
      </c>
      <c r="E381">
        <v>9.6189999999999998E-2</v>
      </c>
      <c r="F381">
        <v>11.579309</v>
      </c>
      <c r="G381">
        <v>17.313168000000001</v>
      </c>
      <c r="H381">
        <v>9.9536610000000003</v>
      </c>
      <c r="I381">
        <v>32.857098000000001</v>
      </c>
      <c r="J381">
        <v>3.4686789999999998</v>
      </c>
      <c r="K381">
        <v>28.704386</v>
      </c>
      <c r="L381">
        <v>22.517647</v>
      </c>
      <c r="M381" s="4">
        <f t="shared" si="41"/>
        <v>-1.2189872475689256E-2</v>
      </c>
      <c r="N381" s="4">
        <f t="shared" si="41"/>
        <v>1.5957446808510634E-2</v>
      </c>
      <c r="O381" s="4">
        <f t="shared" si="42"/>
        <v>-5.9083995578979032E-3</v>
      </c>
      <c r="P381" s="4">
        <f t="shared" si="42"/>
        <v>1.9577499125531306E-2</v>
      </c>
      <c r="Q381" s="4">
        <f t="shared" si="42"/>
        <v>-1.3900237708508012E-2</v>
      </c>
      <c r="R381" s="4">
        <f t="shared" si="43"/>
        <v>-1.11991412241641E-3</v>
      </c>
      <c r="S381" s="4">
        <f t="shared" si="44"/>
        <v>-1.8419801259234592E-2</v>
      </c>
      <c r="T381" s="4">
        <f t="shared" si="45"/>
        <v>-3.6111822651627712E-3</v>
      </c>
      <c r="U381" s="4">
        <f t="shared" si="46"/>
        <v>-8.4185026962992904E-3</v>
      </c>
      <c r="V381" s="4">
        <f t="shared" si="47"/>
        <v>-6.08721841334392E-3</v>
      </c>
      <c r="W381" s="4">
        <f t="shared" si="48"/>
        <v>-7.2743270538784266E-3</v>
      </c>
    </row>
    <row r="382" spans="1:23" x14ac:dyDescent="0.25">
      <c r="A382" s="1">
        <v>45147</v>
      </c>
      <c r="B382">
        <v>4318.3500979999999</v>
      </c>
      <c r="C382">
        <v>9.4</v>
      </c>
      <c r="D382">
        <v>6.5188550000000003</v>
      </c>
      <c r="E382">
        <v>9.4342999999999996E-2</v>
      </c>
      <c r="F382">
        <v>11.742533</v>
      </c>
      <c r="G382">
        <v>17.332578999999999</v>
      </c>
      <c r="H382">
        <v>10.140446000000001</v>
      </c>
      <c r="I382">
        <v>32.976180999999997</v>
      </c>
      <c r="J382">
        <v>3.4981279999999999</v>
      </c>
      <c r="K382">
        <v>28.880185999999998</v>
      </c>
      <c r="L382">
        <v>22.682648</v>
      </c>
      <c r="M382" s="4">
        <f t="shared" si="41"/>
        <v>-7.0589458333415456E-3</v>
      </c>
      <c r="N382" s="4">
        <f t="shared" si="41"/>
        <v>-5.2910052910051242E-3</v>
      </c>
      <c r="O382" s="4">
        <f t="shared" si="42"/>
        <v>1.3473165372991813E-2</v>
      </c>
      <c r="P382" s="4">
        <f t="shared" si="42"/>
        <v>3.5635265083822087E-3</v>
      </c>
      <c r="Q382" s="4">
        <f t="shared" si="42"/>
        <v>1.6625073968627335E-2</v>
      </c>
      <c r="R382" s="4">
        <f t="shared" si="43"/>
        <v>-2.2345928770152179E-3</v>
      </c>
      <c r="S382" s="4">
        <f t="shared" si="44"/>
        <v>-7.2184964094511583E-3</v>
      </c>
      <c r="T382" s="4">
        <f t="shared" si="45"/>
        <v>5.4463512736346864E-3</v>
      </c>
      <c r="U382" s="4">
        <f t="shared" si="46"/>
        <v>-1.1786095960590326E-2</v>
      </c>
      <c r="V382" s="4">
        <f t="shared" si="47"/>
        <v>-4.3771957512829252E-3</v>
      </c>
      <c r="W382" s="4">
        <f t="shared" si="48"/>
        <v>3.8659818338286911E-3</v>
      </c>
    </row>
    <row r="383" spans="1:23" x14ac:dyDescent="0.25">
      <c r="A383" s="1">
        <v>45148</v>
      </c>
      <c r="B383">
        <v>4349.0498049999997</v>
      </c>
      <c r="C383">
        <v>9.4499999999999993</v>
      </c>
      <c r="D383">
        <v>6.4321929999999998</v>
      </c>
      <c r="E383">
        <v>9.4007999999999994E-2</v>
      </c>
      <c r="F383">
        <v>11.550504999999999</v>
      </c>
      <c r="G383">
        <v>17.371397000000002</v>
      </c>
      <c r="H383">
        <v>10.214176999999999</v>
      </c>
      <c r="I383">
        <v>32.797553999999998</v>
      </c>
      <c r="J383">
        <v>3.5398489999999998</v>
      </c>
      <c r="K383">
        <v>29.007155999999998</v>
      </c>
      <c r="L383">
        <v>22.595295</v>
      </c>
      <c r="M383" s="4">
        <f t="shared" si="41"/>
        <v>1.0502156434538445E-2</v>
      </c>
      <c r="N383" s="4">
        <f t="shared" si="41"/>
        <v>2.2727272727272707E-2</v>
      </c>
      <c r="O383" s="4">
        <f t="shared" si="42"/>
        <v>1.5197518017558087E-2</v>
      </c>
      <c r="P383" s="4">
        <f t="shared" si="42"/>
        <v>7.1997942915915658E-3</v>
      </c>
      <c r="Q383" s="4">
        <f t="shared" si="42"/>
        <v>1.6476585055525739E-2</v>
      </c>
      <c r="R383" s="4">
        <f t="shared" si="43"/>
        <v>7.8829018960888675E-3</v>
      </c>
      <c r="S383" s="4">
        <f t="shared" si="44"/>
        <v>8.2484627043866166E-3</v>
      </c>
      <c r="T383" s="4">
        <f t="shared" si="45"/>
        <v>3.3394422295400794E-3</v>
      </c>
      <c r="U383" s="4">
        <f t="shared" si="46"/>
        <v>1.8931929565196848E-2</v>
      </c>
      <c r="V383" s="4">
        <f t="shared" si="47"/>
        <v>6.4385420553003669E-3</v>
      </c>
      <c r="W383" s="4">
        <f t="shared" si="48"/>
        <v>8.6655718431924988E-3</v>
      </c>
    </row>
    <row r="384" spans="1:23" x14ac:dyDescent="0.25">
      <c r="A384" s="1">
        <v>45149</v>
      </c>
      <c r="B384">
        <v>4303.8500979999999</v>
      </c>
      <c r="C384">
        <v>9.24</v>
      </c>
      <c r="D384">
        <v>6.3359030000000001</v>
      </c>
      <c r="E384">
        <v>9.3336000000000002E-2</v>
      </c>
      <c r="F384">
        <v>11.363277</v>
      </c>
      <c r="G384">
        <v>17.235531000000002</v>
      </c>
      <c r="H384">
        <v>10.130615000000001</v>
      </c>
      <c r="I384">
        <v>32.688392999999998</v>
      </c>
      <c r="J384">
        <v>3.474078</v>
      </c>
      <c r="K384">
        <v>28.821587000000001</v>
      </c>
      <c r="L384">
        <v>22.401176</v>
      </c>
      <c r="M384" s="4">
        <f t="shared" si="41"/>
        <v>7.7834866837145356E-3</v>
      </c>
      <c r="N384" s="4">
        <f t="shared" si="41"/>
        <v>8.733624454148492E-3</v>
      </c>
      <c r="O384" s="4">
        <f t="shared" si="42"/>
        <v>1.5432046827263068E-2</v>
      </c>
      <c r="P384" s="4">
        <f t="shared" si="42"/>
        <v>1.2749427632078536E-2</v>
      </c>
      <c r="Q384" s="4">
        <f t="shared" si="42"/>
        <v>1.1538449897620096E-2</v>
      </c>
      <c r="R384" s="4">
        <f t="shared" si="43"/>
        <v>6.8027628129885276E-3</v>
      </c>
      <c r="S384" s="4">
        <f t="shared" si="44"/>
        <v>6.3476516420699625E-3</v>
      </c>
      <c r="T384" s="4">
        <f t="shared" si="45"/>
        <v>1.8552780656479362E-2</v>
      </c>
      <c r="U384" s="4">
        <f t="shared" si="46"/>
        <v>-3.5194421210963389E-3</v>
      </c>
      <c r="V384" s="4">
        <f t="shared" si="47"/>
        <v>1.408933036915605E-2</v>
      </c>
      <c r="W384" s="4">
        <f t="shared" si="48"/>
        <v>3.9147932613248226E-3</v>
      </c>
    </row>
    <row r="385" spans="1:23" x14ac:dyDescent="0.25">
      <c r="A385" s="1">
        <v>45152</v>
      </c>
      <c r="B385">
        <v>4270.6098629999997</v>
      </c>
      <c r="C385">
        <v>9.16</v>
      </c>
      <c r="D385">
        <v>6.2396130000000003</v>
      </c>
      <c r="E385">
        <v>9.2161000000000007E-2</v>
      </c>
      <c r="F385">
        <v>11.233658</v>
      </c>
      <c r="G385">
        <v>17.119074000000001</v>
      </c>
      <c r="H385">
        <v>10.066715</v>
      </c>
      <c r="I385">
        <v>32.092979</v>
      </c>
      <c r="J385">
        <v>3.486348</v>
      </c>
      <c r="K385">
        <v>28.421151999999999</v>
      </c>
      <c r="L385">
        <v>22.313821999999998</v>
      </c>
      <c r="M385" s="4">
        <f t="shared" si="41"/>
        <v>5.5709784465696188E-3</v>
      </c>
      <c r="N385" s="4">
        <f t="shared" si="41"/>
        <v>1.0928961748633004E-3</v>
      </c>
      <c r="O385" s="4">
        <f t="shared" si="42"/>
        <v>2.047253752799727E-2</v>
      </c>
      <c r="P385" s="4">
        <f t="shared" si="42"/>
        <v>1.8262259084931287E-3</v>
      </c>
      <c r="Q385" s="4">
        <f t="shared" si="42"/>
        <v>-1.2803985753988556E-3</v>
      </c>
      <c r="R385" s="4">
        <f t="shared" si="43"/>
        <v>6.8492389319552149E-3</v>
      </c>
      <c r="S385" s="4">
        <f t="shared" si="44"/>
        <v>1.5369356985811766E-2</v>
      </c>
      <c r="T385" s="4">
        <f t="shared" si="45"/>
        <v>-2.3845463743665918E-2</v>
      </c>
      <c r="U385" s="4">
        <f t="shared" si="46"/>
        <v>1.7621542701541815E-2</v>
      </c>
      <c r="V385" s="4">
        <f t="shared" si="47"/>
        <v>1.7212553250851581E-3</v>
      </c>
      <c r="W385" s="4">
        <f t="shared" si="48"/>
        <v>-5.6229498385494958E-3</v>
      </c>
    </row>
    <row r="386" spans="1:23" x14ac:dyDescent="0.25">
      <c r="A386" s="1">
        <v>45153</v>
      </c>
      <c r="B386">
        <v>4246.9501950000003</v>
      </c>
      <c r="C386">
        <v>9.15</v>
      </c>
      <c r="D386">
        <v>6.1144350000000003</v>
      </c>
      <c r="E386">
        <v>9.1993000000000005E-2</v>
      </c>
      <c r="F386">
        <v>11.248060000000001</v>
      </c>
      <c r="G386">
        <v>17.002618999999999</v>
      </c>
      <c r="H386">
        <v>9.9143380000000008</v>
      </c>
      <c r="I386">
        <v>32.876944999999999</v>
      </c>
      <c r="J386">
        <v>3.4259770000000001</v>
      </c>
      <c r="K386">
        <v>28.372316000000001</v>
      </c>
      <c r="L386">
        <v>22.440000999999999</v>
      </c>
      <c r="M386" s="4">
        <f t="shared" si="41"/>
        <v>3.3975508019876699E-3</v>
      </c>
      <c r="N386" s="4">
        <f t="shared" si="41"/>
        <v>-1.0917030567685337E-3</v>
      </c>
      <c r="O386" s="4">
        <f t="shared" si="42"/>
        <v>-1.5723219091112739E-3</v>
      </c>
      <c r="P386" s="4">
        <f t="shared" si="42"/>
        <v>9.2042038747615074E-3</v>
      </c>
      <c r="Q386" s="4">
        <f t="shared" si="42"/>
        <v>-6.3613558607538145E-3</v>
      </c>
      <c r="R386" s="4">
        <f t="shared" si="43"/>
        <v>6.8965937908211927E-3</v>
      </c>
      <c r="S386" s="4">
        <f t="shared" si="44"/>
        <v>-5.9142775181351137E-3</v>
      </c>
      <c r="T386" s="4">
        <f t="shared" si="45"/>
        <v>1.3459830709354748E-2</v>
      </c>
      <c r="U386" s="4">
        <f t="shared" si="46"/>
        <v>5.7636574579666977E-3</v>
      </c>
      <c r="V386" s="4">
        <f t="shared" si="47"/>
        <v>-2.4039153768623533E-3</v>
      </c>
      <c r="W386" s="4">
        <f t="shared" si="48"/>
        <v>1.1373626054173247E-2</v>
      </c>
    </row>
    <row r="387" spans="1:23" x14ac:dyDescent="0.25">
      <c r="A387" s="1">
        <v>45154</v>
      </c>
      <c r="B387">
        <v>4232.5698240000002</v>
      </c>
      <c r="C387">
        <v>9.16</v>
      </c>
      <c r="D387">
        <v>6.1240639999999997</v>
      </c>
      <c r="E387">
        <v>9.1153999999999999E-2</v>
      </c>
      <c r="F387">
        <v>11.320071</v>
      </c>
      <c r="G387">
        <v>16.886161999999999</v>
      </c>
      <c r="H387">
        <v>9.9733230000000006</v>
      </c>
      <c r="I387">
        <v>32.440303999999998</v>
      </c>
      <c r="J387">
        <v>3.4063439999999998</v>
      </c>
      <c r="K387">
        <v>28.440684999999998</v>
      </c>
      <c r="L387">
        <v>22.187646999999998</v>
      </c>
      <c r="M387" s="4">
        <f t="shared" si="41"/>
        <v>1.5166647177107251E-3</v>
      </c>
      <c r="N387" s="4">
        <f t="shared" si="41"/>
        <v>-5.4288816503801351E-3</v>
      </c>
      <c r="O387" s="4">
        <f t="shared" si="42"/>
        <v>1.2738811370603065E-2</v>
      </c>
      <c r="P387" s="4">
        <f t="shared" si="42"/>
        <v>-1.8396443354284919E-3</v>
      </c>
      <c r="Q387" s="4">
        <f t="shared" si="42"/>
        <v>-8.4750901460250994E-4</v>
      </c>
      <c r="R387" s="4">
        <f t="shared" si="43"/>
        <v>-6.8493565608922502E-3</v>
      </c>
      <c r="S387" s="4">
        <f t="shared" si="44"/>
        <v>2.4703615913002075E-3</v>
      </c>
      <c r="T387" s="4">
        <f t="shared" si="45"/>
        <v>7.3959998369050872E-3</v>
      </c>
      <c r="U387" s="4">
        <f t="shared" si="46"/>
        <v>-7.4367705498991077E-3</v>
      </c>
      <c r="V387" s="4">
        <f t="shared" si="47"/>
        <v>-7.4983369716041803E-3</v>
      </c>
      <c r="W387" s="4">
        <f t="shared" si="48"/>
        <v>1.4196925912348224E-2</v>
      </c>
    </row>
    <row r="388" spans="1:23" x14ac:dyDescent="0.25">
      <c r="A388" s="1">
        <v>45155</v>
      </c>
      <c r="B388">
        <v>4226.1601559999999</v>
      </c>
      <c r="C388">
        <v>9.2100000000000009</v>
      </c>
      <c r="D388">
        <v>6.0470319999999997</v>
      </c>
      <c r="E388">
        <v>9.1322E-2</v>
      </c>
      <c r="F388">
        <v>11.329673</v>
      </c>
      <c r="G388">
        <v>17.002618999999999</v>
      </c>
      <c r="H388">
        <v>9.9487459999999999</v>
      </c>
      <c r="I388">
        <v>32.202137</v>
      </c>
      <c r="J388">
        <v>3.4318659999999999</v>
      </c>
      <c r="K388">
        <v>28.655553999999999</v>
      </c>
      <c r="L388">
        <v>21.87706</v>
      </c>
      <c r="M388" s="4">
        <f t="shared" si="41"/>
        <v>3.8671585537968234E-3</v>
      </c>
      <c r="N388" s="4">
        <f t="shared" si="41"/>
        <v>5.4585152838428908E-3</v>
      </c>
      <c r="O388" s="4">
        <f t="shared" si="42"/>
        <v>6.4102350730195212E-3</v>
      </c>
      <c r="P388" s="4">
        <f t="shared" si="42"/>
        <v>1.1161060300728609E-2</v>
      </c>
      <c r="Q388" s="4">
        <f t="shared" si="42"/>
        <v>-5.0588902705475114E-3</v>
      </c>
      <c r="R388" s="4">
        <f t="shared" si="43"/>
        <v>3.4365358349597308E-3</v>
      </c>
      <c r="S388" s="4">
        <f t="shared" si="44"/>
        <v>3.4705292476411298E-3</v>
      </c>
      <c r="T388" s="4">
        <f t="shared" si="45"/>
        <v>8.0770728336185815E-3</v>
      </c>
      <c r="U388" s="4">
        <f t="shared" si="46"/>
        <v>-2.1408868092238631E-3</v>
      </c>
      <c r="V388" s="4">
        <f t="shared" si="47"/>
        <v>8.5940548128857763E-3</v>
      </c>
      <c r="W388" s="4">
        <f t="shared" si="48"/>
        <v>4.4390375003322546E-4</v>
      </c>
    </row>
    <row r="389" spans="1:23" x14ac:dyDescent="0.25">
      <c r="A389" s="1">
        <v>45156</v>
      </c>
      <c r="B389">
        <v>4209.8798829999996</v>
      </c>
      <c r="C389">
        <v>9.16</v>
      </c>
      <c r="D389">
        <v>6.0085160000000002</v>
      </c>
      <c r="E389">
        <v>9.0314000000000005E-2</v>
      </c>
      <c r="F389">
        <v>11.387280000000001</v>
      </c>
      <c r="G389">
        <v>16.944389000000001</v>
      </c>
      <c r="H389">
        <v>9.9143380000000008</v>
      </c>
      <c r="I389">
        <v>31.944122</v>
      </c>
      <c r="J389">
        <v>3.4392290000000001</v>
      </c>
      <c r="K389">
        <v>28.411384999999999</v>
      </c>
      <c r="L389">
        <v>21.867353000000001</v>
      </c>
      <c r="M389" s="4">
        <f t="shared" si="41"/>
        <v>1.9682979309494364E-3</v>
      </c>
      <c r="N389" s="4">
        <f t="shared" si="41"/>
        <v>1.0928961748633004E-3</v>
      </c>
      <c r="O389" s="4">
        <f t="shared" si="42"/>
        <v>9.7087052337339053E-3</v>
      </c>
      <c r="P389" s="4">
        <f t="shared" si="42"/>
        <v>7.2778457481559089E-2</v>
      </c>
      <c r="Q389" s="4">
        <f t="shared" si="42"/>
        <v>-4.6160484080191022E-3</v>
      </c>
      <c r="R389" s="4">
        <f t="shared" si="43"/>
        <v>0</v>
      </c>
      <c r="S389" s="4">
        <f t="shared" si="44"/>
        <v>-1.4852325264613775E-3</v>
      </c>
      <c r="T389" s="4">
        <f t="shared" si="45"/>
        <v>-3.7141633666747387E-3</v>
      </c>
      <c r="U389" s="4">
        <f t="shared" si="46"/>
        <v>1.0000602480999543E-3</v>
      </c>
      <c r="V389" s="4">
        <f t="shared" si="47"/>
        <v>-8.5208263640619286E-3</v>
      </c>
      <c r="W389" s="4">
        <f t="shared" si="48"/>
        <v>8.9565770869002304E-3</v>
      </c>
    </row>
    <row r="390" spans="1:23" x14ac:dyDescent="0.25">
      <c r="A390" s="1">
        <v>45159</v>
      </c>
      <c r="B390">
        <v>4201.6098629999997</v>
      </c>
      <c r="C390">
        <v>9.15</v>
      </c>
      <c r="D390">
        <v>5.950742</v>
      </c>
      <c r="E390">
        <v>8.4186999999999998E-2</v>
      </c>
      <c r="F390">
        <v>11.440087999999999</v>
      </c>
      <c r="G390">
        <v>16.944389000000001</v>
      </c>
      <c r="H390">
        <v>9.9290850000000006</v>
      </c>
      <c r="I390">
        <v>32.063209999999998</v>
      </c>
      <c r="J390">
        <v>3.4357929999999999</v>
      </c>
      <c r="K390">
        <v>28.655553999999999</v>
      </c>
      <c r="L390">
        <v>21.673234999999998</v>
      </c>
      <c r="M390" s="4">
        <f t="shared" ref="M390:N453" si="49">B390/B391-1</f>
        <v>-9.1827578475994764E-3</v>
      </c>
      <c r="N390" s="4">
        <f t="shared" si="49"/>
        <v>2.1905805038333614E-3</v>
      </c>
      <c r="O390" s="4">
        <f t="shared" ref="O390:Q453" si="50">D390/D391-1</f>
        <v>-1.6155034644655952E-3</v>
      </c>
      <c r="P390" s="4">
        <f t="shared" si="50"/>
        <v>-4.9641282636189166E-3</v>
      </c>
      <c r="Q390" s="4">
        <f t="shared" si="50"/>
        <v>-9.5594954506318386E-3</v>
      </c>
      <c r="R390" s="4">
        <f t="shared" si="43"/>
        <v>6.9203385275935503E-3</v>
      </c>
      <c r="S390" s="4">
        <f t="shared" si="44"/>
        <v>-1.9893165419868408E-2</v>
      </c>
      <c r="T390" s="4">
        <f t="shared" si="45"/>
        <v>-2.8854814306462417E-2</v>
      </c>
      <c r="U390" s="4">
        <f t="shared" si="46"/>
        <v>-1.1997363633906355E-2</v>
      </c>
      <c r="V390" s="4">
        <f t="shared" si="47"/>
        <v>-1.2785957529842906E-2</v>
      </c>
      <c r="W390" s="4">
        <f t="shared" si="48"/>
        <v>-1.8461491640664351E-2</v>
      </c>
    </row>
    <row r="391" spans="1:23" x14ac:dyDescent="0.25">
      <c r="A391" s="1">
        <v>45160</v>
      </c>
      <c r="B391">
        <v>4240.5498049999997</v>
      </c>
      <c r="C391">
        <v>9.1300000000000008</v>
      </c>
      <c r="D391">
        <v>5.9603710000000003</v>
      </c>
      <c r="E391">
        <v>8.4607000000000002E-2</v>
      </c>
      <c r="F391">
        <v>11.550504999999999</v>
      </c>
      <c r="G391">
        <v>16.827933999999999</v>
      </c>
      <c r="H391">
        <v>10.130615000000001</v>
      </c>
      <c r="I391">
        <v>33.015877000000003</v>
      </c>
      <c r="J391">
        <v>3.4775140000000002</v>
      </c>
      <c r="K391">
        <v>29.026688</v>
      </c>
      <c r="L391">
        <v>22.080881000000002</v>
      </c>
      <c r="M391" s="4">
        <f t="shared" si="49"/>
        <v>-2.7960738223157255E-3</v>
      </c>
      <c r="N391" s="4">
        <f t="shared" si="49"/>
        <v>-1.094091903719896E-3</v>
      </c>
      <c r="O391" s="4">
        <f t="shared" si="50"/>
        <v>3.2414801738329668E-3</v>
      </c>
      <c r="P391" s="4">
        <f t="shared" si="50"/>
        <v>-2.0400838263728849E-2</v>
      </c>
      <c r="Q391" s="4">
        <f t="shared" si="50"/>
        <v>-4.1390654249441328E-3</v>
      </c>
      <c r="R391" s="4">
        <f t="shared" si="43"/>
        <v>-1.7006760996535308E-2</v>
      </c>
      <c r="S391" s="4">
        <f t="shared" si="44"/>
        <v>-1.5289114171705198E-2</v>
      </c>
      <c r="T391" s="4">
        <f t="shared" si="45"/>
        <v>3.0148887931655821E-3</v>
      </c>
      <c r="U391" s="4">
        <f t="shared" si="46"/>
        <v>1.13053163775656E-3</v>
      </c>
      <c r="V391" s="4">
        <f t="shared" si="47"/>
        <v>-4.0214263793492133E-3</v>
      </c>
      <c r="W391" s="4">
        <f t="shared" si="48"/>
        <v>1.7613601126247325E-3</v>
      </c>
    </row>
    <row r="392" spans="1:23" x14ac:dyDescent="0.25">
      <c r="A392" s="1">
        <v>45161</v>
      </c>
      <c r="B392">
        <v>4252.4399409999996</v>
      </c>
      <c r="C392">
        <v>9.14</v>
      </c>
      <c r="D392">
        <v>5.9411129999999996</v>
      </c>
      <c r="E392">
        <v>8.6369000000000001E-2</v>
      </c>
      <c r="F392">
        <v>11.598511999999999</v>
      </c>
      <c r="G392">
        <v>17.119074000000001</v>
      </c>
      <c r="H392">
        <v>10.287908</v>
      </c>
      <c r="I392">
        <v>32.916637000000001</v>
      </c>
      <c r="J392">
        <v>3.4735870000000002</v>
      </c>
      <c r="K392">
        <v>29.143888</v>
      </c>
      <c r="L392">
        <v>22.042057</v>
      </c>
      <c r="M392" s="4">
        <f t="shared" si="49"/>
        <v>5.9898520267194222E-3</v>
      </c>
      <c r="N392" s="4">
        <f t="shared" si="49"/>
        <v>-3.2715376226826187E-3</v>
      </c>
      <c r="O392" s="4">
        <f t="shared" si="50"/>
        <v>8.1699069127814106E-3</v>
      </c>
      <c r="P392" s="4">
        <f t="shared" si="50"/>
        <v>2.5918490978417141E-2</v>
      </c>
      <c r="Q392" s="4">
        <f t="shared" si="50"/>
        <v>1.6407268454627921E-2</v>
      </c>
      <c r="R392" s="4">
        <f t="shared" si="43"/>
        <v>-2.2625154345864429E-3</v>
      </c>
      <c r="S392" s="4">
        <f t="shared" si="44"/>
        <v>1.4050461092513178E-2</v>
      </c>
      <c r="T392" s="4">
        <f t="shared" si="45"/>
        <v>-2.4061077167800704E-3</v>
      </c>
      <c r="U392" s="4">
        <f t="shared" si="46"/>
        <v>7.1153008687039332E-3</v>
      </c>
      <c r="V392" s="4">
        <f t="shared" si="47"/>
        <v>9.813880510603834E-3</v>
      </c>
      <c r="W392" s="4">
        <f t="shared" si="48"/>
        <v>1.113089757933805E-2</v>
      </c>
    </row>
    <row r="393" spans="1:23" x14ac:dyDescent="0.25">
      <c r="A393" s="1">
        <v>45162</v>
      </c>
      <c r="B393">
        <v>4227.1201170000004</v>
      </c>
      <c r="C393">
        <v>9.17</v>
      </c>
      <c r="D393">
        <v>5.8929679999999998</v>
      </c>
      <c r="E393">
        <v>8.4186999999999998E-2</v>
      </c>
      <c r="F393">
        <v>11.411284</v>
      </c>
      <c r="G393">
        <v>17.157893999999999</v>
      </c>
      <c r="H393">
        <v>10.145360999999999</v>
      </c>
      <c r="I393">
        <v>32.996029</v>
      </c>
      <c r="J393">
        <v>3.4490460000000001</v>
      </c>
      <c r="K393">
        <v>28.860652999999999</v>
      </c>
      <c r="L393">
        <v>21.799410000000002</v>
      </c>
      <c r="M393" s="4">
        <f t="shared" si="49"/>
        <v>-1.2097888392219591E-3</v>
      </c>
      <c r="N393" s="4">
        <f t="shared" si="49"/>
        <v>1.0917030567685337E-3</v>
      </c>
      <c r="O393" s="4">
        <f t="shared" si="50"/>
        <v>4.9262629432067495E-3</v>
      </c>
      <c r="P393" s="4">
        <f t="shared" si="50"/>
        <v>3.39682009963993E-3</v>
      </c>
      <c r="Q393" s="4">
        <f t="shared" si="50"/>
        <v>-1.4102110076548491E-2</v>
      </c>
      <c r="R393" s="4">
        <f t="shared" si="43"/>
        <v>-5.624244419279445E-3</v>
      </c>
      <c r="S393" s="4">
        <f t="shared" si="44"/>
        <v>3.8910401880538625E-3</v>
      </c>
      <c r="T393" s="4">
        <f t="shared" si="45"/>
        <v>6.6607162807548193E-3</v>
      </c>
      <c r="U393" s="4">
        <f t="shared" si="46"/>
        <v>4.8619636995907989E-3</v>
      </c>
      <c r="V393" s="4">
        <f t="shared" si="47"/>
        <v>-1.1044186580831172E-2</v>
      </c>
      <c r="W393" s="4">
        <f t="shared" si="48"/>
        <v>-3.5493800355257399E-3</v>
      </c>
    </row>
    <row r="394" spans="1:23" x14ac:dyDescent="0.25">
      <c r="A394" s="1">
        <v>45163</v>
      </c>
      <c r="B394">
        <v>4232.2402339999999</v>
      </c>
      <c r="C394">
        <v>9.16</v>
      </c>
      <c r="D394">
        <v>5.8640800000000004</v>
      </c>
      <c r="E394">
        <v>8.3902000000000004E-2</v>
      </c>
      <c r="F394">
        <v>11.574509000000001</v>
      </c>
      <c r="G394">
        <v>17.254940000000001</v>
      </c>
      <c r="H394">
        <v>10.106038</v>
      </c>
      <c r="I394">
        <v>32.777706000000002</v>
      </c>
      <c r="J394">
        <v>3.4323579999999998</v>
      </c>
      <c r="K394">
        <v>29.182955</v>
      </c>
      <c r="L394">
        <v>21.87706</v>
      </c>
      <c r="M394" s="4">
        <f t="shared" si="49"/>
        <v>-1.443099605347864E-2</v>
      </c>
      <c r="N394" s="4">
        <f t="shared" si="49"/>
        <v>-3.2644178454841466E-3</v>
      </c>
      <c r="O394" s="4">
        <f t="shared" si="50"/>
        <v>6.6115486843849602E-3</v>
      </c>
      <c r="P394" s="4">
        <f t="shared" si="50"/>
        <v>-1.9034256985852815E-2</v>
      </c>
      <c r="Q394" s="4">
        <f t="shared" si="50"/>
        <v>-7.8188902495704982E-3</v>
      </c>
      <c r="R394" s="4">
        <f t="shared" si="43"/>
        <v>-7.8125188677281576E-3</v>
      </c>
      <c r="S394" s="4">
        <f t="shared" si="44"/>
        <v>-2.7436092128575118E-2</v>
      </c>
      <c r="T394" s="4">
        <f t="shared" si="45"/>
        <v>-1.9299402248379005E-2</v>
      </c>
      <c r="U394" s="4">
        <f t="shared" si="46"/>
        <v>-1.5486118999021414E-2</v>
      </c>
      <c r="V394" s="4">
        <f t="shared" si="47"/>
        <v>-1.3210114985561794E-2</v>
      </c>
      <c r="W394" s="4">
        <f t="shared" si="48"/>
        <v>-2.212568115663216E-2</v>
      </c>
    </row>
    <row r="395" spans="1:23" x14ac:dyDescent="0.25">
      <c r="A395" s="1">
        <v>45166</v>
      </c>
      <c r="B395">
        <v>4294.2099609999996</v>
      </c>
      <c r="C395">
        <v>9.19</v>
      </c>
      <c r="D395">
        <v>5.825564</v>
      </c>
      <c r="E395">
        <v>8.5529999999999995E-2</v>
      </c>
      <c r="F395">
        <v>11.665722000000001</v>
      </c>
      <c r="G395">
        <v>17.390806000000001</v>
      </c>
      <c r="H395">
        <v>10.39113</v>
      </c>
      <c r="I395">
        <v>33.422744999999999</v>
      </c>
      <c r="J395">
        <v>3.486348</v>
      </c>
      <c r="K395">
        <v>29.573626000000001</v>
      </c>
      <c r="L395">
        <v>22.372057000000002</v>
      </c>
      <c r="M395" s="4">
        <f t="shared" si="49"/>
        <v>-1.7262331367128958E-2</v>
      </c>
      <c r="N395" s="4">
        <f t="shared" si="49"/>
        <v>-8.6299892125134559E-3</v>
      </c>
      <c r="O395" s="4">
        <f t="shared" si="50"/>
        <v>1.6556237303202437E-3</v>
      </c>
      <c r="P395" s="4">
        <f t="shared" si="50"/>
        <v>-2.937679233405599E-3</v>
      </c>
      <c r="Q395" s="4">
        <f t="shared" si="50"/>
        <v>-2.2132798804602949E-2</v>
      </c>
      <c r="R395" s="4">
        <f t="shared" si="43"/>
        <v>-1.1037650366206075E-2</v>
      </c>
      <c r="S395" s="4">
        <f t="shared" si="44"/>
        <v>-1.4911518053456807E-2</v>
      </c>
      <c r="T395" s="4">
        <f t="shared" si="45"/>
        <v>-1.173712675257732E-2</v>
      </c>
      <c r="U395" s="4">
        <f t="shared" si="46"/>
        <v>-2.7519347950700213E-2</v>
      </c>
      <c r="V395" s="4">
        <f t="shared" si="47"/>
        <v>-2.5739944123136849E-2</v>
      </c>
      <c r="W395" s="4">
        <f t="shared" si="48"/>
        <v>-1.537809833606707E-2</v>
      </c>
    </row>
    <row r="396" spans="1:23" x14ac:dyDescent="0.25">
      <c r="A396" s="1">
        <v>45167</v>
      </c>
      <c r="B396">
        <v>4369.6401370000003</v>
      </c>
      <c r="C396">
        <v>9.27</v>
      </c>
      <c r="D396">
        <v>5.8159349999999996</v>
      </c>
      <c r="E396">
        <v>8.5781999999999997E-2</v>
      </c>
      <c r="F396">
        <v>11.929760999999999</v>
      </c>
      <c r="G396">
        <v>17.584902</v>
      </c>
      <c r="H396">
        <v>10.548423</v>
      </c>
      <c r="I396">
        <v>33.819690999999999</v>
      </c>
      <c r="J396">
        <v>3.5850050000000002</v>
      </c>
      <c r="K396">
        <v>30.354960999999999</v>
      </c>
      <c r="L396">
        <v>22.72147</v>
      </c>
      <c r="M396" s="4">
        <f t="shared" si="49"/>
        <v>-5.4737144229448642E-3</v>
      </c>
      <c r="N396" s="4">
        <f t="shared" si="49"/>
        <v>-3.225806451613078E-3</v>
      </c>
      <c r="O396" s="4">
        <f t="shared" si="50"/>
        <v>0</v>
      </c>
      <c r="P396" s="4">
        <f t="shared" si="50"/>
        <v>3.9323081244295732E-3</v>
      </c>
      <c r="Q396" s="4">
        <f t="shared" si="50"/>
        <v>-3.6086293397452618E-3</v>
      </c>
      <c r="R396" s="4">
        <f t="shared" si="43"/>
        <v>-1.5217315336957249E-2</v>
      </c>
      <c r="S396" s="4">
        <f t="shared" si="44"/>
        <v>-6.021301839380544E-3</v>
      </c>
      <c r="T396" s="4">
        <f t="shared" si="45"/>
        <v>1.4694077172303643E-3</v>
      </c>
      <c r="U396" s="4">
        <f t="shared" si="46"/>
        <v>-8.2080296548170395E-4</v>
      </c>
      <c r="V396" s="4">
        <f t="shared" si="47"/>
        <v>-1.8629637300178303E-2</v>
      </c>
      <c r="W396" s="4">
        <f t="shared" si="48"/>
        <v>-3.8297899019165138E-3</v>
      </c>
    </row>
    <row r="397" spans="1:23" x14ac:dyDescent="0.25">
      <c r="A397" s="1">
        <v>45168</v>
      </c>
      <c r="B397">
        <v>4393.6899409999996</v>
      </c>
      <c r="C397">
        <v>9.3000000000000007</v>
      </c>
      <c r="D397">
        <v>5.8159349999999996</v>
      </c>
      <c r="E397">
        <v>8.5445999999999994E-2</v>
      </c>
      <c r="F397">
        <v>11.972967000000001</v>
      </c>
      <c r="G397">
        <v>17.856632000000001</v>
      </c>
      <c r="H397">
        <v>10.612323</v>
      </c>
      <c r="I397">
        <v>33.770068999999999</v>
      </c>
      <c r="J397">
        <v>3.5879500000000002</v>
      </c>
      <c r="K397">
        <v>30.931197999999998</v>
      </c>
      <c r="L397">
        <v>22.808823</v>
      </c>
      <c r="M397" s="4">
        <f t="shared" si="49"/>
        <v>3.3638078747439959E-3</v>
      </c>
      <c r="N397" s="4">
        <f t="shared" si="49"/>
        <v>-2.1052631578947323E-2</v>
      </c>
      <c r="O397" s="4">
        <f t="shared" si="50"/>
        <v>-9.8360337565241984E-3</v>
      </c>
      <c r="P397" s="4">
        <f t="shared" si="50"/>
        <v>-1.3564839934888884E-2</v>
      </c>
      <c r="Q397" s="4">
        <f t="shared" si="50"/>
        <v>5.6451681316862512E-3</v>
      </c>
      <c r="R397" s="4">
        <f t="shared" si="43"/>
        <v>1.9955660687795751E-2</v>
      </c>
      <c r="S397" s="4">
        <f t="shared" si="44"/>
        <v>1.5999980852448914E-2</v>
      </c>
      <c r="T397" s="4">
        <f t="shared" si="45"/>
        <v>7.4009061995627956E-3</v>
      </c>
      <c r="U397" s="4">
        <f t="shared" si="46"/>
        <v>-8.6791515523587659E-3</v>
      </c>
      <c r="V397" s="4">
        <f t="shared" si="47"/>
        <v>1.5812259980338972E-3</v>
      </c>
      <c r="W397" s="4">
        <f t="shared" si="48"/>
        <v>0</v>
      </c>
    </row>
    <row r="398" spans="1:23" x14ac:dyDescent="0.25">
      <c r="A398" s="1">
        <v>45169</v>
      </c>
      <c r="B398">
        <v>4378.9599609999996</v>
      </c>
      <c r="C398">
        <v>9.5</v>
      </c>
      <c r="D398">
        <v>5.8737089999999998</v>
      </c>
      <c r="E398">
        <v>8.6621000000000004E-2</v>
      </c>
      <c r="F398">
        <v>11.905756999999999</v>
      </c>
      <c r="G398">
        <v>17.507262999999998</v>
      </c>
      <c r="H398">
        <v>10.4452</v>
      </c>
      <c r="I398">
        <v>33.521976000000002</v>
      </c>
      <c r="J398">
        <v>3.6193629999999999</v>
      </c>
      <c r="K398">
        <v>30.882366000000001</v>
      </c>
      <c r="L398">
        <v>22.808823</v>
      </c>
      <c r="M398" s="4">
        <f t="shared" si="49"/>
        <v>-2.3102997820945159E-3</v>
      </c>
      <c r="N398" s="4">
        <f t="shared" si="49"/>
        <v>5.2910052910053462E-3</v>
      </c>
      <c r="O398" s="4">
        <f t="shared" si="50"/>
        <v>1.6420308044908793E-3</v>
      </c>
      <c r="P398" s="4">
        <f t="shared" si="50"/>
        <v>9.7068306042502606E-4</v>
      </c>
      <c r="Q398" s="4">
        <f t="shared" si="50"/>
        <v>-3.2153783580631812E-3</v>
      </c>
      <c r="R398" s="4">
        <f t="shared" si="43"/>
        <v>-1.2048181212934161E-2</v>
      </c>
      <c r="S398" s="4">
        <f t="shared" si="44"/>
        <v>-3.7505759680244166E-3</v>
      </c>
      <c r="T398" s="4">
        <f t="shared" si="45"/>
        <v>-8.5120082910956629E-3</v>
      </c>
      <c r="U398" s="4">
        <f t="shared" si="46"/>
        <v>-6.7348096986089567E-3</v>
      </c>
      <c r="V398" s="4">
        <f t="shared" si="47"/>
        <v>-1.5787296696363473E-3</v>
      </c>
      <c r="W398" s="4">
        <f t="shared" si="48"/>
        <v>2.1321780817067371E-3</v>
      </c>
    </row>
    <row r="399" spans="1:23" x14ac:dyDescent="0.25">
      <c r="A399" s="1">
        <v>45170</v>
      </c>
      <c r="B399">
        <v>4389.1000979999999</v>
      </c>
      <c r="C399">
        <v>9.4499999999999993</v>
      </c>
      <c r="D399">
        <v>5.8640800000000004</v>
      </c>
      <c r="E399">
        <v>8.6537000000000003E-2</v>
      </c>
      <c r="F399">
        <v>11.944162</v>
      </c>
      <c r="G399">
        <v>17.720766000000001</v>
      </c>
      <c r="H399">
        <v>10.484522999999999</v>
      </c>
      <c r="I399">
        <v>33.809764999999999</v>
      </c>
      <c r="J399">
        <v>3.643904</v>
      </c>
      <c r="K399">
        <v>30.931197999999998</v>
      </c>
      <c r="L399">
        <v>22.760293999999998</v>
      </c>
      <c r="M399" s="4">
        <f t="shared" si="49"/>
        <v>-3.6665209369302065E-4</v>
      </c>
      <c r="N399" s="4">
        <f t="shared" si="49"/>
        <v>3.1847133757960666E-3</v>
      </c>
      <c r="O399" s="4">
        <f t="shared" si="50"/>
        <v>1.6447315042862343E-3</v>
      </c>
      <c r="P399" s="4">
        <f t="shared" si="50"/>
        <v>-1.7161093948755202E-2</v>
      </c>
      <c r="Q399" s="4">
        <f t="shared" si="50"/>
        <v>1.9672044658024745E-2</v>
      </c>
      <c r="R399" s="4">
        <f t="shared" si="43"/>
        <v>-2.1857493959317464E-3</v>
      </c>
      <c r="S399" s="4">
        <f t="shared" si="44"/>
        <v>-5.5945321429516914E-3</v>
      </c>
      <c r="T399" s="4">
        <f t="shared" si="45"/>
        <v>7.3921525721363235E-3</v>
      </c>
      <c r="U399" s="4">
        <f t="shared" si="46"/>
        <v>-3.6235807277568144E-3</v>
      </c>
      <c r="V399" s="4">
        <f t="shared" si="47"/>
        <v>-2.8337381054730493E-3</v>
      </c>
      <c r="W399" s="4">
        <f t="shared" si="48"/>
        <v>-3.8232821086565671E-3</v>
      </c>
    </row>
    <row r="400" spans="1:23" x14ac:dyDescent="0.25">
      <c r="A400" s="1">
        <v>45173</v>
      </c>
      <c r="B400">
        <v>4390.7099609999996</v>
      </c>
      <c r="C400">
        <v>9.42</v>
      </c>
      <c r="D400">
        <v>5.8544510000000001</v>
      </c>
      <c r="E400">
        <v>8.8048000000000001E-2</v>
      </c>
      <c r="F400">
        <v>11.713729000000001</v>
      </c>
      <c r="G400">
        <v>17.759584</v>
      </c>
      <c r="H400">
        <v>10.543509</v>
      </c>
      <c r="I400">
        <v>33.561672000000002</v>
      </c>
      <c r="J400">
        <v>3.6571560000000001</v>
      </c>
      <c r="K400">
        <v>31.019098</v>
      </c>
      <c r="L400">
        <v>22.847646999999998</v>
      </c>
      <c r="M400" s="4">
        <f t="shared" si="49"/>
        <v>1.6607507608670247E-3</v>
      </c>
      <c r="N400" s="4">
        <f t="shared" si="49"/>
        <v>-1.0604453870625141E-3</v>
      </c>
      <c r="O400" s="4">
        <f t="shared" si="50"/>
        <v>-1.298713778878946E-2</v>
      </c>
      <c r="P400" s="4">
        <f t="shared" si="50"/>
        <v>-1.0374166863359902E-2</v>
      </c>
      <c r="Q400" s="4">
        <f t="shared" si="50"/>
        <v>3.2895021405403568E-3</v>
      </c>
      <c r="R400" s="4">
        <f t="shared" si="43"/>
        <v>4.3908063060480451E-3</v>
      </c>
      <c r="S400" s="4">
        <f t="shared" si="44"/>
        <v>-1.6054898182509714E-2</v>
      </c>
      <c r="T400" s="4">
        <f t="shared" si="45"/>
        <v>4.4549668197706449E-3</v>
      </c>
      <c r="U400" s="4">
        <f t="shared" si="46"/>
        <v>-6.6659459847059344E-3</v>
      </c>
      <c r="V400" s="4">
        <f t="shared" si="47"/>
        <v>1.6319978548537506E-2</v>
      </c>
      <c r="W400" s="4">
        <f t="shared" si="48"/>
        <v>4.2495072454418192E-4</v>
      </c>
    </row>
    <row r="401" spans="1:23" x14ac:dyDescent="0.25">
      <c r="A401" s="1">
        <v>45174</v>
      </c>
      <c r="B401">
        <v>4383.4301759999998</v>
      </c>
      <c r="C401">
        <v>9.43</v>
      </c>
      <c r="D401">
        <v>5.9314840000000002</v>
      </c>
      <c r="E401">
        <v>8.8970999999999995E-2</v>
      </c>
      <c r="F401">
        <v>11.675323000000001</v>
      </c>
      <c r="G401">
        <v>17.681946</v>
      </c>
      <c r="H401">
        <v>10.715546</v>
      </c>
      <c r="I401">
        <v>33.412818999999999</v>
      </c>
      <c r="J401">
        <v>3.6816979999999999</v>
      </c>
      <c r="K401">
        <v>30.520996</v>
      </c>
      <c r="L401">
        <v>22.837942000000002</v>
      </c>
      <c r="M401" s="4">
        <f t="shared" si="49"/>
        <v>-2.5190178632381599E-3</v>
      </c>
      <c r="N401" s="4">
        <f t="shared" si="49"/>
        <v>5.3304904051172386E-3</v>
      </c>
      <c r="O401" s="4">
        <f t="shared" si="50"/>
        <v>6.5359255302253061E-3</v>
      </c>
      <c r="P401" s="4">
        <f t="shared" si="50"/>
        <v>0</v>
      </c>
      <c r="Q401" s="4">
        <f t="shared" si="50"/>
        <v>3.7144574555481036E-3</v>
      </c>
      <c r="R401" s="4">
        <f t="shared" si="43"/>
        <v>4.4101134557452681E-3</v>
      </c>
      <c r="S401" s="4">
        <f t="shared" si="44"/>
        <v>-4.1115133806113313E-3</v>
      </c>
      <c r="T401" s="4">
        <f t="shared" si="45"/>
        <v>-1.0288106861620183E-2</v>
      </c>
      <c r="U401" s="4">
        <f t="shared" si="46"/>
        <v>-5.0403353845813736E-3</v>
      </c>
      <c r="V401" s="4">
        <f t="shared" si="47"/>
        <v>2.8883029186383968E-3</v>
      </c>
      <c r="W401" s="4">
        <f t="shared" si="48"/>
        <v>4.2680400756647252E-3</v>
      </c>
    </row>
    <row r="402" spans="1:23" x14ac:dyDescent="0.25">
      <c r="A402" s="1">
        <v>45175</v>
      </c>
      <c r="B402">
        <v>4394.5</v>
      </c>
      <c r="C402">
        <v>9.3800000000000008</v>
      </c>
      <c r="D402">
        <v>5.8929679999999998</v>
      </c>
      <c r="E402">
        <v>8.8970999999999995E-2</v>
      </c>
      <c r="F402">
        <v>11.632116</v>
      </c>
      <c r="G402">
        <v>17.604309000000001</v>
      </c>
      <c r="H402">
        <v>10.759785000000001</v>
      </c>
      <c r="I402">
        <v>33.760147000000003</v>
      </c>
      <c r="J402">
        <v>3.7003490000000001</v>
      </c>
      <c r="K402">
        <v>30.433095999999999</v>
      </c>
      <c r="L402">
        <v>22.740883</v>
      </c>
      <c r="M402" s="4">
        <f t="shared" si="49"/>
        <v>8.3615050060510399E-3</v>
      </c>
      <c r="N402" s="4">
        <f t="shared" si="49"/>
        <v>9.6878363832080261E-3</v>
      </c>
      <c r="O402" s="4">
        <f t="shared" si="50"/>
        <v>-4.8780323057555641E-3</v>
      </c>
      <c r="P402" s="4">
        <f t="shared" si="50"/>
        <v>-9.3529745799513231E-3</v>
      </c>
      <c r="Q402" s="4">
        <f t="shared" si="50"/>
        <v>-2.4703020910352702E-3</v>
      </c>
      <c r="R402" s="4">
        <f t="shared" si="43"/>
        <v>-3.2968080070480132E-3</v>
      </c>
      <c r="S402" s="4">
        <f t="shared" si="44"/>
        <v>2.6254127154854867E-2</v>
      </c>
      <c r="T402" s="4">
        <f t="shared" si="45"/>
        <v>6.5089781640976785E-3</v>
      </c>
      <c r="U402" s="4">
        <f t="shared" si="46"/>
        <v>-3.9635818828911429E-3</v>
      </c>
      <c r="V402" s="4">
        <f t="shared" si="47"/>
        <v>2.251526763173084E-3</v>
      </c>
      <c r="W402" s="4">
        <f t="shared" si="48"/>
        <v>2.1360150077522011E-2</v>
      </c>
    </row>
    <row r="403" spans="1:23" x14ac:dyDescent="0.25">
      <c r="A403" s="1">
        <v>45176</v>
      </c>
      <c r="B403">
        <v>4358.0600590000004</v>
      </c>
      <c r="C403">
        <v>9.2899999999999991</v>
      </c>
      <c r="D403">
        <v>5.9218549999999999</v>
      </c>
      <c r="E403">
        <v>8.9811000000000002E-2</v>
      </c>
      <c r="F403">
        <v>11.660921999999999</v>
      </c>
      <c r="G403">
        <v>17.662538999999999</v>
      </c>
      <c r="H403">
        <v>10.484522999999999</v>
      </c>
      <c r="I403">
        <v>33.541823999999998</v>
      </c>
      <c r="J403">
        <v>3.715074</v>
      </c>
      <c r="K403">
        <v>30.364729000000001</v>
      </c>
      <c r="L403">
        <v>22.265293</v>
      </c>
      <c r="M403" s="4">
        <f t="shared" si="49"/>
        <v>6.2805532528034114E-3</v>
      </c>
      <c r="N403" s="4">
        <f t="shared" si="49"/>
        <v>-4.2872454448018571E-3</v>
      </c>
      <c r="O403" s="4">
        <f t="shared" si="50"/>
        <v>1.6286589856340239E-3</v>
      </c>
      <c r="P403" s="4">
        <f t="shared" si="50"/>
        <v>-1.2914074692809807E-2</v>
      </c>
      <c r="Q403" s="4">
        <f t="shared" si="50"/>
        <v>-1.0590511125352475E-2</v>
      </c>
      <c r="R403" s="4">
        <f t="shared" si="43"/>
        <v>4.4149805327320379E-3</v>
      </c>
      <c r="S403" s="4">
        <f t="shared" si="44"/>
        <v>2.253113570975751E-2</v>
      </c>
      <c r="T403" s="4">
        <f t="shared" si="45"/>
        <v>5.9523407858830257E-3</v>
      </c>
      <c r="U403" s="4">
        <f t="shared" si="46"/>
        <v>6.7836626249782039E-3</v>
      </c>
      <c r="V403" s="4">
        <f t="shared" si="47"/>
        <v>1.0071498997404005E-2</v>
      </c>
      <c r="W403" s="4">
        <f t="shared" si="48"/>
        <v>2.6223644752942921E-3</v>
      </c>
    </row>
    <row r="404" spans="1:23" x14ac:dyDescent="0.25">
      <c r="A404" s="1">
        <v>45177</v>
      </c>
      <c r="B404">
        <v>4330.8598629999997</v>
      </c>
      <c r="C404">
        <v>9.33</v>
      </c>
      <c r="D404">
        <v>5.9122260000000004</v>
      </c>
      <c r="E404">
        <v>9.0985999999999997E-2</v>
      </c>
      <c r="F404">
        <v>11.785739</v>
      </c>
      <c r="G404">
        <v>17.584902</v>
      </c>
      <c r="H404">
        <v>10.253500000000001</v>
      </c>
      <c r="I404">
        <v>33.343353</v>
      </c>
      <c r="J404">
        <v>3.690042</v>
      </c>
      <c r="K404">
        <v>30.061959999999999</v>
      </c>
      <c r="L404">
        <v>22.207058</v>
      </c>
      <c r="M404" s="4">
        <f t="shared" si="49"/>
        <v>-1.0552756778603789E-2</v>
      </c>
      <c r="N404" s="4">
        <f t="shared" si="49"/>
        <v>-1.0706638115631772E-3</v>
      </c>
      <c r="O404" s="4">
        <f t="shared" si="50"/>
        <v>-1.62601076858504E-3</v>
      </c>
      <c r="P404" s="4">
        <f t="shared" si="50"/>
        <v>-7.3207720086846395E-3</v>
      </c>
      <c r="Q404" s="4">
        <f t="shared" si="50"/>
        <v>-7.6799158841498461E-3</v>
      </c>
      <c r="R404" s="4">
        <f t="shared" si="43"/>
        <v>-5.016701497405851E-3</v>
      </c>
      <c r="S404" s="4">
        <f t="shared" si="44"/>
        <v>-5.7197658954170061E-3</v>
      </c>
      <c r="T404" s="4">
        <f t="shared" si="45"/>
        <v>-6.3545159237203719E-2</v>
      </c>
      <c r="U404" s="4">
        <f t="shared" si="46"/>
        <v>-1.3282994357163291E-3</v>
      </c>
      <c r="V404" s="4">
        <f t="shared" si="47"/>
        <v>-1.2512029913613332E-2</v>
      </c>
      <c r="W404" s="4">
        <f t="shared" si="48"/>
        <v>-3.0501459034791845E-3</v>
      </c>
    </row>
    <row r="405" spans="1:23" x14ac:dyDescent="0.25">
      <c r="A405" s="1">
        <v>45180</v>
      </c>
      <c r="B405">
        <v>4377.0498049999997</v>
      </c>
      <c r="C405">
        <v>9.34</v>
      </c>
      <c r="D405">
        <v>5.9218549999999999</v>
      </c>
      <c r="E405">
        <v>9.1657000000000002E-2</v>
      </c>
      <c r="F405">
        <v>11.876953</v>
      </c>
      <c r="G405">
        <v>17.673565</v>
      </c>
      <c r="H405">
        <v>10.312485000000001</v>
      </c>
      <c r="I405">
        <v>35.605938000000002</v>
      </c>
      <c r="J405">
        <v>3.69495</v>
      </c>
      <c r="K405">
        <v>30.442862000000002</v>
      </c>
      <c r="L405">
        <v>22.274999999999999</v>
      </c>
      <c r="M405" s="4">
        <f t="shared" si="49"/>
        <v>1.1181293034956852E-2</v>
      </c>
      <c r="N405" s="4">
        <f t="shared" si="49"/>
        <v>-4.2643923240939241E-3</v>
      </c>
      <c r="O405" s="4">
        <f t="shared" si="50"/>
        <v>1.1513291340212728E-2</v>
      </c>
      <c r="P405" s="4">
        <f t="shared" si="50"/>
        <v>-1.8295671113531808E-3</v>
      </c>
      <c r="Q405" s="4">
        <f t="shared" si="50"/>
        <v>1.2140727572003129E-3</v>
      </c>
      <c r="R405" s="4">
        <f t="shared" ref="R405:R468" si="51">G405/G406-1</f>
        <v>-1.1134744710219469E-3</v>
      </c>
      <c r="S405" s="4">
        <f t="shared" ref="S405:S468" si="52">H405/H406-1</f>
        <v>1.2059845332495822E-2</v>
      </c>
      <c r="T405" s="4">
        <f t="shared" ref="T405:T468" si="53">I405/I406-1</f>
        <v>2.5142789228191242E-2</v>
      </c>
      <c r="U405" s="4">
        <f t="shared" ref="U405:U468" si="54">J405/J406-1</f>
        <v>3.7332863922077131E-3</v>
      </c>
      <c r="V405" s="4">
        <f t="shared" ref="V405:V468" si="55">K405/K406-1</f>
        <v>1.3328983041217102E-2</v>
      </c>
      <c r="W405" s="4">
        <f t="shared" ref="W405:W468" si="56">L405/L406-1</f>
        <v>4.3764208939152116E-3</v>
      </c>
    </row>
    <row r="406" spans="1:23" x14ac:dyDescent="0.25">
      <c r="A406" s="1">
        <v>45181</v>
      </c>
      <c r="B406">
        <v>4328.6499020000001</v>
      </c>
      <c r="C406">
        <v>9.3800000000000008</v>
      </c>
      <c r="D406">
        <v>5.8544510000000001</v>
      </c>
      <c r="E406">
        <v>9.1825000000000004E-2</v>
      </c>
      <c r="F406">
        <v>11.862551</v>
      </c>
      <c r="G406">
        <v>17.693266000000001</v>
      </c>
      <c r="H406">
        <v>10.1896</v>
      </c>
      <c r="I406">
        <v>34.732661999999998</v>
      </c>
      <c r="J406">
        <v>3.6812070000000001</v>
      </c>
      <c r="K406">
        <v>30.042427</v>
      </c>
      <c r="L406">
        <v>22.17794</v>
      </c>
      <c r="M406" s="4">
        <f t="shared" si="49"/>
        <v>3.5052770593075877E-3</v>
      </c>
      <c r="N406" s="4">
        <f t="shared" si="49"/>
        <v>4.282655246252709E-3</v>
      </c>
      <c r="O406" s="4">
        <f t="shared" si="50"/>
        <v>1.6474411025690916E-3</v>
      </c>
      <c r="P406" s="4">
        <f t="shared" si="50"/>
        <v>2.4340997066140124E-2</v>
      </c>
      <c r="Q406" s="4">
        <f t="shared" si="50"/>
        <v>-5.6338094283698847E-3</v>
      </c>
      <c r="R406" s="4">
        <f t="shared" si="51"/>
        <v>1.9296226661618787E-2</v>
      </c>
      <c r="S406" s="4">
        <f t="shared" si="52"/>
        <v>9.2502056217542705E-3</v>
      </c>
      <c r="T406" s="4">
        <f t="shared" si="53"/>
        <v>1.1268505188344324E-2</v>
      </c>
      <c r="U406" s="4">
        <f t="shared" si="54"/>
        <v>9.8291643989536492E-3</v>
      </c>
      <c r="V406" s="4">
        <f t="shared" si="55"/>
        <v>-1.2986722434288334E-3</v>
      </c>
      <c r="W406" s="4">
        <f t="shared" si="56"/>
        <v>1.7536382211464918E-3</v>
      </c>
    </row>
    <row r="407" spans="1:23" x14ac:dyDescent="0.25">
      <c r="A407" s="1">
        <v>45182</v>
      </c>
      <c r="B407">
        <v>4313.5297849999997</v>
      </c>
      <c r="C407">
        <v>9.34</v>
      </c>
      <c r="D407">
        <v>5.8448219999999997</v>
      </c>
      <c r="E407">
        <v>8.9643E-2</v>
      </c>
      <c r="F407">
        <v>11.929760999999999</v>
      </c>
      <c r="G407">
        <v>17.358315999999999</v>
      </c>
      <c r="H407">
        <v>10.096208000000001</v>
      </c>
      <c r="I407">
        <v>34.345638000000001</v>
      </c>
      <c r="J407">
        <v>3.6453760000000002</v>
      </c>
      <c r="K407">
        <v>30.081492999999998</v>
      </c>
      <c r="L407">
        <v>22.139116000000001</v>
      </c>
      <c r="M407" s="4">
        <f t="shared" si="49"/>
        <v>-1.9772630910949163E-2</v>
      </c>
      <c r="N407" s="4">
        <f t="shared" si="49"/>
        <v>-8.4925690021231404E-3</v>
      </c>
      <c r="O407" s="4">
        <f t="shared" si="50"/>
        <v>9.9833282875827489E-3</v>
      </c>
      <c r="P407" s="4">
        <f t="shared" si="50"/>
        <v>2.8190757458805837E-3</v>
      </c>
      <c r="Q407" s="4">
        <f t="shared" si="50"/>
        <v>-2.967591909140721E-2</v>
      </c>
      <c r="R407" s="4">
        <f t="shared" si="51"/>
        <v>-2.4363160965344743E-2</v>
      </c>
      <c r="S407" s="4">
        <f t="shared" si="52"/>
        <v>-2.2835428106084854E-2</v>
      </c>
      <c r="T407" s="4">
        <f t="shared" si="53"/>
        <v>-3.9678183389512012E-2</v>
      </c>
      <c r="U407" s="4">
        <f t="shared" si="54"/>
        <v>-8.6759778967062662E-3</v>
      </c>
      <c r="V407" s="4">
        <f t="shared" si="55"/>
        <v>-2.2532560674140889E-2</v>
      </c>
      <c r="W407" s="4">
        <f t="shared" si="56"/>
        <v>-1.0841281806084679E-2</v>
      </c>
    </row>
    <row r="408" spans="1:23" x14ac:dyDescent="0.25">
      <c r="A408" s="1">
        <v>45183</v>
      </c>
      <c r="B408">
        <v>4400.5400390000004</v>
      </c>
      <c r="C408">
        <v>9.42</v>
      </c>
      <c r="D408">
        <v>5.7870480000000004</v>
      </c>
      <c r="E408">
        <v>8.9390999999999998E-2</v>
      </c>
      <c r="F408">
        <v>12.294615</v>
      </c>
      <c r="G408">
        <v>17.791779999999999</v>
      </c>
      <c r="H408">
        <v>10.332147000000001</v>
      </c>
      <c r="I408">
        <v>35.764716999999997</v>
      </c>
      <c r="J408">
        <v>3.6772800000000001</v>
      </c>
      <c r="K408">
        <v>30.774930999999999</v>
      </c>
      <c r="L408">
        <v>22.381762999999999</v>
      </c>
      <c r="M408" s="4">
        <f t="shared" si="49"/>
        <v>-1.3434643801133461E-3</v>
      </c>
      <c r="N408" s="4">
        <f t="shared" si="49"/>
        <v>0</v>
      </c>
      <c r="O408" s="4">
        <f t="shared" si="50"/>
        <v>5.0167058545254051E-3</v>
      </c>
      <c r="P408" s="4">
        <f t="shared" si="50"/>
        <v>-1.2973963739151495E-2</v>
      </c>
      <c r="Q408" s="4">
        <f t="shared" si="50"/>
        <v>5.4966691624265263E-3</v>
      </c>
      <c r="R408" s="4">
        <f t="shared" si="51"/>
        <v>-8.7816833604410505E-3</v>
      </c>
      <c r="S408" s="4">
        <f t="shared" si="52"/>
        <v>-8.0225943354018669E-3</v>
      </c>
      <c r="T408" s="4">
        <f t="shared" si="53"/>
        <v>-6.6152200473719169E-3</v>
      </c>
      <c r="U408" s="4">
        <f t="shared" si="54"/>
        <v>1.8626678895534932E-2</v>
      </c>
      <c r="V408" s="4">
        <f t="shared" si="55"/>
        <v>-1.8991224900662851E-2</v>
      </c>
      <c r="W408" s="4">
        <f t="shared" si="56"/>
        <v>-5.6058884109342344E-3</v>
      </c>
    </row>
    <row r="409" spans="1:23" x14ac:dyDescent="0.25">
      <c r="A409" s="1">
        <v>45184</v>
      </c>
      <c r="B409">
        <v>4406.4599609999996</v>
      </c>
      <c r="C409">
        <v>9.42</v>
      </c>
      <c r="D409">
        <v>5.7581610000000003</v>
      </c>
      <c r="E409">
        <v>9.0565999999999994E-2</v>
      </c>
      <c r="F409">
        <v>12.227404999999999</v>
      </c>
      <c r="G409">
        <v>17.949406</v>
      </c>
      <c r="H409">
        <v>10.415708</v>
      </c>
      <c r="I409">
        <v>36.002884000000002</v>
      </c>
      <c r="J409">
        <v>3.6100370000000002</v>
      </c>
      <c r="K409">
        <v>31.370698999999998</v>
      </c>
      <c r="L409">
        <v>22.507940000000001</v>
      </c>
      <c r="M409" s="4">
        <f t="shared" si="49"/>
        <v>5.2813745065711792E-3</v>
      </c>
      <c r="N409" s="4">
        <f t="shared" si="49"/>
        <v>4.2643923240937021E-3</v>
      </c>
      <c r="O409" s="4">
        <f t="shared" si="50"/>
        <v>-4.9916641437914855E-3</v>
      </c>
      <c r="P409" s="4">
        <f t="shared" si="50"/>
        <v>1.3144500005593418E-2</v>
      </c>
      <c r="Q409" s="4">
        <f t="shared" si="50"/>
        <v>2.6188552103213913E-2</v>
      </c>
      <c r="R409" s="4">
        <f t="shared" si="51"/>
        <v>9.9778422096816755E-3</v>
      </c>
      <c r="S409" s="4">
        <f t="shared" si="52"/>
        <v>1.0009517589601336E-2</v>
      </c>
      <c r="T409" s="4">
        <f t="shared" si="53"/>
        <v>8.3380354997859563E-3</v>
      </c>
      <c r="U409" s="4">
        <f t="shared" si="54"/>
        <v>-5.4346622369871866E-4</v>
      </c>
      <c r="V409" s="4">
        <f t="shared" si="55"/>
        <v>3.1134275811606216E-4</v>
      </c>
      <c r="W409" s="4">
        <f t="shared" si="56"/>
        <v>1.443564520383811E-2</v>
      </c>
    </row>
    <row r="410" spans="1:23" x14ac:dyDescent="0.25">
      <c r="A410" s="1">
        <v>45187</v>
      </c>
      <c r="B410">
        <v>4383.3100590000004</v>
      </c>
      <c r="C410">
        <v>9.3800000000000008</v>
      </c>
      <c r="D410">
        <v>5.7870480000000004</v>
      </c>
      <c r="E410">
        <v>8.9390999999999998E-2</v>
      </c>
      <c r="F410">
        <v>11.915359</v>
      </c>
      <c r="G410">
        <v>17.772079000000002</v>
      </c>
      <c r="H410">
        <v>10.312485000000001</v>
      </c>
      <c r="I410">
        <v>35.705173000000002</v>
      </c>
      <c r="J410">
        <v>3.6120000000000001</v>
      </c>
      <c r="K410">
        <v>31.360935000000001</v>
      </c>
      <c r="L410">
        <v>22.187646999999998</v>
      </c>
      <c r="M410" s="4">
        <f t="shared" si="49"/>
        <v>3.1903779324538029E-3</v>
      </c>
      <c r="N410" s="4">
        <f t="shared" si="49"/>
        <v>-1.0649627263045192E-3</v>
      </c>
      <c r="O410" s="4">
        <f t="shared" si="50"/>
        <v>-8.250798216956956E-3</v>
      </c>
      <c r="P410" s="4">
        <f t="shared" si="50"/>
        <v>1.8829225648095971E-3</v>
      </c>
      <c r="Q410" s="4">
        <f t="shared" si="50"/>
        <v>7.3052155280783904E-3</v>
      </c>
      <c r="R410" s="4">
        <f t="shared" si="51"/>
        <v>4.4544065521876508E-3</v>
      </c>
      <c r="S410" s="4">
        <f t="shared" si="52"/>
        <v>9.6246618792685812E-3</v>
      </c>
      <c r="T410" s="4">
        <f t="shared" si="53"/>
        <v>7.5608603458559021E-3</v>
      </c>
      <c r="U410" s="4">
        <f t="shared" si="54"/>
        <v>-9.6892529898500168E-3</v>
      </c>
      <c r="V410" s="4">
        <f t="shared" si="55"/>
        <v>-5.2663170950226768E-3</v>
      </c>
      <c r="W410" s="4">
        <f t="shared" si="56"/>
        <v>1.7356549435566304E-2</v>
      </c>
    </row>
    <row r="411" spans="1:23" x14ac:dyDescent="0.25">
      <c r="A411" s="1">
        <v>45188</v>
      </c>
      <c r="B411">
        <v>4369.3701170000004</v>
      </c>
      <c r="C411">
        <v>9.39</v>
      </c>
      <c r="D411">
        <v>5.8351930000000003</v>
      </c>
      <c r="E411">
        <v>8.9222999999999997E-2</v>
      </c>
      <c r="F411">
        <v>11.828946</v>
      </c>
      <c r="G411">
        <v>17.693266000000001</v>
      </c>
      <c r="H411">
        <v>10.214176999999999</v>
      </c>
      <c r="I411">
        <v>35.437237000000003</v>
      </c>
      <c r="J411">
        <v>3.6473399999999998</v>
      </c>
      <c r="K411">
        <v>31.526966000000002</v>
      </c>
      <c r="L411">
        <v>21.809116</v>
      </c>
      <c r="M411" s="4">
        <f t="shared" si="49"/>
        <v>-4.034516821038836E-3</v>
      </c>
      <c r="N411" s="4">
        <f t="shared" si="49"/>
        <v>-2.1253985122210439E-3</v>
      </c>
      <c r="O411" s="4">
        <f t="shared" si="50"/>
        <v>-6.5573558376826879E-3</v>
      </c>
      <c r="P411" s="4">
        <f t="shared" si="50"/>
        <v>-9.4057576673722831E-4</v>
      </c>
      <c r="Q411" s="4">
        <f t="shared" si="50"/>
        <v>4.0749722921067377E-3</v>
      </c>
      <c r="R411" s="4">
        <f t="shared" si="51"/>
        <v>-1.1123488106369317E-3</v>
      </c>
      <c r="S411" s="4">
        <f t="shared" si="52"/>
        <v>1.9286841992971482E-3</v>
      </c>
      <c r="T411" s="4">
        <f t="shared" si="53"/>
        <v>1.1614722071583206E-2</v>
      </c>
      <c r="U411" s="4">
        <f t="shared" si="54"/>
        <v>-1.6122718799529423E-3</v>
      </c>
      <c r="V411" s="4">
        <f t="shared" si="55"/>
        <v>-1.2376594411573905E-3</v>
      </c>
      <c r="W411" s="4">
        <f t="shared" si="56"/>
        <v>1.0341666835758545E-2</v>
      </c>
    </row>
    <row r="412" spans="1:23" x14ac:dyDescent="0.25">
      <c r="A412" s="1">
        <v>45189</v>
      </c>
      <c r="B412">
        <v>4387.0698240000002</v>
      </c>
      <c r="C412">
        <v>9.41</v>
      </c>
      <c r="D412">
        <v>5.8737089999999998</v>
      </c>
      <c r="E412">
        <v>8.9306999999999997E-2</v>
      </c>
      <c r="F412">
        <v>11.780939</v>
      </c>
      <c r="G412">
        <v>17.712969000000001</v>
      </c>
      <c r="H412">
        <v>10.194515000000001</v>
      </c>
      <c r="I412">
        <v>35.030369</v>
      </c>
      <c r="J412">
        <v>3.6532300000000002</v>
      </c>
      <c r="K412">
        <v>31.566033999999998</v>
      </c>
      <c r="L412">
        <v>21.585882000000002</v>
      </c>
      <c r="M412" s="4">
        <f t="shared" si="49"/>
        <v>1.0645347340944689E-2</v>
      </c>
      <c r="N412" s="4">
        <f t="shared" si="49"/>
        <v>5.3418803418803229E-3</v>
      </c>
      <c r="O412" s="4">
        <f t="shared" si="50"/>
        <v>1.6420308044908793E-3</v>
      </c>
      <c r="P412" s="4">
        <f t="shared" si="50"/>
        <v>4.7251004083836978E-3</v>
      </c>
      <c r="Q412" s="4">
        <f t="shared" si="50"/>
        <v>2.5062610410586661E-2</v>
      </c>
      <c r="R412" s="4">
        <f t="shared" si="51"/>
        <v>-1.1112255263926452E-3</v>
      </c>
      <c r="S412" s="4">
        <f t="shared" si="52"/>
        <v>2.369204191442642E-2</v>
      </c>
      <c r="T412" s="4">
        <f t="shared" si="53"/>
        <v>-7.3115846651291561E-3</v>
      </c>
      <c r="U412" s="4">
        <f t="shared" si="54"/>
        <v>2.4783155454557892E-2</v>
      </c>
      <c r="V412" s="4">
        <f t="shared" si="55"/>
        <v>8.1097400650311791E-3</v>
      </c>
      <c r="W412" s="4">
        <f t="shared" si="56"/>
        <v>4.5167201572651194E-3</v>
      </c>
    </row>
    <row r="413" spans="1:23" x14ac:dyDescent="0.25">
      <c r="A413" s="1">
        <v>45190</v>
      </c>
      <c r="B413">
        <v>4340.8598629999997</v>
      </c>
      <c r="C413">
        <v>9.36</v>
      </c>
      <c r="D413">
        <v>5.8640800000000004</v>
      </c>
      <c r="E413">
        <v>8.8886999999999994E-2</v>
      </c>
      <c r="F413">
        <v>11.492896999999999</v>
      </c>
      <c r="G413">
        <v>17.732673999999999</v>
      </c>
      <c r="H413">
        <v>9.9585760000000008</v>
      </c>
      <c r="I413">
        <v>35.288383000000003</v>
      </c>
      <c r="J413">
        <v>3.5648810000000002</v>
      </c>
      <c r="K413">
        <v>31.312100999999998</v>
      </c>
      <c r="L413">
        <v>21.488823</v>
      </c>
      <c r="M413" s="4">
        <f t="shared" si="49"/>
        <v>3.3792919970332402E-3</v>
      </c>
      <c r="N413" s="4">
        <f t="shared" si="49"/>
        <v>1.628664495113985E-2</v>
      </c>
      <c r="O413" s="4">
        <f t="shared" si="50"/>
        <v>1.1627868863488544E-2</v>
      </c>
      <c r="P413" s="4">
        <f t="shared" si="50"/>
        <v>1.4367553749942807E-2</v>
      </c>
      <c r="Q413" s="4">
        <f t="shared" si="50"/>
        <v>8.0000470106034172E-3</v>
      </c>
      <c r="R413" s="4">
        <f t="shared" si="51"/>
        <v>-1.1098795389484772E-3</v>
      </c>
      <c r="S413" s="4">
        <f t="shared" si="52"/>
        <v>1.2999991048519455E-2</v>
      </c>
      <c r="T413" s="4">
        <f t="shared" si="53"/>
        <v>3.9525794029451333E-3</v>
      </c>
      <c r="U413" s="4">
        <f t="shared" si="54"/>
        <v>-5.8854105955795655E-3</v>
      </c>
      <c r="V413" s="4">
        <f t="shared" si="55"/>
        <v>8.1761430528815016E-3</v>
      </c>
      <c r="W413" s="4">
        <f t="shared" si="56"/>
        <v>6.821271470796253E-3</v>
      </c>
    </row>
    <row r="414" spans="1:23" x14ac:dyDescent="0.25">
      <c r="A414" s="1">
        <v>45191</v>
      </c>
      <c r="B414">
        <v>4326.2402339999999</v>
      </c>
      <c r="C414">
        <v>9.2100000000000009</v>
      </c>
      <c r="D414">
        <v>5.7966769999999999</v>
      </c>
      <c r="E414">
        <v>8.7627999999999998E-2</v>
      </c>
      <c r="F414">
        <v>11.401683</v>
      </c>
      <c r="G414">
        <v>17.752376999999999</v>
      </c>
      <c r="H414">
        <v>9.8307760000000002</v>
      </c>
      <c r="I414">
        <v>35.149451999999997</v>
      </c>
      <c r="J414">
        <v>3.5859860000000001</v>
      </c>
      <c r="K414">
        <v>31.058164999999999</v>
      </c>
      <c r="L414">
        <v>21.343235</v>
      </c>
      <c r="M414" s="4">
        <f t="shared" si="49"/>
        <v>1.187945986586314E-2</v>
      </c>
      <c r="N414" s="4">
        <f t="shared" si="49"/>
        <v>1.0976948408342624E-2</v>
      </c>
      <c r="O414" s="4">
        <f t="shared" si="50"/>
        <v>-4.9586615132887202E-3</v>
      </c>
      <c r="P414" s="4">
        <f t="shared" si="50"/>
        <v>1.162535643781526E-2</v>
      </c>
      <c r="Q414" s="4">
        <f t="shared" si="50"/>
        <v>2.8138522478238004E-2</v>
      </c>
      <c r="R414" s="4">
        <f t="shared" si="51"/>
        <v>1.4639719386517092E-2</v>
      </c>
      <c r="S414" s="4">
        <f t="shared" si="52"/>
        <v>2.019992056974762E-2</v>
      </c>
      <c r="T414" s="4">
        <f t="shared" si="53"/>
        <v>3.2954191602442062E-2</v>
      </c>
      <c r="U414" s="4">
        <f t="shared" si="54"/>
        <v>1.7973866413828032E-2</v>
      </c>
      <c r="V414" s="4">
        <f t="shared" si="55"/>
        <v>2.5220438765201081E-3</v>
      </c>
      <c r="W414" s="4">
        <f t="shared" si="56"/>
        <v>5.027483617921602E-3</v>
      </c>
    </row>
    <row r="415" spans="1:23" x14ac:dyDescent="0.25">
      <c r="A415" s="1">
        <v>45194</v>
      </c>
      <c r="B415">
        <v>4275.4501950000003</v>
      </c>
      <c r="C415">
        <v>9.11</v>
      </c>
      <c r="D415">
        <v>5.825564</v>
      </c>
      <c r="E415">
        <v>8.6621000000000004E-2</v>
      </c>
      <c r="F415">
        <v>11.089637</v>
      </c>
      <c r="G415">
        <v>17.496237000000001</v>
      </c>
      <c r="H415">
        <v>9.6361270000000001</v>
      </c>
      <c r="I415">
        <v>34.028084</v>
      </c>
      <c r="J415">
        <v>3.5226700000000002</v>
      </c>
      <c r="K415">
        <v>30.980032000000001</v>
      </c>
      <c r="L415">
        <v>21.236469</v>
      </c>
      <c r="M415" s="4">
        <f t="shared" si="49"/>
        <v>1.0035501749922071E-2</v>
      </c>
      <c r="N415" s="4">
        <f t="shared" si="49"/>
        <v>7.7433628318583914E-3</v>
      </c>
      <c r="O415" s="4">
        <f t="shared" si="50"/>
        <v>3.3167387319923414E-3</v>
      </c>
      <c r="P415" s="4">
        <f t="shared" si="50"/>
        <v>6.8228839761024229E-3</v>
      </c>
      <c r="Q415" s="4">
        <f t="shared" si="50"/>
        <v>2.2123853022442574E-2</v>
      </c>
      <c r="R415" s="4">
        <f t="shared" si="51"/>
        <v>1.4857107259070856E-2</v>
      </c>
      <c r="S415" s="4">
        <f t="shared" si="52"/>
        <v>2.1467278761594377E-2</v>
      </c>
      <c r="T415" s="4">
        <f t="shared" si="53"/>
        <v>4.5745602511995775E-2</v>
      </c>
      <c r="U415" s="4">
        <f t="shared" si="54"/>
        <v>1.2842423412969151E-2</v>
      </c>
      <c r="V415" s="4">
        <f t="shared" si="55"/>
        <v>-8.7499960004479016E-3</v>
      </c>
      <c r="W415" s="4">
        <f t="shared" si="56"/>
        <v>1.0623495144845618E-2</v>
      </c>
    </row>
    <row r="416" spans="1:23" x14ac:dyDescent="0.25">
      <c r="A416" s="1">
        <v>45195</v>
      </c>
      <c r="B416">
        <v>4232.9702150000003</v>
      </c>
      <c r="C416">
        <v>9.0399999999999991</v>
      </c>
      <c r="D416">
        <v>5.8063060000000002</v>
      </c>
      <c r="E416">
        <v>8.6033999999999999E-2</v>
      </c>
      <c r="F416">
        <v>10.849602000000001</v>
      </c>
      <c r="G416">
        <v>17.240099000000001</v>
      </c>
      <c r="H416">
        <v>9.4336129999999994</v>
      </c>
      <c r="I416">
        <v>32.539543000000002</v>
      </c>
      <c r="J416">
        <v>3.4780039999999999</v>
      </c>
      <c r="K416">
        <v>31.253499999999999</v>
      </c>
      <c r="L416">
        <v>21.013235000000002</v>
      </c>
      <c r="M416" s="4">
        <f t="shared" si="49"/>
        <v>4.1561444660835889E-3</v>
      </c>
      <c r="N416" s="4">
        <f t="shared" si="49"/>
        <v>7.8037904124859114E-3</v>
      </c>
      <c r="O416" s="4">
        <f t="shared" si="50"/>
        <v>1.0050218038274883E-2</v>
      </c>
      <c r="P416" s="4">
        <f t="shared" si="50"/>
        <v>-3.8787064803343929E-3</v>
      </c>
      <c r="Q416" s="4">
        <f t="shared" si="50"/>
        <v>4.8910815562472898E-3</v>
      </c>
      <c r="R416" s="4">
        <f t="shared" si="51"/>
        <v>1.2731441435763102E-2</v>
      </c>
      <c r="S416" s="4">
        <f t="shared" si="52"/>
        <v>-9.7006914323732873E-3</v>
      </c>
      <c r="T416" s="4">
        <f t="shared" si="53"/>
        <v>1.8332204433499921E-3</v>
      </c>
      <c r="U416" s="4">
        <f t="shared" si="54"/>
        <v>1.1418723962104638E-2</v>
      </c>
      <c r="V416" s="4">
        <f t="shared" si="55"/>
        <v>8.8272342649613478E-3</v>
      </c>
      <c r="W416" s="4">
        <f t="shared" si="56"/>
        <v>-1.4565259454895063E-2</v>
      </c>
    </row>
    <row r="417" spans="1:23" x14ac:dyDescent="0.25">
      <c r="A417" s="1">
        <v>45196</v>
      </c>
      <c r="B417">
        <v>4215.4501950000003</v>
      </c>
      <c r="C417">
        <v>8.9700000000000006</v>
      </c>
      <c r="D417">
        <v>5.748532</v>
      </c>
      <c r="E417">
        <v>8.6369000000000001E-2</v>
      </c>
      <c r="F417">
        <v>10.796794</v>
      </c>
      <c r="G417">
        <v>17.023367</v>
      </c>
      <c r="H417">
        <v>9.5260219999999993</v>
      </c>
      <c r="I417">
        <v>32.479999999999997</v>
      </c>
      <c r="J417">
        <v>3.4387379999999999</v>
      </c>
      <c r="K417">
        <v>30.980032000000001</v>
      </c>
      <c r="L417">
        <v>21.323822</v>
      </c>
      <c r="M417" s="4">
        <f t="shared" si="49"/>
        <v>-5.6540110300494772E-3</v>
      </c>
      <c r="N417" s="4">
        <f t="shared" si="49"/>
        <v>-3.3333333333332993E-3</v>
      </c>
      <c r="O417" s="4">
        <f t="shared" si="50"/>
        <v>5.0504882733106715E-3</v>
      </c>
      <c r="P417" s="4">
        <f t="shared" si="50"/>
        <v>-1.9413661208500521E-3</v>
      </c>
      <c r="Q417" s="4">
        <f t="shared" si="50"/>
        <v>-3.9857933579335869E-3</v>
      </c>
      <c r="R417" s="4">
        <f t="shared" si="51"/>
        <v>1.0526391396814327E-2</v>
      </c>
      <c r="S417" s="4">
        <f t="shared" si="52"/>
        <v>-4.9291721376633069E-3</v>
      </c>
      <c r="T417" s="4">
        <f t="shared" si="53"/>
        <v>1.8507712431072854E-3</v>
      </c>
      <c r="U417" s="4">
        <f t="shared" si="54"/>
        <v>1.4293077991629488E-3</v>
      </c>
      <c r="V417" s="4">
        <f t="shared" si="55"/>
        <v>-1.6738939030672473E-2</v>
      </c>
      <c r="W417" s="4">
        <f t="shared" si="56"/>
        <v>-5.882377896614277E-3</v>
      </c>
    </row>
    <row r="418" spans="1:23" x14ac:dyDescent="0.25">
      <c r="A418" s="1">
        <v>45197</v>
      </c>
      <c r="B418">
        <v>4239.419922</v>
      </c>
      <c r="C418">
        <v>9</v>
      </c>
      <c r="D418">
        <v>5.7196449999999999</v>
      </c>
      <c r="E418">
        <v>8.6537000000000003E-2</v>
      </c>
      <c r="F418">
        <v>10.84</v>
      </c>
      <c r="G418">
        <v>16.846039000000001</v>
      </c>
      <c r="H418">
        <v>9.5732099999999996</v>
      </c>
      <c r="I418">
        <v>32.419998</v>
      </c>
      <c r="J418">
        <v>3.4338299999999999</v>
      </c>
      <c r="K418">
        <v>31.507432999999999</v>
      </c>
      <c r="L418">
        <v>21.449998999999998</v>
      </c>
      <c r="M418" s="4">
        <f t="shared" si="49"/>
        <v>-7.049995751044591E-3</v>
      </c>
      <c r="N418" s="4">
        <f t="shared" si="49"/>
        <v>-1.098901098901095E-2</v>
      </c>
      <c r="O418" s="4">
        <f t="shared" si="50"/>
        <v>-5.0251090191374415E-3</v>
      </c>
      <c r="P418" s="4">
        <f t="shared" si="50"/>
        <v>-9.6974174853670103E-4</v>
      </c>
      <c r="Q418" s="4">
        <f t="shared" si="50"/>
        <v>-1.4097316962255468E-2</v>
      </c>
      <c r="R418" s="4">
        <f t="shared" si="51"/>
        <v>-1.1560653281439737E-2</v>
      </c>
      <c r="S418" s="4">
        <f t="shared" si="52"/>
        <v>-2.1699842267505653E-2</v>
      </c>
      <c r="T418" s="4">
        <f t="shared" si="53"/>
        <v>9.0257389036496605E-3</v>
      </c>
      <c r="U418" s="4">
        <f t="shared" si="54"/>
        <v>-1.9618871529453186E-2</v>
      </c>
      <c r="V418" s="4">
        <f t="shared" si="55"/>
        <v>-6.4676311936937569E-3</v>
      </c>
      <c r="W418" s="4">
        <f t="shared" si="56"/>
        <v>-9.6953370267776062E-3</v>
      </c>
    </row>
    <row r="419" spans="1:23" x14ac:dyDescent="0.25">
      <c r="A419" s="1">
        <v>45198</v>
      </c>
      <c r="B419">
        <v>4269.5200199999999</v>
      </c>
      <c r="C419">
        <v>9.1</v>
      </c>
      <c r="D419">
        <v>5.748532</v>
      </c>
      <c r="E419">
        <v>8.6621000000000004E-2</v>
      </c>
      <c r="F419">
        <v>10.994999999999999</v>
      </c>
      <c r="G419">
        <v>17.043068000000002</v>
      </c>
      <c r="H419">
        <v>9.7855550000000004</v>
      </c>
      <c r="I419">
        <v>32.130001</v>
      </c>
      <c r="J419">
        <v>3.5025460000000002</v>
      </c>
      <c r="K419">
        <v>31.712537999999999</v>
      </c>
      <c r="L419">
        <v>21.66</v>
      </c>
      <c r="M419" s="4">
        <f t="shared" si="49"/>
        <v>1.1331944156254936E-2</v>
      </c>
      <c r="N419" s="4">
        <f t="shared" si="49"/>
        <v>1.1111111111111072E-2</v>
      </c>
      <c r="O419" s="4">
        <f t="shared" si="50"/>
        <v>5.0504882733106715E-3</v>
      </c>
      <c r="P419" s="4">
        <f t="shared" si="50"/>
        <v>-1.0543269670108657E-2</v>
      </c>
      <c r="Q419" s="4">
        <f t="shared" si="50"/>
        <v>3.2394366197183055E-2</v>
      </c>
      <c r="R419" s="4">
        <f t="shared" si="51"/>
        <v>2.125138778899105E-2</v>
      </c>
      <c r="S419" s="4">
        <f t="shared" si="52"/>
        <v>1.6751709807154569E-2</v>
      </c>
      <c r="T419" s="4">
        <f t="shared" si="53"/>
        <v>3.578339780786588E-2</v>
      </c>
      <c r="U419" s="4">
        <f t="shared" si="54"/>
        <v>1.681400720193893E-2</v>
      </c>
      <c r="V419" s="4">
        <f t="shared" si="55"/>
        <v>1.3104646644217954E-2</v>
      </c>
      <c r="W419" s="4">
        <f t="shared" si="56"/>
        <v>5.104454993246188E-3</v>
      </c>
    </row>
    <row r="420" spans="1:23" x14ac:dyDescent="0.25">
      <c r="A420" s="1">
        <v>45201</v>
      </c>
      <c r="B420">
        <v>4221.6801759999998</v>
      </c>
      <c r="C420">
        <v>9</v>
      </c>
      <c r="D420">
        <v>5.7196449999999999</v>
      </c>
      <c r="E420">
        <v>8.7543999999999997E-2</v>
      </c>
      <c r="F420">
        <v>10.65</v>
      </c>
      <c r="G420">
        <v>16.688416</v>
      </c>
      <c r="H420">
        <v>9.6243309999999997</v>
      </c>
      <c r="I420">
        <v>31.02</v>
      </c>
      <c r="J420">
        <v>3.4446279999999998</v>
      </c>
      <c r="K420">
        <v>31.302332</v>
      </c>
      <c r="L420">
        <v>21.549999</v>
      </c>
      <c r="M420" s="4">
        <f t="shared" si="49"/>
        <v>1.4839115399553293E-2</v>
      </c>
      <c r="N420" s="4">
        <f t="shared" si="49"/>
        <v>2.1566401816117908E-2</v>
      </c>
      <c r="O420" s="4">
        <f t="shared" si="50"/>
        <v>-1.6806666952916549E-3</v>
      </c>
      <c r="P420" s="4">
        <f t="shared" si="50"/>
        <v>1.4591180390566061E-2</v>
      </c>
      <c r="Q420" s="4">
        <f t="shared" si="50"/>
        <v>2.7992277992278103E-2</v>
      </c>
      <c r="R420" s="4">
        <f t="shared" si="51"/>
        <v>5.9382512288650435E-3</v>
      </c>
      <c r="S420" s="4">
        <f t="shared" si="52"/>
        <v>1.6614806024862094E-2</v>
      </c>
      <c r="T420" s="4">
        <f t="shared" si="53"/>
        <v>-9.6615139987610288E-4</v>
      </c>
      <c r="U420" s="4">
        <f t="shared" si="54"/>
        <v>-7.355011352532026E-3</v>
      </c>
      <c r="V420" s="4">
        <f t="shared" si="55"/>
        <v>2.6585501396363842E-2</v>
      </c>
      <c r="W420" s="4">
        <f t="shared" si="56"/>
        <v>2.2781158044613115E-2</v>
      </c>
    </row>
    <row r="421" spans="1:23" x14ac:dyDescent="0.25">
      <c r="A421" s="1">
        <v>45202</v>
      </c>
      <c r="B421">
        <v>4159.9501950000003</v>
      </c>
      <c r="C421">
        <v>8.81</v>
      </c>
      <c r="D421">
        <v>5.7292740000000002</v>
      </c>
      <c r="E421">
        <v>8.6285000000000001E-2</v>
      </c>
      <c r="F421">
        <v>10.36</v>
      </c>
      <c r="G421">
        <v>16.589901000000001</v>
      </c>
      <c r="H421">
        <v>9.4670380000000005</v>
      </c>
      <c r="I421">
        <v>31.049999</v>
      </c>
      <c r="J421">
        <v>3.470151</v>
      </c>
      <c r="K421">
        <v>30.491695</v>
      </c>
      <c r="L421">
        <v>21.07</v>
      </c>
      <c r="M421" s="4">
        <f t="shared" si="49"/>
        <v>5.1175046928557677E-3</v>
      </c>
      <c r="N421" s="4">
        <f t="shared" si="49"/>
        <v>0</v>
      </c>
      <c r="O421" s="4">
        <f t="shared" si="50"/>
        <v>1.0186723089129934E-2</v>
      </c>
      <c r="P421" s="4">
        <f t="shared" si="50"/>
        <v>-9.7257117715843222E-4</v>
      </c>
      <c r="Q421" s="4">
        <f t="shared" si="50"/>
        <v>4.8496605237633439E-3</v>
      </c>
      <c r="R421" s="4">
        <f t="shared" si="51"/>
        <v>2.6829309807516522E-2</v>
      </c>
      <c r="S421" s="4">
        <f t="shared" si="52"/>
        <v>1.0069176711037242E-2</v>
      </c>
      <c r="T421" s="4">
        <f t="shared" si="53"/>
        <v>2.5429259397977022E-2</v>
      </c>
      <c r="U421" s="4">
        <f t="shared" si="54"/>
        <v>2.3006925779802456E-2</v>
      </c>
      <c r="V421" s="4">
        <f t="shared" si="55"/>
        <v>-1.5452532145027842E-2</v>
      </c>
      <c r="W421" s="4">
        <f t="shared" si="56"/>
        <v>1.7874346962591936E-2</v>
      </c>
    </row>
    <row r="422" spans="1:23" x14ac:dyDescent="0.25">
      <c r="A422" s="1">
        <v>45203</v>
      </c>
      <c r="B422">
        <v>4138.7700199999999</v>
      </c>
      <c r="C422">
        <v>8.81</v>
      </c>
      <c r="D422">
        <v>5.6715</v>
      </c>
      <c r="E422">
        <v>8.6369000000000001E-2</v>
      </c>
      <c r="F422">
        <v>10.31</v>
      </c>
      <c r="G422">
        <v>16.156434999999998</v>
      </c>
      <c r="H422">
        <v>9.3726629999999993</v>
      </c>
      <c r="I422">
        <v>30.280000999999999</v>
      </c>
      <c r="J422">
        <v>3.392109</v>
      </c>
      <c r="K422">
        <v>30.970264</v>
      </c>
      <c r="L422">
        <v>20.700001</v>
      </c>
      <c r="M422" s="4">
        <f t="shared" si="49"/>
        <v>9.1173397823451907E-4</v>
      </c>
      <c r="N422" s="4">
        <f t="shared" si="49"/>
        <v>-2.2650056625140857E-3</v>
      </c>
      <c r="O422" s="4">
        <f t="shared" si="50"/>
        <v>1.0291560364720453E-2</v>
      </c>
      <c r="P422" s="4">
        <f t="shared" si="50"/>
        <v>-1.6253587862772756E-2</v>
      </c>
      <c r="Q422" s="4">
        <f t="shared" si="50"/>
        <v>-1.4811275680840841E-2</v>
      </c>
      <c r="R422" s="4">
        <f t="shared" si="51"/>
        <v>-3.6452061059439878E-3</v>
      </c>
      <c r="S422" s="4">
        <f t="shared" si="52"/>
        <v>9.9578114904637083E-3</v>
      </c>
      <c r="T422" s="4">
        <f t="shared" si="53"/>
        <v>1.1356045044888186E-2</v>
      </c>
      <c r="U422" s="4">
        <f t="shared" si="54"/>
        <v>2.7046920184486956E-2</v>
      </c>
      <c r="V422" s="4">
        <f t="shared" si="55"/>
        <v>-4.3956665702252762E-3</v>
      </c>
      <c r="W422" s="4">
        <f t="shared" si="56"/>
        <v>-1.9422073926003147E-2</v>
      </c>
    </row>
    <row r="423" spans="1:23" x14ac:dyDescent="0.25">
      <c r="A423" s="1">
        <v>45204</v>
      </c>
      <c r="B423">
        <v>4135</v>
      </c>
      <c r="C423">
        <v>8.83</v>
      </c>
      <c r="D423">
        <v>5.6137259999999998</v>
      </c>
      <c r="E423">
        <v>8.7795999999999999E-2</v>
      </c>
      <c r="F423">
        <v>10.465</v>
      </c>
      <c r="G423">
        <v>16.215544000000001</v>
      </c>
      <c r="H423">
        <v>9.2802520000000008</v>
      </c>
      <c r="I423">
        <v>29.940000999999999</v>
      </c>
      <c r="J423">
        <v>3.3027790000000001</v>
      </c>
      <c r="K423">
        <v>31.106999999999999</v>
      </c>
      <c r="L423">
        <v>21.110001</v>
      </c>
      <c r="M423" s="4">
        <f t="shared" si="49"/>
        <v>-1.3034593860941524E-2</v>
      </c>
      <c r="N423" s="4">
        <f t="shared" si="49"/>
        <v>-7.8651685393258397E-3</v>
      </c>
      <c r="O423" s="4">
        <f t="shared" si="50"/>
        <v>2.1015689197403153E-2</v>
      </c>
      <c r="P423" s="4">
        <f t="shared" si="50"/>
        <v>0.33418433249753043</v>
      </c>
      <c r="Q423" s="4">
        <f t="shared" si="50"/>
        <v>-1.413094677343385E-2</v>
      </c>
      <c r="R423" s="4">
        <f t="shared" si="51"/>
        <v>-2.1403123849214167E-2</v>
      </c>
      <c r="S423" s="4">
        <f t="shared" si="52"/>
        <v>-1.7076351816950663E-2</v>
      </c>
      <c r="T423" s="4">
        <f t="shared" si="53"/>
        <v>-1.6671890630209907E-3</v>
      </c>
      <c r="U423" s="4">
        <f t="shared" si="54"/>
        <v>-4.7328826256559653E-3</v>
      </c>
      <c r="V423" s="4">
        <f t="shared" si="55"/>
        <v>-1.8187378908750995E-2</v>
      </c>
      <c r="W423" s="4">
        <f t="shared" si="56"/>
        <v>-1.0777835051546392E-2</v>
      </c>
    </row>
    <row r="424" spans="1:23" x14ac:dyDescent="0.25">
      <c r="A424" s="1">
        <v>45205</v>
      </c>
      <c r="B424">
        <v>4189.6098629999997</v>
      </c>
      <c r="C424">
        <v>8.9</v>
      </c>
      <c r="D424">
        <v>5.4981780000000002</v>
      </c>
      <c r="E424">
        <v>6.5805000000000002E-2</v>
      </c>
      <c r="F424">
        <v>10.615</v>
      </c>
      <c r="G424">
        <v>16.570198000000001</v>
      </c>
      <c r="H424">
        <v>9.441478</v>
      </c>
      <c r="I424">
        <v>29.99</v>
      </c>
      <c r="J424">
        <v>3.3184849999999999</v>
      </c>
      <c r="K424">
        <v>31.683235</v>
      </c>
      <c r="L424">
        <v>21.34</v>
      </c>
      <c r="M424" s="4">
        <f t="shared" si="49"/>
        <v>2.4740787148278542E-3</v>
      </c>
      <c r="N424" s="4">
        <f t="shared" si="49"/>
        <v>5.6497175141243527E-3</v>
      </c>
      <c r="O424" s="4">
        <f t="shared" si="50"/>
        <v>1.9642977023725638E-2</v>
      </c>
      <c r="P424" s="4">
        <f t="shared" si="50"/>
        <v>1.6073744672966406E-2</v>
      </c>
      <c r="Q424" s="4">
        <f t="shared" si="50"/>
        <v>-2.1658986175115191E-2</v>
      </c>
      <c r="R424" s="4">
        <f t="shared" si="51"/>
        <v>1.3252970348915705E-2</v>
      </c>
      <c r="S424" s="4">
        <f t="shared" si="52"/>
        <v>2.170214469755738E-2</v>
      </c>
      <c r="T424" s="4">
        <f t="shared" si="53"/>
        <v>-1.0230990436666421E-2</v>
      </c>
      <c r="U424" s="4">
        <f t="shared" si="54"/>
        <v>7.6005335433662058E-3</v>
      </c>
      <c r="V424" s="4">
        <f t="shared" si="55"/>
        <v>-7.3439647176888334E-3</v>
      </c>
      <c r="W424" s="4">
        <f t="shared" si="56"/>
        <v>-4.6838407494154133E-4</v>
      </c>
    </row>
    <row r="425" spans="1:23" x14ac:dyDescent="0.25">
      <c r="A425" s="1">
        <v>45208</v>
      </c>
      <c r="B425">
        <v>4179.2700199999999</v>
      </c>
      <c r="C425">
        <v>8.85</v>
      </c>
      <c r="D425">
        <v>5.392258</v>
      </c>
      <c r="E425">
        <v>6.4764000000000002E-2</v>
      </c>
      <c r="F425">
        <v>10.85</v>
      </c>
      <c r="G425">
        <v>16.353466000000001</v>
      </c>
      <c r="H425">
        <v>9.2409300000000005</v>
      </c>
      <c r="I425">
        <v>30.299999</v>
      </c>
      <c r="J425">
        <v>3.293453</v>
      </c>
      <c r="K425">
        <v>31.917636999999999</v>
      </c>
      <c r="L425">
        <v>21.35</v>
      </c>
      <c r="M425" s="4">
        <f t="shared" si="49"/>
        <v>-2.22718115255367E-2</v>
      </c>
      <c r="N425" s="4">
        <f t="shared" si="49"/>
        <v>-1.0067114093959662E-2</v>
      </c>
      <c r="O425" s="4">
        <f t="shared" si="50"/>
        <v>-3.4482820364203803E-2</v>
      </c>
      <c r="P425" s="4">
        <f t="shared" si="50"/>
        <v>2.3338126313461105E-2</v>
      </c>
      <c r="Q425" s="4">
        <f t="shared" si="50"/>
        <v>-4.4052863436123357E-2</v>
      </c>
      <c r="R425" s="4">
        <f t="shared" si="51"/>
        <v>-8.3631539520084841E-3</v>
      </c>
      <c r="S425" s="4">
        <f t="shared" si="52"/>
        <v>-3.4709360810010303E-2</v>
      </c>
      <c r="T425" s="4">
        <f t="shared" si="53"/>
        <v>-3.2258065546409087E-2</v>
      </c>
      <c r="U425" s="4">
        <f t="shared" si="54"/>
        <v>-2.4709392714133194E-2</v>
      </c>
      <c r="V425" s="4">
        <f t="shared" si="55"/>
        <v>-1.6847164445994767E-2</v>
      </c>
      <c r="W425" s="4">
        <f t="shared" si="56"/>
        <v>-1.9292604501607635E-2</v>
      </c>
    </row>
    <row r="426" spans="1:23" x14ac:dyDescent="0.25">
      <c r="A426" s="1">
        <v>45209</v>
      </c>
      <c r="B426">
        <v>4274.4702150000003</v>
      </c>
      <c r="C426">
        <v>8.94</v>
      </c>
      <c r="D426">
        <v>5.5848389999999997</v>
      </c>
      <c r="E426">
        <v>6.3286999999999996E-2</v>
      </c>
      <c r="F426">
        <v>11.35</v>
      </c>
      <c r="G426">
        <v>16.491385999999999</v>
      </c>
      <c r="H426">
        <v>9.5732099999999996</v>
      </c>
      <c r="I426">
        <v>31.309999000000001</v>
      </c>
      <c r="J426">
        <v>3.3768940000000001</v>
      </c>
      <c r="K426">
        <v>32.464573000000001</v>
      </c>
      <c r="L426">
        <v>21.77</v>
      </c>
      <c r="M426" s="4">
        <f t="shared" si="49"/>
        <v>-2.9506758977521086E-3</v>
      </c>
      <c r="N426" s="4">
        <f t="shared" si="49"/>
        <v>-4.0772532188841248E-2</v>
      </c>
      <c r="O426" s="4">
        <f t="shared" si="50"/>
        <v>-1.6949095857531238E-2</v>
      </c>
      <c r="P426" s="4">
        <f t="shared" si="50"/>
        <v>7.713386094800434E-2</v>
      </c>
      <c r="Q426" s="4">
        <f t="shared" si="50"/>
        <v>-2.19780219780219E-3</v>
      </c>
      <c r="R426" s="4">
        <f t="shared" si="51"/>
        <v>3.5970667000642109E-3</v>
      </c>
      <c r="S426" s="4">
        <f t="shared" si="52"/>
        <v>8.2223903058364911E-4</v>
      </c>
      <c r="T426" s="4">
        <f t="shared" si="53"/>
        <v>9.3487749838814249E-3</v>
      </c>
      <c r="U426" s="4">
        <f t="shared" si="54"/>
        <v>-2.1753673480966462E-3</v>
      </c>
      <c r="V426" s="4">
        <f t="shared" si="55"/>
        <v>-1.1596877962926855E-2</v>
      </c>
      <c r="W426" s="4">
        <f t="shared" si="56"/>
        <v>-1.1802132918650288E-2</v>
      </c>
    </row>
    <row r="427" spans="1:23" x14ac:dyDescent="0.25">
      <c r="A427" s="1">
        <v>45210</v>
      </c>
      <c r="B427">
        <v>4287.1201170000004</v>
      </c>
      <c r="C427">
        <v>9.32</v>
      </c>
      <c r="D427">
        <v>5.6811290000000003</v>
      </c>
      <c r="E427">
        <v>5.8755000000000002E-2</v>
      </c>
      <c r="F427">
        <v>11.375</v>
      </c>
      <c r="G427">
        <v>16.432278</v>
      </c>
      <c r="H427">
        <v>9.5653450000000007</v>
      </c>
      <c r="I427">
        <v>31.02</v>
      </c>
      <c r="J427">
        <v>3.3842560000000002</v>
      </c>
      <c r="K427">
        <v>32.845478</v>
      </c>
      <c r="L427">
        <v>22.030000999999999</v>
      </c>
      <c r="M427" s="4">
        <f t="shared" si="49"/>
        <v>1.0157204285277111E-3</v>
      </c>
      <c r="N427" s="4">
        <f t="shared" si="49"/>
        <v>1.3043478260869712E-2</v>
      </c>
      <c r="O427" s="4">
        <f t="shared" si="50"/>
        <v>1.6977871815218037E-3</v>
      </c>
      <c r="P427" s="4">
        <f t="shared" si="50"/>
        <v>-1.0725350215517238E-2</v>
      </c>
      <c r="Q427" s="4">
        <f t="shared" si="50"/>
        <v>-3.9404553415061105E-3</v>
      </c>
      <c r="R427" s="4">
        <f t="shared" si="51"/>
        <v>7.2465109539270323E-3</v>
      </c>
      <c r="S427" s="4">
        <f t="shared" si="52"/>
        <v>4.1279560345337529E-3</v>
      </c>
      <c r="T427" s="4">
        <f t="shared" si="53"/>
        <v>-1.3985982644182493E-2</v>
      </c>
      <c r="U427" s="4">
        <f t="shared" si="54"/>
        <v>6.2753649776654541E-3</v>
      </c>
      <c r="V427" s="4">
        <f t="shared" si="55"/>
        <v>9.9099798808075512E-3</v>
      </c>
      <c r="W427" s="4">
        <f t="shared" si="56"/>
        <v>-8.9968061178588021E-3</v>
      </c>
    </row>
    <row r="428" spans="1:23" x14ac:dyDescent="0.25">
      <c r="A428" s="1">
        <v>45211</v>
      </c>
      <c r="B428">
        <v>4282.7700199999999</v>
      </c>
      <c r="C428">
        <v>9.1999999999999993</v>
      </c>
      <c r="D428">
        <v>5.6715</v>
      </c>
      <c r="E428">
        <v>5.9392E-2</v>
      </c>
      <c r="F428">
        <v>11.42</v>
      </c>
      <c r="G428">
        <v>16.314057999999999</v>
      </c>
      <c r="H428">
        <v>9.5260219999999993</v>
      </c>
      <c r="I428">
        <v>31.459999</v>
      </c>
      <c r="J428">
        <v>3.3631509999999998</v>
      </c>
      <c r="K428">
        <v>32.523173999999997</v>
      </c>
      <c r="L428">
        <v>22.23</v>
      </c>
      <c r="M428" s="4">
        <f t="shared" si="49"/>
        <v>8.3891470143877545E-3</v>
      </c>
      <c r="N428" s="4">
        <f t="shared" si="49"/>
        <v>2.1786492374726851E-3</v>
      </c>
      <c r="O428" s="4">
        <f t="shared" si="50"/>
        <v>-5.0675506768225187E-3</v>
      </c>
      <c r="P428" s="4">
        <f t="shared" si="50"/>
        <v>2.5502892169558811E-2</v>
      </c>
      <c r="Q428" s="4">
        <f t="shared" si="50"/>
        <v>-9.5403295750216E-3</v>
      </c>
      <c r="R428" s="4">
        <f t="shared" si="51"/>
        <v>7.2992195959442618E-3</v>
      </c>
      <c r="S428" s="4">
        <f t="shared" si="52"/>
        <v>7.0671082979452127E-3</v>
      </c>
      <c r="T428" s="4">
        <f t="shared" si="53"/>
        <v>2.0765704088254289E-2</v>
      </c>
      <c r="U428" s="4">
        <f t="shared" si="54"/>
        <v>1.3609423763447426E-2</v>
      </c>
      <c r="V428" s="4">
        <f t="shared" si="55"/>
        <v>5.7384892913372454E-3</v>
      </c>
      <c r="W428" s="4">
        <f t="shared" si="56"/>
        <v>-4.4964028776972587E-4</v>
      </c>
    </row>
    <row r="429" spans="1:23" x14ac:dyDescent="0.25">
      <c r="A429" s="1">
        <v>45212</v>
      </c>
      <c r="B429">
        <v>4247.1401370000003</v>
      </c>
      <c r="C429">
        <v>9.18</v>
      </c>
      <c r="D429">
        <v>5.7003870000000001</v>
      </c>
      <c r="E429">
        <v>5.7915000000000001E-2</v>
      </c>
      <c r="F429">
        <v>11.53</v>
      </c>
      <c r="G429">
        <v>16.195841000000001</v>
      </c>
      <c r="H429">
        <v>9.4591729999999998</v>
      </c>
      <c r="I429">
        <v>30.82</v>
      </c>
      <c r="J429">
        <v>3.3179949999999998</v>
      </c>
      <c r="K429">
        <v>32.337605000000003</v>
      </c>
      <c r="L429">
        <v>22.24</v>
      </c>
      <c r="M429" s="4">
        <f t="shared" si="49"/>
        <v>-1.1664732451459603E-3</v>
      </c>
      <c r="N429" s="4">
        <f t="shared" si="49"/>
        <v>-2.8571428571428581E-2</v>
      </c>
      <c r="O429" s="4">
        <f t="shared" si="50"/>
        <v>5.0933615445649671E-3</v>
      </c>
      <c r="P429" s="4">
        <f t="shared" si="50"/>
        <v>2.312475709288786E-2</v>
      </c>
      <c r="Q429" s="4">
        <f t="shared" si="50"/>
        <v>-1.7316017316018062E-3</v>
      </c>
      <c r="R429" s="4">
        <f t="shared" si="51"/>
        <v>1.6069182719402164E-2</v>
      </c>
      <c r="S429" s="4">
        <f t="shared" si="52"/>
        <v>-2.9015361402316975E-3</v>
      </c>
      <c r="T429" s="4">
        <f t="shared" si="53"/>
        <v>9.7430980921364707E-4</v>
      </c>
      <c r="U429" s="4">
        <f t="shared" si="54"/>
        <v>-1.2128978397508816E-2</v>
      </c>
      <c r="V429" s="4">
        <f t="shared" si="55"/>
        <v>-8.3857406347835894E-3</v>
      </c>
      <c r="W429" s="4">
        <f t="shared" si="56"/>
        <v>4.5167572049122917E-3</v>
      </c>
    </row>
    <row r="430" spans="1:23" x14ac:dyDescent="0.25">
      <c r="A430" s="1">
        <v>45215</v>
      </c>
      <c r="B430">
        <v>4252.1000979999999</v>
      </c>
      <c r="C430">
        <v>9.4499999999999993</v>
      </c>
      <c r="D430">
        <v>5.6715</v>
      </c>
      <c r="E430">
        <v>5.6605999999999997E-2</v>
      </c>
      <c r="F430">
        <v>11.55</v>
      </c>
      <c r="G430">
        <v>15.939703</v>
      </c>
      <c r="H430">
        <v>9.4866989999999998</v>
      </c>
      <c r="I430">
        <v>30.790001</v>
      </c>
      <c r="J430">
        <v>3.358733</v>
      </c>
      <c r="K430">
        <v>32.611072999999998</v>
      </c>
      <c r="L430">
        <v>22.139999</v>
      </c>
      <c r="M430" s="4">
        <f t="shared" si="49"/>
        <v>1.0268816455078822E-2</v>
      </c>
      <c r="N430" s="4">
        <f t="shared" si="49"/>
        <v>-1.0570824524314126E-3</v>
      </c>
      <c r="O430" s="4">
        <f t="shared" si="50"/>
        <v>4.9910892249319438E-2</v>
      </c>
      <c r="P430" s="4">
        <f t="shared" si="50"/>
        <v>4.0742783599926335E-2</v>
      </c>
      <c r="Q430" s="4">
        <f t="shared" si="50"/>
        <v>2.3482498892335002E-2</v>
      </c>
      <c r="R430" s="4">
        <f t="shared" si="51"/>
        <v>1.2515727952662647E-2</v>
      </c>
      <c r="S430" s="4">
        <f t="shared" si="52"/>
        <v>7.0967167308095824E-3</v>
      </c>
      <c r="T430" s="4">
        <f t="shared" si="53"/>
        <v>3.2488627924354141E-4</v>
      </c>
      <c r="U430" s="4">
        <f t="shared" si="54"/>
        <v>2.8403838740562959E-2</v>
      </c>
      <c r="V430" s="4">
        <f t="shared" si="55"/>
        <v>1.2431825313849565E-2</v>
      </c>
      <c r="W430" s="4">
        <f t="shared" si="56"/>
        <v>8.6559449359477902E-3</v>
      </c>
    </row>
    <row r="431" spans="1:23" x14ac:dyDescent="0.25">
      <c r="A431" s="1">
        <v>45216</v>
      </c>
      <c r="B431">
        <v>4208.8798829999996</v>
      </c>
      <c r="C431">
        <v>9.4600000000000009</v>
      </c>
      <c r="D431">
        <v>5.4018870000000003</v>
      </c>
      <c r="E431">
        <v>5.4390000000000001E-2</v>
      </c>
      <c r="F431">
        <v>11.285</v>
      </c>
      <c r="G431">
        <v>15.742672000000001</v>
      </c>
      <c r="H431">
        <v>9.4198489999999993</v>
      </c>
      <c r="I431">
        <v>30.780000999999999</v>
      </c>
      <c r="J431">
        <v>3.2659669999999998</v>
      </c>
      <c r="K431">
        <v>32.210636000000001</v>
      </c>
      <c r="L431">
        <v>21.950001</v>
      </c>
      <c r="M431" s="4">
        <f t="shared" si="49"/>
        <v>1.4884916740103726E-2</v>
      </c>
      <c r="N431" s="4">
        <f t="shared" si="49"/>
        <v>-6.3025210084032279E-3</v>
      </c>
      <c r="O431" s="4">
        <f t="shared" si="50"/>
        <v>5.3763260748185271E-3</v>
      </c>
      <c r="P431" s="4">
        <f t="shared" si="50"/>
        <v>1.6958659761045602E-2</v>
      </c>
      <c r="Q431" s="4">
        <f t="shared" si="50"/>
        <v>1.2561686855091958E-2</v>
      </c>
      <c r="R431" s="4">
        <f t="shared" si="51"/>
        <v>1.3959282725600985E-2</v>
      </c>
      <c r="S431" s="4">
        <f t="shared" si="52"/>
        <v>3.7012927751296054E-2</v>
      </c>
      <c r="T431" s="4">
        <f t="shared" si="53"/>
        <v>9.1803606557376849E-3</v>
      </c>
      <c r="U431" s="4">
        <f t="shared" si="54"/>
        <v>2.0552178679055899E-2</v>
      </c>
      <c r="V431" s="4">
        <f t="shared" si="55"/>
        <v>3.6129385268306669E-2</v>
      </c>
      <c r="W431" s="4">
        <f t="shared" si="56"/>
        <v>3.3914319359397149E-2</v>
      </c>
    </row>
    <row r="432" spans="1:23" x14ac:dyDescent="0.25">
      <c r="A432" s="1">
        <v>45217</v>
      </c>
      <c r="B432">
        <v>4147.1499020000001</v>
      </c>
      <c r="C432">
        <v>9.52</v>
      </c>
      <c r="D432">
        <v>5.3730000000000002</v>
      </c>
      <c r="E432">
        <v>5.3483000000000003E-2</v>
      </c>
      <c r="F432">
        <v>11.145</v>
      </c>
      <c r="G432">
        <v>15.525941</v>
      </c>
      <c r="H432">
        <v>9.0836369999999995</v>
      </c>
      <c r="I432">
        <v>30.5</v>
      </c>
      <c r="J432">
        <v>3.200196</v>
      </c>
      <c r="K432">
        <v>31.087465000000002</v>
      </c>
      <c r="L432">
        <v>21.23</v>
      </c>
      <c r="M432" s="4">
        <f t="shared" si="49"/>
        <v>1.5828388901239387E-2</v>
      </c>
      <c r="N432" s="4">
        <f t="shared" si="49"/>
        <v>2.6968716289104577E-2</v>
      </c>
      <c r="O432" s="4">
        <f t="shared" si="50"/>
        <v>-3.5714166495741662E-3</v>
      </c>
      <c r="P432" s="4">
        <f t="shared" si="50"/>
        <v>1.1422303750070917E-2</v>
      </c>
      <c r="Q432" s="4">
        <f t="shared" si="50"/>
        <v>1.2261580381471404E-2</v>
      </c>
      <c r="R432" s="4">
        <f t="shared" si="51"/>
        <v>1.2707144873380649E-3</v>
      </c>
      <c r="S432" s="4">
        <f t="shared" si="52"/>
        <v>1.382479684188298E-2</v>
      </c>
      <c r="T432" s="4">
        <f t="shared" si="53"/>
        <v>1.7684384974453904E-2</v>
      </c>
      <c r="U432" s="4">
        <f t="shared" si="54"/>
        <v>6.8852603565473958E-2</v>
      </c>
      <c r="V432" s="4">
        <f t="shared" si="55"/>
        <v>6.0050682325425431E-3</v>
      </c>
      <c r="W432" s="4">
        <f t="shared" si="56"/>
        <v>4.7130068196521435E-4</v>
      </c>
    </row>
    <row r="433" spans="1:23" x14ac:dyDescent="0.25">
      <c r="A433" s="1">
        <v>45218</v>
      </c>
      <c r="B433">
        <v>4082.530029</v>
      </c>
      <c r="C433">
        <v>9.27</v>
      </c>
      <c r="D433">
        <v>5.392258</v>
      </c>
      <c r="E433">
        <v>5.2879000000000002E-2</v>
      </c>
      <c r="F433">
        <v>11.01</v>
      </c>
      <c r="G433">
        <v>15.506237</v>
      </c>
      <c r="H433">
        <v>8.9597700000000007</v>
      </c>
      <c r="I433">
        <v>29.969999000000001</v>
      </c>
      <c r="J433">
        <v>2.9940479999999998</v>
      </c>
      <c r="K433">
        <v>30.901897000000002</v>
      </c>
      <c r="L433">
        <v>21.219999000000001</v>
      </c>
      <c r="M433" s="4">
        <f t="shared" si="49"/>
        <v>1.6811829429034697E-2</v>
      </c>
      <c r="N433" s="4">
        <f t="shared" si="49"/>
        <v>6.5146579804558069E-3</v>
      </c>
      <c r="O433" s="4">
        <f t="shared" si="50"/>
        <v>-2.6087047613612024E-2</v>
      </c>
      <c r="P433" s="4">
        <f t="shared" si="50"/>
        <v>6.433910492951167E-4</v>
      </c>
      <c r="Q433" s="4">
        <f t="shared" si="50"/>
        <v>1.7560073937153309E-2</v>
      </c>
      <c r="R433" s="4">
        <f t="shared" si="51"/>
        <v>3.8265365574754462E-3</v>
      </c>
      <c r="S433" s="4">
        <f t="shared" si="52"/>
        <v>1.6733756552058443E-2</v>
      </c>
      <c r="T433" s="4">
        <f t="shared" si="53"/>
        <v>2.5667352007780808E-2</v>
      </c>
      <c r="U433" s="4">
        <f t="shared" si="54"/>
        <v>8.2643347868853745E-3</v>
      </c>
      <c r="V433" s="4">
        <f t="shared" si="55"/>
        <v>2.9947913498618695E-2</v>
      </c>
      <c r="W433" s="4">
        <f t="shared" si="56"/>
        <v>2.1174108701919936E-2</v>
      </c>
    </row>
    <row r="434" spans="1:23" x14ac:dyDescent="0.25">
      <c r="A434" s="1">
        <v>45219</v>
      </c>
      <c r="B434">
        <v>4015.030029</v>
      </c>
      <c r="C434">
        <v>9.2100000000000009</v>
      </c>
      <c r="D434">
        <v>5.5366939999999998</v>
      </c>
      <c r="E434">
        <v>5.2845000000000003E-2</v>
      </c>
      <c r="F434">
        <v>10.82</v>
      </c>
      <c r="G434">
        <v>15.447127999999999</v>
      </c>
      <c r="H434">
        <v>8.8123070000000006</v>
      </c>
      <c r="I434">
        <v>29.219999000000001</v>
      </c>
      <c r="J434">
        <v>2.9695070000000001</v>
      </c>
      <c r="K434">
        <v>30.003359</v>
      </c>
      <c r="L434">
        <v>20.780000999999999</v>
      </c>
      <c r="M434" s="4">
        <f t="shared" si="49"/>
        <v>8.2112608346174287E-3</v>
      </c>
      <c r="N434" s="4">
        <f t="shared" si="49"/>
        <v>5.4585152838428908E-3</v>
      </c>
      <c r="O434" s="4">
        <f t="shared" si="50"/>
        <v>3.0466033873068898E-2</v>
      </c>
      <c r="P434" s="4">
        <f t="shared" si="50"/>
        <v>1.0903873744619874E-2</v>
      </c>
      <c r="Q434" s="4">
        <f t="shared" si="50"/>
        <v>1.8352941176470683E-2</v>
      </c>
      <c r="R434" s="4">
        <f t="shared" si="51"/>
        <v>6.4184297031639748E-3</v>
      </c>
      <c r="S434" s="4">
        <f t="shared" si="52"/>
        <v>1.6096122204017016E-2</v>
      </c>
      <c r="T434" s="4">
        <f t="shared" si="53"/>
        <v>-3.4214847759150846E-4</v>
      </c>
      <c r="U434" s="4">
        <f t="shared" si="54"/>
        <v>-6.6335779472169731E-3</v>
      </c>
      <c r="V434" s="4">
        <f t="shared" si="55"/>
        <v>9.5300406710940866E-3</v>
      </c>
      <c r="W434" s="4">
        <f t="shared" si="56"/>
        <v>1.4648486328124877E-2</v>
      </c>
    </row>
    <row r="435" spans="1:23" x14ac:dyDescent="0.25">
      <c r="A435" s="1">
        <v>45222</v>
      </c>
      <c r="B435">
        <v>3982.330078</v>
      </c>
      <c r="C435">
        <v>9.16</v>
      </c>
      <c r="D435">
        <v>5.3730000000000002</v>
      </c>
      <c r="E435">
        <v>5.2275000000000002E-2</v>
      </c>
      <c r="F435">
        <v>10.625</v>
      </c>
      <c r="G435">
        <v>15.348614</v>
      </c>
      <c r="H435">
        <v>8.6727100000000004</v>
      </c>
      <c r="I435">
        <v>29.23</v>
      </c>
      <c r="J435">
        <v>2.9893369999999999</v>
      </c>
      <c r="K435">
        <v>29.720124999999999</v>
      </c>
      <c r="L435">
        <v>20.48</v>
      </c>
      <c r="M435" s="4">
        <f t="shared" si="49"/>
        <v>-1.2715634470344406E-2</v>
      </c>
      <c r="N435" s="4">
        <f t="shared" si="49"/>
        <v>1.3274336283185972E-2</v>
      </c>
      <c r="O435" s="4">
        <f t="shared" si="50"/>
        <v>-3.1250073246725796E-2</v>
      </c>
      <c r="P435" s="4">
        <f t="shared" si="50"/>
        <v>-5.0029076106709258E-2</v>
      </c>
      <c r="Q435" s="4">
        <f t="shared" si="50"/>
        <v>-2.2089277496548543E-2</v>
      </c>
      <c r="R435" s="4">
        <f t="shared" si="51"/>
        <v>-3.8362582087085872E-3</v>
      </c>
      <c r="S435" s="4">
        <f t="shared" si="52"/>
        <v>-8.7641528421805726E-3</v>
      </c>
      <c r="T435" s="4">
        <f t="shared" si="53"/>
        <v>-1.7478991596638682E-2</v>
      </c>
      <c r="U435" s="4">
        <f t="shared" si="54"/>
        <v>-3.3058242521801784E-3</v>
      </c>
      <c r="V435" s="4">
        <f t="shared" si="55"/>
        <v>-5.3499264108327171E-2</v>
      </c>
      <c r="W435" s="4">
        <f t="shared" si="56"/>
        <v>-1.9626568675278455E-2</v>
      </c>
    </row>
    <row r="436" spans="1:23" x14ac:dyDescent="0.25">
      <c r="A436" s="1">
        <v>45223</v>
      </c>
      <c r="B436">
        <v>4033.6201169999999</v>
      </c>
      <c r="C436">
        <v>9.0399999999999991</v>
      </c>
      <c r="D436">
        <v>5.5463230000000001</v>
      </c>
      <c r="E436">
        <v>5.5028000000000001E-2</v>
      </c>
      <c r="F436">
        <v>10.865</v>
      </c>
      <c r="G436">
        <v>15.407722</v>
      </c>
      <c r="H436">
        <v>8.7493909999999993</v>
      </c>
      <c r="I436">
        <v>29.75</v>
      </c>
      <c r="J436">
        <v>2.9992519999999998</v>
      </c>
      <c r="K436">
        <v>31.400002000000001</v>
      </c>
      <c r="L436">
        <v>20.889999</v>
      </c>
      <c r="M436" s="4">
        <f t="shared" si="49"/>
        <v>1.6364635854568821E-3</v>
      </c>
      <c r="N436" s="4">
        <f t="shared" si="49"/>
        <v>6.6815144766145806E-3</v>
      </c>
      <c r="O436" s="4">
        <f t="shared" si="50"/>
        <v>3.4844901379829096E-3</v>
      </c>
      <c r="P436" s="4">
        <f t="shared" si="50"/>
        <v>1.675874429519042E-2</v>
      </c>
      <c r="Q436" s="4">
        <f t="shared" si="50"/>
        <v>-8.667883211678884E-3</v>
      </c>
      <c r="R436" s="4">
        <f t="shared" si="51"/>
        <v>1.0335933578918599E-2</v>
      </c>
      <c r="S436" s="4">
        <f t="shared" si="52"/>
        <v>4.7415619088477801E-3</v>
      </c>
      <c r="T436" s="4">
        <f t="shared" si="53"/>
        <v>1.8138296308634283E-2</v>
      </c>
      <c r="U436" s="4">
        <f t="shared" si="54"/>
        <v>-8.1966535484496728E-3</v>
      </c>
      <c r="V436" s="4">
        <f t="shared" si="55"/>
        <v>-1.5365224690035206E-2</v>
      </c>
      <c r="W436" s="4">
        <f t="shared" si="56"/>
        <v>3.2624765200197636E-2</v>
      </c>
    </row>
    <row r="437" spans="1:23" x14ac:dyDescent="0.25">
      <c r="A437" s="1">
        <v>45224</v>
      </c>
      <c r="B437">
        <v>4027.030029</v>
      </c>
      <c r="C437">
        <v>8.98</v>
      </c>
      <c r="D437">
        <v>5.5270640000000002</v>
      </c>
      <c r="E437">
        <v>5.4121000000000002E-2</v>
      </c>
      <c r="F437">
        <v>10.96</v>
      </c>
      <c r="G437">
        <v>15.250097999999999</v>
      </c>
      <c r="H437">
        <v>8.7081009999999992</v>
      </c>
      <c r="I437">
        <v>29.219999000000001</v>
      </c>
      <c r="J437">
        <v>3.0240390000000001</v>
      </c>
      <c r="K437">
        <v>31.889999</v>
      </c>
      <c r="L437">
        <v>20.23</v>
      </c>
      <c r="M437" s="4">
        <f t="shared" si="49"/>
        <v>-6.5007116926080188E-3</v>
      </c>
      <c r="N437" s="4">
        <f t="shared" si="49"/>
        <v>1.5837104072398356E-2</v>
      </c>
      <c r="O437" s="4">
        <f t="shared" si="50"/>
        <v>8.7871332306368455E-3</v>
      </c>
      <c r="P437" s="4">
        <f t="shared" si="50"/>
        <v>3.1347663693879202E-2</v>
      </c>
      <c r="Q437" s="4">
        <f t="shared" si="50"/>
        <v>-8.1447963800904688E-3</v>
      </c>
      <c r="R437" s="4">
        <f t="shared" si="51"/>
        <v>-2.2727370308264438E-2</v>
      </c>
      <c r="S437" s="4">
        <f t="shared" si="52"/>
        <v>-6.7707130169025742E-4</v>
      </c>
      <c r="T437" s="4">
        <f t="shared" si="53"/>
        <v>-8.4012570532915332E-2</v>
      </c>
      <c r="U437" s="4">
        <f t="shared" si="54"/>
        <v>-3.2760005685894544E-4</v>
      </c>
      <c r="V437" s="4">
        <f t="shared" si="55"/>
        <v>1.0456274095572704E-2</v>
      </c>
      <c r="W437" s="4">
        <f t="shared" si="56"/>
        <v>-1.1241398398895264E-2</v>
      </c>
    </row>
    <row r="438" spans="1:23" x14ac:dyDescent="0.25">
      <c r="A438" s="1">
        <v>45225</v>
      </c>
      <c r="B438">
        <v>4053.3798830000001</v>
      </c>
      <c r="C438">
        <v>8.84</v>
      </c>
      <c r="D438">
        <v>5.4789199999999996</v>
      </c>
      <c r="E438">
        <v>5.2476000000000002E-2</v>
      </c>
      <c r="F438">
        <v>11.05</v>
      </c>
      <c r="G438">
        <v>15.604753000000001</v>
      </c>
      <c r="H438">
        <v>8.7140009999999997</v>
      </c>
      <c r="I438">
        <v>31.9</v>
      </c>
      <c r="J438">
        <v>3.0250300000000001</v>
      </c>
      <c r="K438">
        <v>31.559999000000001</v>
      </c>
      <c r="L438">
        <v>20.459999</v>
      </c>
      <c r="M438" s="4">
        <f t="shared" si="49"/>
        <v>-1.2222250704583271E-3</v>
      </c>
      <c r="N438" s="4">
        <f t="shared" si="49"/>
        <v>5.6882821387942428E-3</v>
      </c>
      <c r="O438" s="4">
        <f t="shared" si="50"/>
        <v>-1.8965452719406972E-2</v>
      </c>
      <c r="P438" s="4">
        <f t="shared" si="50"/>
        <v>0.10694848753322383</v>
      </c>
      <c r="Q438" s="4">
        <f t="shared" si="50"/>
        <v>-1.5590200445434244E-2</v>
      </c>
      <c r="R438" s="4">
        <f t="shared" si="51"/>
        <v>-9.9999517839187702E-3</v>
      </c>
      <c r="S438" s="4">
        <f t="shared" si="52"/>
        <v>7.3152832512315413E-2</v>
      </c>
      <c r="T438" s="4">
        <f t="shared" si="53"/>
        <v>-1.9065190651906705E-2</v>
      </c>
      <c r="U438" s="4">
        <f t="shared" si="54"/>
        <v>-1.5965276442702514E-2</v>
      </c>
      <c r="V438" s="4">
        <f t="shared" si="55"/>
        <v>-7.2350422385957236E-3</v>
      </c>
      <c r="W438" s="4">
        <f t="shared" si="56"/>
        <v>3.9254172681755239E-3</v>
      </c>
    </row>
    <row r="439" spans="1:23" x14ac:dyDescent="0.25">
      <c r="A439" s="1">
        <v>45226</v>
      </c>
      <c r="B439">
        <v>4058.3400879999999</v>
      </c>
      <c r="C439">
        <v>8.7899999999999991</v>
      </c>
      <c r="D439">
        <v>5.5848389999999997</v>
      </c>
      <c r="E439">
        <v>4.7405999999999997E-2</v>
      </c>
      <c r="F439">
        <v>11.225</v>
      </c>
      <c r="G439">
        <v>15.762376</v>
      </c>
      <c r="H439">
        <v>8.1199999999999992</v>
      </c>
      <c r="I439">
        <v>32.520000000000003</v>
      </c>
      <c r="J439">
        <v>3.074109</v>
      </c>
      <c r="K439">
        <v>31.790001</v>
      </c>
      <c r="L439">
        <v>20.379999000000002</v>
      </c>
      <c r="M439" s="4">
        <f t="shared" si="49"/>
        <v>-2.2372433599505692E-3</v>
      </c>
      <c r="N439" s="4">
        <f t="shared" si="49"/>
        <v>-6.7796610169491567E-3</v>
      </c>
      <c r="O439" s="4">
        <f t="shared" si="50"/>
        <v>-1.1925002503431426E-2</v>
      </c>
      <c r="P439" s="4">
        <f t="shared" si="50"/>
        <v>-0.2987278106508876</v>
      </c>
      <c r="Q439" s="4">
        <f t="shared" si="50"/>
        <v>1.5377657168701875E-2</v>
      </c>
      <c r="R439" s="4">
        <f t="shared" si="51"/>
        <v>-9.9009428329738247E-3</v>
      </c>
      <c r="S439" s="4">
        <f t="shared" si="52"/>
        <v>4.4532409698168074E-3</v>
      </c>
      <c r="T439" s="4">
        <f t="shared" si="53"/>
        <v>1.1194029850746468E-2</v>
      </c>
      <c r="U439" s="4">
        <f t="shared" si="54"/>
        <v>6.9827882148536524E-3</v>
      </c>
      <c r="V439" s="4">
        <f t="shared" si="55"/>
        <v>-5.3190865243769592E-3</v>
      </c>
      <c r="W439" s="4">
        <f t="shared" si="56"/>
        <v>-1.6409267201219491E-2</v>
      </c>
    </row>
    <row r="440" spans="1:23" x14ac:dyDescent="0.25">
      <c r="A440" s="1">
        <v>45229</v>
      </c>
      <c r="B440">
        <v>4067.4399410000001</v>
      </c>
      <c r="C440">
        <v>8.85</v>
      </c>
      <c r="D440">
        <v>5.6522420000000002</v>
      </c>
      <c r="E440">
        <v>6.7599999999999993E-2</v>
      </c>
      <c r="F440">
        <v>11.055</v>
      </c>
      <c r="G440">
        <v>15.919999000000001</v>
      </c>
      <c r="H440">
        <v>8.0839999999999996</v>
      </c>
      <c r="I440">
        <v>32.159999999999997</v>
      </c>
      <c r="J440">
        <v>3.0527920000000002</v>
      </c>
      <c r="K440">
        <v>31.959999</v>
      </c>
      <c r="L440">
        <v>20.719999000000001</v>
      </c>
      <c r="M440" s="4">
        <f t="shared" si="49"/>
        <v>-1.2496076158646785E-2</v>
      </c>
      <c r="N440" s="4">
        <f t="shared" si="49"/>
        <v>-7.8475336322870737E-3</v>
      </c>
      <c r="O440" s="4">
        <f t="shared" si="50"/>
        <v>-5.0847287572594047E-3</v>
      </c>
      <c r="P440" s="4">
        <f t="shared" si="50"/>
        <v>0.17361111111111094</v>
      </c>
      <c r="Q440" s="4">
        <f t="shared" si="50"/>
        <v>-1.2946428571428581E-2</v>
      </c>
      <c r="R440" s="4">
        <f t="shared" si="51"/>
        <v>-7.371080752238135E-3</v>
      </c>
      <c r="S440" s="4">
        <f t="shared" si="52"/>
        <v>-2.6727666746929835E-2</v>
      </c>
      <c r="T440" s="4">
        <f t="shared" si="53"/>
        <v>1.4191138889660504E-2</v>
      </c>
      <c r="U440" s="4">
        <f t="shared" si="54"/>
        <v>-1.9426821868817723E-2</v>
      </c>
      <c r="V440" s="4">
        <f t="shared" si="55"/>
        <v>5.9804532577902858E-3</v>
      </c>
      <c r="W440" s="4">
        <f t="shared" si="56"/>
        <v>-2.0793998109640777E-2</v>
      </c>
    </row>
    <row r="441" spans="1:23" x14ac:dyDescent="0.25">
      <c r="A441" s="1">
        <v>45230</v>
      </c>
      <c r="B441">
        <v>4118.9101559999999</v>
      </c>
      <c r="C441">
        <v>8.92</v>
      </c>
      <c r="D441">
        <v>5.6811290000000003</v>
      </c>
      <c r="E441">
        <v>5.7599999999999998E-2</v>
      </c>
      <c r="F441">
        <v>11.2</v>
      </c>
      <c r="G441">
        <v>16.038218000000001</v>
      </c>
      <c r="H441">
        <v>8.3059999999999992</v>
      </c>
      <c r="I441">
        <v>31.709999</v>
      </c>
      <c r="J441">
        <v>3.113273</v>
      </c>
      <c r="K441">
        <v>31.77</v>
      </c>
      <c r="L441">
        <v>21.16</v>
      </c>
      <c r="M441" s="4">
        <f t="shared" si="49"/>
        <v>2.1118467925729245E-3</v>
      </c>
      <c r="N441" s="4">
        <f t="shared" si="49"/>
        <v>-1.1086474501108556E-2</v>
      </c>
      <c r="O441" s="4">
        <f t="shared" si="50"/>
        <v>-4.8387102177554375E-2</v>
      </c>
      <c r="P441" s="4">
        <f t="shared" si="50"/>
        <v>0.13163064833005889</v>
      </c>
      <c r="Q441" s="4">
        <f t="shared" si="50"/>
        <v>0</v>
      </c>
      <c r="R441" s="4">
        <f t="shared" si="51"/>
        <v>7.4258170493604059E-3</v>
      </c>
      <c r="S441" s="4">
        <f t="shared" si="52"/>
        <v>2.8989098116947387E-2</v>
      </c>
      <c r="T441" s="4">
        <f t="shared" si="53"/>
        <v>9.5510665393185867E-3</v>
      </c>
      <c r="U441" s="4">
        <f t="shared" si="54"/>
        <v>1.4539589970332223E-2</v>
      </c>
      <c r="V441" s="4">
        <f t="shared" si="55"/>
        <v>-1.7625231910946337E-2</v>
      </c>
      <c r="W441" s="4">
        <f t="shared" si="56"/>
        <v>-1.8868395336396615E-3</v>
      </c>
    </row>
    <row r="442" spans="1:23" x14ac:dyDescent="0.25">
      <c r="A442" s="1">
        <v>45231</v>
      </c>
      <c r="B442">
        <v>4110.2299800000001</v>
      </c>
      <c r="C442">
        <v>9.02</v>
      </c>
      <c r="D442">
        <v>5.97</v>
      </c>
      <c r="E442">
        <v>5.0900000000000001E-2</v>
      </c>
      <c r="F442">
        <v>11.2</v>
      </c>
      <c r="G442">
        <v>15.919999000000001</v>
      </c>
      <c r="H442">
        <v>8.0719999999999992</v>
      </c>
      <c r="I442">
        <v>31.41</v>
      </c>
      <c r="J442">
        <v>3.0686559999999998</v>
      </c>
      <c r="K442">
        <v>32.340000000000003</v>
      </c>
      <c r="L442">
        <v>21.200001</v>
      </c>
      <c r="M442" s="4">
        <f t="shared" si="49"/>
        <v>-2.3807373020450218E-2</v>
      </c>
      <c r="N442" s="4">
        <f t="shared" si="49"/>
        <v>-7.700770077007757E-3</v>
      </c>
      <c r="O442" s="4">
        <f t="shared" si="50"/>
        <v>-1.4851485148514865E-2</v>
      </c>
      <c r="P442" s="4">
        <f t="shared" si="50"/>
        <v>-9.1071428571428581E-2</v>
      </c>
      <c r="Q442" s="4">
        <f t="shared" si="50"/>
        <v>-7.169498549523412E-2</v>
      </c>
      <c r="R442" s="4">
        <f t="shared" si="51"/>
        <v>-2.8846138595621018E-2</v>
      </c>
      <c r="S442" s="4">
        <f t="shared" si="52"/>
        <v>-3.4218712610672553E-2</v>
      </c>
      <c r="T442" s="4">
        <f t="shared" si="53"/>
        <v>-2.6046511627906943E-2</v>
      </c>
      <c r="U442" s="4">
        <f t="shared" si="54"/>
        <v>-1.8083810453891958E-2</v>
      </c>
      <c r="V442" s="4">
        <f t="shared" si="55"/>
        <v>-9.4947007966491581E-3</v>
      </c>
      <c r="W442" s="4">
        <f t="shared" si="56"/>
        <v>-3.8984498594038963E-2</v>
      </c>
    </row>
    <row r="443" spans="1:23" x14ac:dyDescent="0.25">
      <c r="A443" s="1">
        <v>45232</v>
      </c>
      <c r="B443">
        <v>4210.4702150000003</v>
      </c>
      <c r="C443">
        <v>9.09</v>
      </c>
      <c r="D443">
        <v>6.06</v>
      </c>
      <c r="E443">
        <v>5.6000000000000001E-2</v>
      </c>
      <c r="F443">
        <v>12.065</v>
      </c>
      <c r="G443">
        <v>16.392869999999998</v>
      </c>
      <c r="H443">
        <v>8.3580000000000005</v>
      </c>
      <c r="I443">
        <v>32.25</v>
      </c>
      <c r="J443">
        <v>3.1251709999999999</v>
      </c>
      <c r="K443">
        <v>32.650002000000001</v>
      </c>
      <c r="L443">
        <v>22.059999000000001</v>
      </c>
      <c r="M443" s="4">
        <f t="shared" si="49"/>
        <v>-7.3017009390206056E-3</v>
      </c>
      <c r="N443" s="4">
        <f t="shared" si="49"/>
        <v>-2.5723472668810365E-2</v>
      </c>
      <c r="O443" s="4">
        <f t="shared" si="50"/>
        <v>1.0000000000000009E-2</v>
      </c>
      <c r="P443" s="4">
        <f t="shared" si="50"/>
        <v>7.899807321772645E-2</v>
      </c>
      <c r="Q443" s="4">
        <f t="shared" si="50"/>
        <v>-1.6549441456351621E-3</v>
      </c>
      <c r="R443" s="4">
        <f t="shared" si="51"/>
        <v>-1.4217972428793635E-2</v>
      </c>
      <c r="S443" s="4">
        <f t="shared" si="52"/>
        <v>-3.219082908754034E-2</v>
      </c>
      <c r="T443" s="4">
        <f t="shared" si="53"/>
        <v>1.8639640218689468E-3</v>
      </c>
      <c r="U443" s="4">
        <f t="shared" si="54"/>
        <v>-1.837408925805073E-2</v>
      </c>
      <c r="V443" s="4">
        <f t="shared" si="55"/>
        <v>2.1485572652819585E-3</v>
      </c>
      <c r="W443" s="4">
        <f t="shared" si="56"/>
        <v>-2.4756939665917632E-2</v>
      </c>
    </row>
    <row r="444" spans="1:23" x14ac:dyDescent="0.25">
      <c r="A444" s="1">
        <v>45233</v>
      </c>
      <c r="B444">
        <v>4241.4399409999996</v>
      </c>
      <c r="C444">
        <v>9.33</v>
      </c>
      <c r="D444">
        <v>6</v>
      </c>
      <c r="E444">
        <v>5.1900000000000002E-2</v>
      </c>
      <c r="F444">
        <v>12.085000000000001</v>
      </c>
      <c r="G444">
        <v>16.629304999999999</v>
      </c>
      <c r="H444">
        <v>8.6359999999999992</v>
      </c>
      <c r="I444">
        <v>32.189999</v>
      </c>
      <c r="J444">
        <v>3.1836679999999999</v>
      </c>
      <c r="K444">
        <v>32.580002</v>
      </c>
      <c r="L444">
        <v>22.620000999999998</v>
      </c>
      <c r="M444" s="4">
        <f t="shared" si="49"/>
        <v>-2.1315278202564958E-3</v>
      </c>
      <c r="N444" s="4">
        <f t="shared" si="49"/>
        <v>1.7448200654307522E-2</v>
      </c>
      <c r="O444" s="4">
        <f t="shared" si="50"/>
        <v>1.6949152542372836E-2</v>
      </c>
      <c r="P444" s="4">
        <f t="shared" si="50"/>
        <v>5.4878048780487854E-2</v>
      </c>
      <c r="Q444" s="4">
        <f t="shared" si="50"/>
        <v>-4.9403046521201421E-3</v>
      </c>
      <c r="R444" s="4">
        <f t="shared" si="51"/>
        <v>4.7619125303397514E-3</v>
      </c>
      <c r="S444" s="4">
        <f t="shared" si="52"/>
        <v>-2.541002541002535E-3</v>
      </c>
      <c r="T444" s="4">
        <f t="shared" si="53"/>
        <v>-9.5384923076923256E-3</v>
      </c>
      <c r="U444" s="4">
        <f t="shared" si="54"/>
        <v>-3.4142256794722492E-3</v>
      </c>
      <c r="V444" s="4">
        <f t="shared" si="55"/>
        <v>-1.7194569098366919E-2</v>
      </c>
      <c r="W444" s="4">
        <f t="shared" si="56"/>
        <v>-5.714241758241867E-3</v>
      </c>
    </row>
    <row r="445" spans="1:23" x14ac:dyDescent="0.25">
      <c r="A445" s="1">
        <v>45236</v>
      </c>
      <c r="B445">
        <v>4250.5</v>
      </c>
      <c r="C445">
        <v>9.17</v>
      </c>
      <c r="D445">
        <v>5.9</v>
      </c>
      <c r="E445">
        <v>4.9200000000000001E-2</v>
      </c>
      <c r="F445">
        <v>12.145</v>
      </c>
      <c r="G445">
        <v>16.550492999999999</v>
      </c>
      <c r="H445">
        <v>8.6579999999999995</v>
      </c>
      <c r="I445">
        <v>32.5</v>
      </c>
      <c r="J445">
        <v>3.1945749999999999</v>
      </c>
      <c r="K445">
        <v>33.150002000000001</v>
      </c>
      <c r="L445">
        <v>22.75</v>
      </c>
      <c r="M445" s="4">
        <f t="shared" si="49"/>
        <v>4.5780010388776216E-3</v>
      </c>
      <c r="N445" s="4">
        <f t="shared" si="49"/>
        <v>-2.1762785636560977E-3</v>
      </c>
      <c r="O445" s="4">
        <f t="shared" si="50"/>
        <v>-1.1725293132328174E-2</v>
      </c>
      <c r="P445" s="4">
        <f t="shared" si="50"/>
        <v>4.6808510638297829E-2</v>
      </c>
      <c r="Q445" s="4">
        <f t="shared" si="50"/>
        <v>1.1240632805995077E-2</v>
      </c>
      <c r="R445" s="4">
        <f t="shared" si="51"/>
        <v>-9.4339775092550093E-3</v>
      </c>
      <c r="S445" s="4">
        <f t="shared" si="52"/>
        <v>1.3105546454481587E-2</v>
      </c>
      <c r="T445" s="4">
        <f t="shared" si="53"/>
        <v>3.2073674182280243E-2</v>
      </c>
      <c r="U445" s="4">
        <f t="shared" si="54"/>
        <v>-1.704047589583646E-3</v>
      </c>
      <c r="V445" s="4">
        <f t="shared" si="55"/>
        <v>8.5184973689838017E-3</v>
      </c>
      <c r="W445" s="4">
        <f t="shared" si="56"/>
        <v>1.3204666074149163E-3</v>
      </c>
    </row>
    <row r="446" spans="1:23" x14ac:dyDescent="0.25">
      <c r="A446" s="1">
        <v>45237</v>
      </c>
      <c r="B446">
        <v>4231.1298829999996</v>
      </c>
      <c r="C446">
        <v>9.19</v>
      </c>
      <c r="D446">
        <v>5.97</v>
      </c>
      <c r="E446">
        <v>4.7E-2</v>
      </c>
      <c r="F446">
        <v>12.01</v>
      </c>
      <c r="G446">
        <v>16.708117000000001</v>
      </c>
      <c r="H446">
        <v>8.5459999999999994</v>
      </c>
      <c r="I446">
        <v>31.49</v>
      </c>
      <c r="J446">
        <v>3.2000280000000001</v>
      </c>
      <c r="K446">
        <v>32.869999</v>
      </c>
      <c r="L446">
        <v>22.719999000000001</v>
      </c>
      <c r="M446" s="4">
        <f t="shared" si="49"/>
        <v>-8.2274272987037378E-3</v>
      </c>
      <c r="N446" s="4">
        <f t="shared" si="49"/>
        <v>-1.3948497854077369E-2</v>
      </c>
      <c r="O446" s="4">
        <f t="shared" si="50"/>
        <v>3.3613445378151141E-3</v>
      </c>
      <c r="P446" s="4">
        <f t="shared" si="50"/>
        <v>-1.2605042016806789E-2</v>
      </c>
      <c r="Q446" s="4">
        <f t="shared" si="50"/>
        <v>1.2220817530552042E-2</v>
      </c>
      <c r="R446" s="4">
        <f t="shared" si="51"/>
        <v>3.5501810618170371E-3</v>
      </c>
      <c r="S446" s="4">
        <f t="shared" si="52"/>
        <v>-1.2023121387283342E-2</v>
      </c>
      <c r="T446" s="4">
        <f t="shared" si="53"/>
        <v>-1.4088947586444966E-2</v>
      </c>
      <c r="U446" s="4">
        <f t="shared" si="54"/>
        <v>-8.7532517255286546E-3</v>
      </c>
      <c r="V446" s="4">
        <f t="shared" si="55"/>
        <v>-5.44629365949445E-3</v>
      </c>
      <c r="W446" s="4">
        <f t="shared" si="56"/>
        <v>-4.8182654402101344E-3</v>
      </c>
    </row>
    <row r="447" spans="1:23" x14ac:dyDescent="0.25">
      <c r="A447" s="1">
        <v>45238</v>
      </c>
      <c r="B447">
        <v>4266.2299800000001</v>
      </c>
      <c r="C447">
        <v>9.32</v>
      </c>
      <c r="D447">
        <v>5.95</v>
      </c>
      <c r="E447">
        <v>4.7600000000000003E-2</v>
      </c>
      <c r="F447">
        <v>11.865</v>
      </c>
      <c r="G447">
        <v>16.649010000000001</v>
      </c>
      <c r="H447">
        <v>8.65</v>
      </c>
      <c r="I447">
        <v>31.940000999999999</v>
      </c>
      <c r="J447">
        <v>3.2282860000000002</v>
      </c>
      <c r="K447">
        <v>33.049999</v>
      </c>
      <c r="L447">
        <v>22.83</v>
      </c>
      <c r="M447" s="4">
        <f t="shared" si="49"/>
        <v>-1.0132467805049283E-2</v>
      </c>
      <c r="N447" s="4">
        <f t="shared" si="49"/>
        <v>2.5302530253025424E-2</v>
      </c>
      <c r="O447" s="4">
        <f t="shared" si="50"/>
        <v>-2.4590163934426146E-2</v>
      </c>
      <c r="P447" s="4">
        <f t="shared" si="50"/>
        <v>-6.2630480167013003E-3</v>
      </c>
      <c r="Q447" s="4">
        <f t="shared" si="50"/>
        <v>-2.9844644317252644E-2</v>
      </c>
      <c r="R447" s="4">
        <f t="shared" si="51"/>
        <v>2.3724828117515084E-3</v>
      </c>
      <c r="S447" s="4">
        <f t="shared" si="52"/>
        <v>-1.7715194185782268E-2</v>
      </c>
      <c r="T447" s="4">
        <f t="shared" si="53"/>
        <v>-2.3540141349438937E-2</v>
      </c>
      <c r="U447" s="4">
        <f t="shared" si="54"/>
        <v>-2.1451360739558334E-3</v>
      </c>
      <c r="V447" s="4">
        <f t="shared" si="55"/>
        <v>4.5591790541532617E-3</v>
      </c>
      <c r="W447" s="4">
        <f t="shared" si="56"/>
        <v>-1.4674147604661347E-2</v>
      </c>
    </row>
    <row r="448" spans="1:23" x14ac:dyDescent="0.25">
      <c r="A448" s="1">
        <v>45239</v>
      </c>
      <c r="B448">
        <v>4309.8999020000001</v>
      </c>
      <c r="C448">
        <v>9.09</v>
      </c>
      <c r="D448">
        <v>6.1</v>
      </c>
      <c r="E448">
        <v>4.7899999999999998E-2</v>
      </c>
      <c r="F448">
        <v>12.23</v>
      </c>
      <c r="G448">
        <v>16.609604000000001</v>
      </c>
      <c r="H448">
        <v>8.8059999999999992</v>
      </c>
      <c r="I448">
        <v>32.709999000000003</v>
      </c>
      <c r="J448">
        <v>3.2352259999999999</v>
      </c>
      <c r="K448">
        <v>32.900002000000001</v>
      </c>
      <c r="L448">
        <v>23.17</v>
      </c>
      <c r="M448" s="4">
        <f t="shared" si="49"/>
        <v>1.0987375817310685E-2</v>
      </c>
      <c r="N448" s="4">
        <f t="shared" si="49"/>
        <v>-9.8039215686274161E-3</v>
      </c>
      <c r="O448" s="4">
        <f t="shared" si="50"/>
        <v>1.6666666666666607E-2</v>
      </c>
      <c r="P448" s="4">
        <f t="shared" si="50"/>
        <v>6.4444444444444526E-2</v>
      </c>
      <c r="Q448" s="4">
        <f t="shared" si="50"/>
        <v>3.6930652441526934E-3</v>
      </c>
      <c r="R448" s="4">
        <f t="shared" si="51"/>
        <v>1.4440393304436139E-2</v>
      </c>
      <c r="S448" s="4">
        <f t="shared" si="52"/>
        <v>1.6624336181020327E-2</v>
      </c>
      <c r="T448" s="4">
        <f t="shared" si="53"/>
        <v>-5.1703769717037495E-3</v>
      </c>
      <c r="U448" s="4">
        <f t="shared" si="54"/>
        <v>6.7881097138773328E-3</v>
      </c>
      <c r="V448" s="4">
        <f t="shared" si="55"/>
        <v>1.5432097812833501E-2</v>
      </c>
      <c r="W448" s="4">
        <f t="shared" si="56"/>
        <v>9.5860126542042234E-3</v>
      </c>
    </row>
    <row r="449" spans="1:23" x14ac:dyDescent="0.25">
      <c r="A449" s="1">
        <v>45240</v>
      </c>
      <c r="B449">
        <v>4263.0600590000004</v>
      </c>
      <c r="C449">
        <v>9.18</v>
      </c>
      <c r="D449">
        <v>6</v>
      </c>
      <c r="E449">
        <v>4.4999999999999998E-2</v>
      </c>
      <c r="F449">
        <v>12.185</v>
      </c>
      <c r="G449">
        <v>16.373169000000001</v>
      </c>
      <c r="H449">
        <v>8.6620000000000008</v>
      </c>
      <c r="I449">
        <v>32.880001</v>
      </c>
      <c r="J449">
        <v>3.2134130000000001</v>
      </c>
      <c r="K449">
        <v>32.400002000000001</v>
      </c>
      <c r="L449">
        <v>22.950001</v>
      </c>
      <c r="M449" s="4">
        <f t="shared" si="49"/>
        <v>-2.2421916409572917E-3</v>
      </c>
      <c r="N449" s="4">
        <f t="shared" si="49"/>
        <v>-5.4171180931744667E-3</v>
      </c>
      <c r="O449" s="4">
        <f t="shared" si="50"/>
        <v>-8.2644628099173278E-3</v>
      </c>
      <c r="P449" s="4">
        <f t="shared" si="50"/>
        <v>-5.0632911392405E-2</v>
      </c>
      <c r="Q449" s="4">
        <f t="shared" si="50"/>
        <v>4.1203131437990148E-3</v>
      </c>
      <c r="R449" s="4">
        <f t="shared" si="51"/>
        <v>-1.4234836664378081E-2</v>
      </c>
      <c r="S449" s="4">
        <f t="shared" si="52"/>
        <v>0</v>
      </c>
      <c r="T449" s="4">
        <f t="shared" si="53"/>
        <v>-1.4683788273412879E-2</v>
      </c>
      <c r="U449" s="4">
        <f t="shared" si="54"/>
        <v>-7.1986611108244558E-3</v>
      </c>
      <c r="V449" s="4">
        <f t="shared" si="55"/>
        <v>7.4627487562191064E-3</v>
      </c>
      <c r="W449" s="4">
        <f t="shared" si="56"/>
        <v>-1.3054395126196328E-3</v>
      </c>
    </row>
    <row r="450" spans="1:23" x14ac:dyDescent="0.25">
      <c r="A450" s="1">
        <v>45243</v>
      </c>
      <c r="B450">
        <v>4272.6401370000003</v>
      </c>
      <c r="C450">
        <v>9.23</v>
      </c>
      <c r="D450">
        <v>6.05</v>
      </c>
      <c r="E450">
        <v>4.7399999999999998E-2</v>
      </c>
      <c r="F450">
        <v>12.135</v>
      </c>
      <c r="G450">
        <v>16.609604000000001</v>
      </c>
      <c r="H450">
        <v>8.6620000000000008</v>
      </c>
      <c r="I450">
        <v>33.369999</v>
      </c>
      <c r="J450">
        <v>3.236713</v>
      </c>
      <c r="K450">
        <v>32.159999999999997</v>
      </c>
      <c r="L450">
        <v>22.98</v>
      </c>
      <c r="M450" s="4">
        <f t="shared" si="49"/>
        <v>-1.9359716792975434E-2</v>
      </c>
      <c r="N450" s="4">
        <f t="shared" si="49"/>
        <v>-1.4941302027748016E-2</v>
      </c>
      <c r="O450" s="4">
        <f t="shared" si="50"/>
        <v>-1.3050570962479635E-2</v>
      </c>
      <c r="P450" s="4">
        <f t="shared" si="50"/>
        <v>8.5106382978723527E-3</v>
      </c>
      <c r="Q450" s="4">
        <f t="shared" si="50"/>
        <v>-2.4909602249899576E-2</v>
      </c>
      <c r="R450" s="4">
        <f t="shared" si="51"/>
        <v>-3.3256872857734043E-2</v>
      </c>
      <c r="S450" s="4">
        <f t="shared" si="52"/>
        <v>-3.691349788748044E-2</v>
      </c>
      <c r="T450" s="4">
        <f t="shared" si="53"/>
        <v>-1.8529441176470596E-2</v>
      </c>
      <c r="U450" s="4">
        <f t="shared" si="54"/>
        <v>-1.6124286345682526E-2</v>
      </c>
      <c r="V450" s="4">
        <f t="shared" si="55"/>
        <v>-1.5911872705018482E-2</v>
      </c>
      <c r="W450" s="4">
        <f t="shared" si="56"/>
        <v>-3.6881850926997028E-2</v>
      </c>
    </row>
    <row r="451" spans="1:23" x14ac:dyDescent="0.25">
      <c r="A451" s="1">
        <v>45244</v>
      </c>
      <c r="B451">
        <v>4356.9902339999999</v>
      </c>
      <c r="C451">
        <v>9.3699999999999992</v>
      </c>
      <c r="D451">
        <v>6.13</v>
      </c>
      <c r="E451">
        <v>4.7E-2</v>
      </c>
      <c r="F451">
        <v>12.445</v>
      </c>
      <c r="G451">
        <v>17.180990000000001</v>
      </c>
      <c r="H451">
        <v>8.9939999999999998</v>
      </c>
      <c r="I451">
        <v>34</v>
      </c>
      <c r="J451">
        <v>3.289758</v>
      </c>
      <c r="K451">
        <v>32.68</v>
      </c>
      <c r="L451">
        <v>23.860001</v>
      </c>
      <c r="M451" s="4">
        <f t="shared" si="49"/>
        <v>-3.0340978204907998E-3</v>
      </c>
      <c r="N451" s="4">
        <f t="shared" si="49"/>
        <v>0</v>
      </c>
      <c r="O451" s="4">
        <f t="shared" si="50"/>
        <v>-2.6984126984126999E-2</v>
      </c>
      <c r="P451" s="4">
        <f t="shared" si="50"/>
        <v>4.2735042735042583E-3</v>
      </c>
      <c r="Q451" s="4">
        <f t="shared" si="50"/>
        <v>-8.3665338645418919E-3</v>
      </c>
      <c r="R451" s="4">
        <f t="shared" si="51"/>
        <v>-9.09092272311951E-3</v>
      </c>
      <c r="S451" s="4">
        <f t="shared" si="52"/>
        <v>-1.9834350479511764E-2</v>
      </c>
      <c r="T451" s="4">
        <f t="shared" si="53"/>
        <v>-1.1340477212575806E-2</v>
      </c>
      <c r="U451" s="4">
        <f t="shared" si="54"/>
        <v>-4.7990968114322019E-3</v>
      </c>
      <c r="V451" s="4">
        <f t="shared" si="55"/>
        <v>2.1465500721695729E-3</v>
      </c>
      <c r="W451" s="4">
        <f t="shared" si="56"/>
        <v>-9.9584647302904949E-3</v>
      </c>
    </row>
    <row r="452" spans="1:23" x14ac:dyDescent="0.25">
      <c r="A452" s="1">
        <v>45245</v>
      </c>
      <c r="B452">
        <v>4370.25</v>
      </c>
      <c r="C452">
        <v>9.3699999999999992</v>
      </c>
      <c r="D452">
        <v>6.3</v>
      </c>
      <c r="E452">
        <v>4.6800000000000001E-2</v>
      </c>
      <c r="F452">
        <v>12.55</v>
      </c>
      <c r="G452">
        <v>17.338614</v>
      </c>
      <c r="H452">
        <v>9.1760000000000002</v>
      </c>
      <c r="I452">
        <v>34.389999000000003</v>
      </c>
      <c r="J452">
        <v>3.3056220000000001</v>
      </c>
      <c r="K452">
        <v>32.610000999999997</v>
      </c>
      <c r="L452">
        <v>24.1</v>
      </c>
      <c r="M452" s="4">
        <f t="shared" si="49"/>
        <v>1.22013489410564E-2</v>
      </c>
      <c r="N452" s="4">
        <f t="shared" si="49"/>
        <v>1.626898047722336E-2</v>
      </c>
      <c r="O452" s="4">
        <f t="shared" si="50"/>
        <v>-2.3255813953488413E-2</v>
      </c>
      <c r="P452" s="4">
        <f t="shared" si="50"/>
        <v>-2.132196162046851E-3</v>
      </c>
      <c r="Q452" s="4">
        <f t="shared" si="50"/>
        <v>-3.5728463676062416E-3</v>
      </c>
      <c r="R452" s="4">
        <f t="shared" si="51"/>
        <v>1.6166365943726113E-2</v>
      </c>
      <c r="S452" s="4">
        <f t="shared" si="52"/>
        <v>1.5493581230633158E-2</v>
      </c>
      <c r="T452" s="4">
        <f t="shared" si="53"/>
        <v>1.65532653530438E-2</v>
      </c>
      <c r="U452" s="4">
        <f t="shared" si="54"/>
        <v>2.6004076551263688E-2</v>
      </c>
      <c r="V452" s="4">
        <f t="shared" si="55"/>
        <v>1.0849442706102996E-2</v>
      </c>
      <c r="W452" s="4">
        <f t="shared" si="56"/>
        <v>1.9458587963561369E-2</v>
      </c>
    </row>
    <row r="453" spans="1:23" x14ac:dyDescent="0.25">
      <c r="A453" s="1">
        <v>45246</v>
      </c>
      <c r="B453">
        <v>4317.5698240000002</v>
      </c>
      <c r="C453">
        <v>9.2200000000000006</v>
      </c>
      <c r="D453">
        <v>6.45</v>
      </c>
      <c r="E453">
        <v>4.6899999999999997E-2</v>
      </c>
      <c r="F453">
        <v>12.595000000000001</v>
      </c>
      <c r="G453">
        <v>17.062771000000001</v>
      </c>
      <c r="H453">
        <v>9.0359999999999996</v>
      </c>
      <c r="I453">
        <v>33.830002</v>
      </c>
      <c r="J453">
        <v>3.221841</v>
      </c>
      <c r="K453">
        <v>32.259998000000003</v>
      </c>
      <c r="L453">
        <v>23.639999</v>
      </c>
      <c r="M453" s="4">
        <f t="shared" si="49"/>
        <v>-1.110838854051277E-2</v>
      </c>
      <c r="N453" s="4">
        <f t="shared" si="49"/>
        <v>3.2644178454843686E-3</v>
      </c>
      <c r="O453" s="4">
        <f t="shared" si="50"/>
        <v>-3.5874439461883401E-2</v>
      </c>
      <c r="P453" s="4">
        <f t="shared" si="50"/>
        <v>-1.6771488469601747E-2</v>
      </c>
      <c r="Q453" s="4">
        <f t="shared" si="50"/>
        <v>-6.3116370808679045E-3</v>
      </c>
      <c r="R453" s="4">
        <f t="shared" si="51"/>
        <v>0</v>
      </c>
      <c r="S453" s="4">
        <f t="shared" si="52"/>
        <v>-1.9880715705765661E-3</v>
      </c>
      <c r="T453" s="4">
        <f t="shared" si="53"/>
        <v>-1.8851450116009194E-2</v>
      </c>
      <c r="U453" s="4">
        <f t="shared" si="54"/>
        <v>-6.4209590762158708E-3</v>
      </c>
      <c r="V453" s="4">
        <f t="shared" si="55"/>
        <v>-2.2424303030302961E-2</v>
      </c>
      <c r="W453" s="4">
        <f t="shared" si="56"/>
        <v>-1.2118721270371946E-2</v>
      </c>
    </row>
    <row r="454" spans="1:23" x14ac:dyDescent="0.25">
      <c r="A454" s="1">
        <v>45247</v>
      </c>
      <c r="B454">
        <v>4366.0698240000002</v>
      </c>
      <c r="C454">
        <v>9.19</v>
      </c>
      <c r="D454">
        <v>6.69</v>
      </c>
      <c r="E454">
        <v>4.7699999999999999E-2</v>
      </c>
      <c r="F454">
        <v>12.675000000000001</v>
      </c>
      <c r="G454">
        <v>17.062771000000001</v>
      </c>
      <c r="H454">
        <v>9.0540000000000003</v>
      </c>
      <c r="I454">
        <v>34.479999999999997</v>
      </c>
      <c r="J454">
        <v>3.2426620000000002</v>
      </c>
      <c r="K454">
        <v>33</v>
      </c>
      <c r="L454">
        <v>23.93</v>
      </c>
      <c r="M454" s="4">
        <f t="shared" ref="M454:N510" si="57">B454/B455-1</f>
        <v>-7.1646316494777817E-4</v>
      </c>
      <c r="N454" s="4">
        <f t="shared" si="57"/>
        <v>2.1810250817884125E-3</v>
      </c>
      <c r="O454" s="4">
        <f t="shared" ref="O454:Q510" si="58">D454/D455-1</f>
        <v>2.2935779816513735E-2</v>
      </c>
      <c r="P454" s="4">
        <f t="shared" si="58"/>
        <v>-7.3786407766990303E-2</v>
      </c>
      <c r="Q454" s="4">
        <f t="shared" si="58"/>
        <v>-1.5754233950373564E-3</v>
      </c>
      <c r="R454" s="4">
        <f t="shared" si="51"/>
        <v>-5.7405950963934638E-3</v>
      </c>
      <c r="S454" s="4">
        <f t="shared" si="52"/>
        <v>-6.3652326602282594E-3</v>
      </c>
      <c r="T454" s="4">
        <f t="shared" si="53"/>
        <v>-6.9124709990650013E-3</v>
      </c>
      <c r="U454" s="4">
        <f t="shared" si="54"/>
        <v>3.0570653221739796E-4</v>
      </c>
      <c r="V454" s="4">
        <f t="shared" si="55"/>
        <v>6.0975916493168913E-3</v>
      </c>
      <c r="W454" s="4">
        <f t="shared" si="56"/>
        <v>-3.3319450229072345E-3</v>
      </c>
    </row>
    <row r="455" spans="1:23" x14ac:dyDescent="0.25">
      <c r="A455" s="1">
        <v>45250</v>
      </c>
      <c r="B455">
        <v>4369.2001950000003</v>
      </c>
      <c r="C455">
        <v>9.17</v>
      </c>
      <c r="D455">
        <v>6.54</v>
      </c>
      <c r="E455">
        <v>5.1499999999999997E-2</v>
      </c>
      <c r="F455">
        <v>12.695</v>
      </c>
      <c r="G455">
        <v>17.161287000000002</v>
      </c>
      <c r="H455">
        <v>9.1120000000000001</v>
      </c>
      <c r="I455">
        <v>34.720001000000003</v>
      </c>
      <c r="J455">
        <v>3.2416710000000002</v>
      </c>
      <c r="K455">
        <v>32.799999</v>
      </c>
      <c r="L455">
        <v>24.01</v>
      </c>
      <c r="M455" s="4">
        <f t="shared" si="57"/>
        <v>5.6738652119101562E-3</v>
      </c>
      <c r="N455" s="4">
        <f t="shared" si="57"/>
        <v>1.2141280353200834E-2</v>
      </c>
      <c r="O455" s="4">
        <f t="shared" si="58"/>
        <v>3.8095238095238182E-2</v>
      </c>
      <c r="P455" s="4">
        <f t="shared" si="58"/>
        <v>2.1825396825396748E-2</v>
      </c>
      <c r="Q455" s="4">
        <f t="shared" si="58"/>
        <v>2.1319388576025888E-2</v>
      </c>
      <c r="R455" s="4">
        <f t="shared" si="51"/>
        <v>2.3015580064806862E-3</v>
      </c>
      <c r="S455" s="4">
        <f t="shared" si="52"/>
        <v>1.154529307282437E-2</v>
      </c>
      <c r="T455" s="4">
        <f t="shared" si="53"/>
        <v>6.376840579710219E-3</v>
      </c>
      <c r="U455" s="4">
        <f t="shared" si="54"/>
        <v>9.5726041083374902E-3</v>
      </c>
      <c r="V455" s="4">
        <f t="shared" si="55"/>
        <v>3.3649435107048209E-3</v>
      </c>
      <c r="W455" s="4">
        <f t="shared" si="56"/>
        <v>1.0096760622633649E-2</v>
      </c>
    </row>
    <row r="456" spans="1:23" x14ac:dyDescent="0.25">
      <c r="A456" s="1">
        <v>45251</v>
      </c>
      <c r="B456">
        <v>4344.5498049999997</v>
      </c>
      <c r="C456">
        <v>9.06</v>
      </c>
      <c r="D456">
        <v>6.3</v>
      </c>
      <c r="E456">
        <v>5.04E-2</v>
      </c>
      <c r="F456">
        <v>12.43</v>
      </c>
      <c r="G456">
        <v>17.121880000000001</v>
      </c>
      <c r="H456">
        <v>9.0079999999999991</v>
      </c>
      <c r="I456">
        <v>34.5</v>
      </c>
      <c r="J456">
        <v>3.210934</v>
      </c>
      <c r="K456">
        <v>32.689999</v>
      </c>
      <c r="L456">
        <v>23.77</v>
      </c>
      <c r="M456" s="4">
        <f t="shared" si="57"/>
        <v>2.7211384052534537E-3</v>
      </c>
      <c r="N456" s="4">
        <f t="shared" si="57"/>
        <v>4.4345898004436446E-3</v>
      </c>
      <c r="O456" s="4">
        <f t="shared" si="58"/>
        <v>1.9417475728155331E-2</v>
      </c>
      <c r="P456" s="4">
        <f t="shared" si="58"/>
        <v>0.15068493150684925</v>
      </c>
      <c r="Q456" s="4">
        <f t="shared" si="58"/>
        <v>4.8504446240906773E-3</v>
      </c>
      <c r="R456" s="4">
        <f t="shared" si="51"/>
        <v>3.4642087149854284E-3</v>
      </c>
      <c r="S456" s="4">
        <f t="shared" si="52"/>
        <v>-2.8780163825549154E-3</v>
      </c>
      <c r="T456" s="4">
        <f t="shared" si="53"/>
        <v>-1.4471491012199023E-3</v>
      </c>
      <c r="U456" s="4">
        <f t="shared" si="54"/>
        <v>-4.9163288188477372E-3</v>
      </c>
      <c r="V456" s="4">
        <f t="shared" si="55"/>
        <v>2.3481464512164596E-2</v>
      </c>
      <c r="W456" s="4">
        <f t="shared" si="56"/>
        <v>1.2782318397201342E-2</v>
      </c>
    </row>
    <row r="457" spans="1:23" x14ac:dyDescent="0.25">
      <c r="A457" s="1">
        <v>45252</v>
      </c>
      <c r="B457">
        <v>4332.7597660000001</v>
      </c>
      <c r="C457">
        <v>9.02</v>
      </c>
      <c r="D457">
        <v>6.18</v>
      </c>
      <c r="E457">
        <v>4.3799999999999999E-2</v>
      </c>
      <c r="F457">
        <v>12.37</v>
      </c>
      <c r="G457">
        <v>17.062771000000001</v>
      </c>
      <c r="H457">
        <v>9.0340000000000007</v>
      </c>
      <c r="I457">
        <v>34.549999</v>
      </c>
      <c r="J457">
        <v>3.2267980000000001</v>
      </c>
      <c r="K457">
        <v>31.940000999999999</v>
      </c>
      <c r="L457">
        <v>23.469999000000001</v>
      </c>
      <c r="M457" s="4">
        <f t="shared" si="57"/>
        <v>-4.9925901940520712E-3</v>
      </c>
      <c r="N457" s="4">
        <f t="shared" si="57"/>
        <v>5.5741360089185399E-3</v>
      </c>
      <c r="O457" s="4">
        <f t="shared" si="58"/>
        <v>-3.225806451612967E-3</v>
      </c>
      <c r="P457" s="4">
        <f t="shared" si="58"/>
        <v>0.27325581395348841</v>
      </c>
      <c r="Q457" s="4">
        <f t="shared" si="58"/>
        <v>-1.5127388535031927E-2</v>
      </c>
      <c r="R457" s="4">
        <f t="shared" si="51"/>
        <v>-9.1533899685001252E-3</v>
      </c>
      <c r="S457" s="4">
        <f t="shared" si="52"/>
        <v>4.6708185053381257E-3</v>
      </c>
      <c r="T457" s="4">
        <f t="shared" si="53"/>
        <v>-2.0219526869426074E-3</v>
      </c>
      <c r="U457" s="4">
        <f t="shared" si="54"/>
        <v>2.4642218719264086E-3</v>
      </c>
      <c r="V457" s="4">
        <f t="shared" si="55"/>
        <v>1.8821205107313332E-3</v>
      </c>
      <c r="W457" s="4">
        <f t="shared" si="56"/>
        <v>9.4623225806451661E-3</v>
      </c>
    </row>
    <row r="458" spans="1:23" x14ac:dyDescent="0.25">
      <c r="A458" s="1">
        <v>45253</v>
      </c>
      <c r="B458">
        <v>4354.5</v>
      </c>
      <c r="C458">
        <v>8.9700000000000006</v>
      </c>
      <c r="D458">
        <v>6.2</v>
      </c>
      <c r="E458">
        <v>3.44E-2</v>
      </c>
      <c r="F458">
        <v>12.56</v>
      </c>
      <c r="G458">
        <v>17.220396000000001</v>
      </c>
      <c r="H458">
        <v>8.9920000000000009</v>
      </c>
      <c r="I458">
        <v>34.619999</v>
      </c>
      <c r="J458">
        <v>3.2188659999999998</v>
      </c>
      <c r="K458">
        <v>31.879999000000002</v>
      </c>
      <c r="L458">
        <v>23.25</v>
      </c>
      <c r="M458" s="4">
        <f t="shared" si="57"/>
        <v>-5.6460491306309368E-4</v>
      </c>
      <c r="N458" s="4">
        <f t="shared" si="57"/>
        <v>-2.2246941045606095E-3</v>
      </c>
      <c r="O458" s="4">
        <f t="shared" si="58"/>
        <v>-8.0000000000000071E-3</v>
      </c>
      <c r="P458" s="4">
        <f t="shared" si="58"/>
        <v>1.7751479289940919E-2</v>
      </c>
      <c r="Q458" s="4">
        <f t="shared" si="58"/>
        <v>-9.8541584548679229E-3</v>
      </c>
      <c r="R458" s="4">
        <f t="shared" si="51"/>
        <v>-3.4207577126774691E-3</v>
      </c>
      <c r="S458" s="4">
        <f t="shared" si="52"/>
        <v>2.2246941045622748E-4</v>
      </c>
      <c r="T458" s="4">
        <f t="shared" si="53"/>
        <v>6.1028480092997217E-3</v>
      </c>
      <c r="U458" s="4">
        <f t="shared" si="54"/>
        <v>-1.9982569122792837E-3</v>
      </c>
      <c r="V458" s="4">
        <f t="shared" si="55"/>
        <v>7.5853352587020861E-3</v>
      </c>
      <c r="W458" s="4">
        <f t="shared" si="56"/>
        <v>4.3029259896743E-4</v>
      </c>
    </row>
    <row r="459" spans="1:23" x14ac:dyDescent="0.25">
      <c r="A459" s="1">
        <v>45254</v>
      </c>
      <c r="B459">
        <v>4356.9599609999996</v>
      </c>
      <c r="C459">
        <v>8.99</v>
      </c>
      <c r="D459">
        <v>6.25</v>
      </c>
      <c r="E459">
        <v>3.3799999999999997E-2</v>
      </c>
      <c r="F459">
        <v>12.685</v>
      </c>
      <c r="G459">
        <v>17.279505</v>
      </c>
      <c r="H459">
        <v>8.99</v>
      </c>
      <c r="I459">
        <v>34.409999999999997</v>
      </c>
      <c r="J459">
        <v>3.225311</v>
      </c>
      <c r="K459">
        <v>31.639999</v>
      </c>
      <c r="L459">
        <v>23.24</v>
      </c>
      <c r="M459" s="4">
        <f t="shared" si="57"/>
        <v>4.903421602932001E-3</v>
      </c>
      <c r="N459" s="4">
        <f t="shared" si="57"/>
        <v>1.0112359550561889E-2</v>
      </c>
      <c r="O459" s="4">
        <f t="shared" si="58"/>
        <v>3.2102728731941976E-3</v>
      </c>
      <c r="P459" s="4">
        <f t="shared" si="58"/>
        <v>-1.4577259475218707E-2</v>
      </c>
      <c r="Q459" s="4">
        <f t="shared" si="58"/>
        <v>-6.2671367019193625E-3</v>
      </c>
      <c r="R459" s="4">
        <f t="shared" si="51"/>
        <v>1.2702157228740907E-2</v>
      </c>
      <c r="S459" s="4">
        <f t="shared" si="52"/>
        <v>-4.4296788482833804E-3</v>
      </c>
      <c r="T459" s="4">
        <f t="shared" si="53"/>
        <v>1.4744913005013238E-2</v>
      </c>
      <c r="U459" s="4">
        <f t="shared" si="54"/>
        <v>4.0122374955717799E-3</v>
      </c>
      <c r="V459" s="4">
        <f t="shared" si="55"/>
        <v>7.96432010080661E-3</v>
      </c>
      <c r="W459" s="4">
        <f t="shared" si="56"/>
        <v>-1.2892135797164528E-3</v>
      </c>
    </row>
    <row r="460" spans="1:23" x14ac:dyDescent="0.25">
      <c r="A460" s="1">
        <v>45257</v>
      </c>
      <c r="B460">
        <v>4335.7001950000003</v>
      </c>
      <c r="C460">
        <v>8.9</v>
      </c>
      <c r="D460">
        <v>6.23</v>
      </c>
      <c r="E460">
        <v>3.4299999999999997E-2</v>
      </c>
      <c r="F460">
        <v>12.765000000000001</v>
      </c>
      <c r="G460">
        <v>17.062771000000001</v>
      </c>
      <c r="H460">
        <v>9.0299999999999994</v>
      </c>
      <c r="I460">
        <v>33.909999999999997</v>
      </c>
      <c r="J460">
        <v>3.2124220000000001</v>
      </c>
      <c r="K460">
        <v>31.389999</v>
      </c>
      <c r="L460">
        <v>23.27</v>
      </c>
      <c r="M460" s="4">
        <f t="shared" si="57"/>
        <v>-2.7141587119032806E-3</v>
      </c>
      <c r="N460" s="4">
        <f t="shared" si="57"/>
        <v>-6.6964285714286031E-3</v>
      </c>
      <c r="O460" s="4">
        <f t="shared" si="58"/>
        <v>-3.1999999999999806E-3</v>
      </c>
      <c r="P460" s="4">
        <f t="shared" si="58"/>
        <v>5.8651026392961825E-3</v>
      </c>
      <c r="Q460" s="4">
        <f t="shared" si="58"/>
        <v>-3.9016777214201381E-3</v>
      </c>
      <c r="R460" s="4">
        <f t="shared" si="51"/>
        <v>8.1490234773131665E-3</v>
      </c>
      <c r="S460" s="4">
        <f t="shared" si="52"/>
        <v>7.812499999999778E-3</v>
      </c>
      <c r="T460" s="4">
        <f t="shared" si="53"/>
        <v>-6.4459710973933104E-3</v>
      </c>
      <c r="U460" s="4">
        <f t="shared" si="54"/>
        <v>2.9409909828341796E-3</v>
      </c>
      <c r="V460" s="4">
        <f t="shared" si="55"/>
        <v>-1.4752102487379126E-2</v>
      </c>
      <c r="W460" s="4">
        <f t="shared" si="56"/>
        <v>-1.3146734520780301E-2</v>
      </c>
    </row>
    <row r="461" spans="1:23" x14ac:dyDescent="0.25">
      <c r="A461" s="1">
        <v>45258</v>
      </c>
      <c r="B461">
        <v>4347.5</v>
      </c>
      <c r="C461">
        <v>8.9600000000000009</v>
      </c>
      <c r="D461">
        <v>6.25</v>
      </c>
      <c r="E461">
        <v>3.4099999999999998E-2</v>
      </c>
      <c r="F461">
        <v>12.815</v>
      </c>
      <c r="G461">
        <v>16.924849999999999</v>
      </c>
      <c r="H461">
        <v>8.9600000000000009</v>
      </c>
      <c r="I461">
        <v>34.130001</v>
      </c>
      <c r="J461">
        <v>3.2030020000000001</v>
      </c>
      <c r="K461">
        <v>31.860001</v>
      </c>
      <c r="L461">
        <v>23.58</v>
      </c>
      <c r="M461" s="4">
        <f t="shared" si="57"/>
        <v>-3.8972913137937937E-3</v>
      </c>
      <c r="N461" s="4">
        <f t="shared" si="57"/>
        <v>-2.2271714922048602E-3</v>
      </c>
      <c r="O461" s="4">
        <f t="shared" si="58"/>
        <v>8.0645161290322509E-3</v>
      </c>
      <c r="P461" s="4">
        <f t="shared" si="58"/>
        <v>-2.5714285714285801E-2</v>
      </c>
      <c r="Q461" s="4">
        <f t="shared" si="58"/>
        <v>-1.1188271604938405E-2</v>
      </c>
      <c r="R461" s="4">
        <f t="shared" si="51"/>
        <v>-2.0524604148093428E-2</v>
      </c>
      <c r="S461" s="4">
        <f t="shared" si="52"/>
        <v>-1.5600966820478956E-2</v>
      </c>
      <c r="T461" s="4">
        <f t="shared" si="53"/>
        <v>-2.0467835658835032E-3</v>
      </c>
      <c r="U461" s="4">
        <f t="shared" si="54"/>
        <v>-5.0817522229559264E-3</v>
      </c>
      <c r="V461" s="4">
        <f t="shared" si="55"/>
        <v>-4.3749687499999856E-3</v>
      </c>
      <c r="W461" s="4">
        <f t="shared" si="56"/>
        <v>-3.3606557377049207E-2</v>
      </c>
    </row>
    <row r="462" spans="1:23" x14ac:dyDescent="0.25">
      <c r="A462" s="1">
        <v>45259</v>
      </c>
      <c r="B462">
        <v>4364.5097660000001</v>
      </c>
      <c r="C462">
        <v>8.98</v>
      </c>
      <c r="D462">
        <v>6.2</v>
      </c>
      <c r="E462">
        <v>3.5000000000000003E-2</v>
      </c>
      <c r="F462">
        <v>12.96</v>
      </c>
      <c r="G462">
        <v>17.279505</v>
      </c>
      <c r="H462">
        <v>9.1020000000000003</v>
      </c>
      <c r="I462">
        <v>34.200001</v>
      </c>
      <c r="J462">
        <v>3.2193619999999998</v>
      </c>
      <c r="K462">
        <v>32</v>
      </c>
      <c r="L462">
        <v>24.4</v>
      </c>
      <c r="M462" s="4">
        <f t="shared" si="57"/>
        <v>-3.3112508934285412E-3</v>
      </c>
      <c r="N462" s="4">
        <f t="shared" si="57"/>
        <v>2.7459954233409745E-2</v>
      </c>
      <c r="O462" s="4">
        <f t="shared" si="58"/>
        <v>3.2362459546926292E-3</v>
      </c>
      <c r="P462" s="4">
        <f t="shared" si="58"/>
        <v>-5.9139784946236396E-2</v>
      </c>
      <c r="Q462" s="4">
        <f t="shared" si="58"/>
        <v>5.8207217694994373E-3</v>
      </c>
      <c r="R462" s="4">
        <f t="shared" si="51"/>
        <v>-6.7949700541255487E-3</v>
      </c>
      <c r="S462" s="4">
        <f t="shared" si="52"/>
        <v>7.9734219269103068E-3</v>
      </c>
      <c r="T462" s="4">
        <f t="shared" si="53"/>
        <v>-1.9495412285108538E-2</v>
      </c>
      <c r="U462" s="4">
        <f t="shared" si="54"/>
        <v>9.0117591970686473E-3</v>
      </c>
      <c r="V462" s="4">
        <f t="shared" si="55"/>
        <v>-2.4938277746989757E-3</v>
      </c>
      <c r="W462" s="4">
        <f t="shared" si="56"/>
        <v>-2.8606049391339816E-3</v>
      </c>
    </row>
    <row r="463" spans="1:23" x14ac:dyDescent="0.25">
      <c r="A463" s="1">
        <v>45260</v>
      </c>
      <c r="B463">
        <v>4379.0097660000001</v>
      </c>
      <c r="C463">
        <v>8.74</v>
      </c>
      <c r="D463">
        <v>6.18</v>
      </c>
      <c r="E463">
        <v>3.7199999999999997E-2</v>
      </c>
      <c r="F463">
        <v>12.885</v>
      </c>
      <c r="G463">
        <v>17.397722000000002</v>
      </c>
      <c r="H463">
        <v>9.0299999999999994</v>
      </c>
      <c r="I463">
        <v>34.880001</v>
      </c>
      <c r="J463">
        <v>3.1906089999999998</v>
      </c>
      <c r="K463">
        <v>32.080002</v>
      </c>
      <c r="L463">
        <v>24.469999000000001</v>
      </c>
      <c r="M463" s="4">
        <f t="shared" si="57"/>
        <v>-8.5156409208105854E-3</v>
      </c>
      <c r="N463" s="4">
        <f t="shared" si="57"/>
        <v>-3.104212860310418E-2</v>
      </c>
      <c r="O463" s="4">
        <f t="shared" si="58"/>
        <v>1.6207455429497752E-3</v>
      </c>
      <c r="P463" s="4">
        <f t="shared" si="58"/>
        <v>0</v>
      </c>
      <c r="Q463" s="4">
        <f t="shared" si="58"/>
        <v>-1.2643678160919603E-2</v>
      </c>
      <c r="R463" s="4">
        <f t="shared" si="51"/>
        <v>-5.6306393197577131E-3</v>
      </c>
      <c r="S463" s="4">
        <f t="shared" si="52"/>
        <v>-1.4407334643091185E-2</v>
      </c>
      <c r="T463" s="4">
        <f t="shared" si="53"/>
        <v>-7.3989188218247515E-3</v>
      </c>
      <c r="U463" s="4">
        <f t="shared" si="54"/>
        <v>3.5864289428149121E-3</v>
      </c>
      <c r="V463" s="4">
        <f t="shared" si="55"/>
        <v>-1.2315209359605839E-2</v>
      </c>
      <c r="W463" s="4">
        <f t="shared" si="56"/>
        <v>-1.5687931790509535E-2</v>
      </c>
    </row>
    <row r="464" spans="1:23" x14ac:dyDescent="0.25">
      <c r="A464" s="1">
        <v>45261</v>
      </c>
      <c r="B464">
        <v>4416.6201170000004</v>
      </c>
      <c r="C464">
        <v>9.02</v>
      </c>
      <c r="D464">
        <v>6.17</v>
      </c>
      <c r="E464">
        <v>3.7199999999999997E-2</v>
      </c>
      <c r="F464">
        <v>13.05</v>
      </c>
      <c r="G464">
        <v>17.496237000000001</v>
      </c>
      <c r="H464">
        <v>9.1620000000000008</v>
      </c>
      <c r="I464">
        <v>35.139999000000003</v>
      </c>
      <c r="J464">
        <v>3.1792069999999999</v>
      </c>
      <c r="K464">
        <v>32.479999999999997</v>
      </c>
      <c r="L464">
        <v>24.860001</v>
      </c>
      <c r="M464" s="4">
        <f t="shared" si="57"/>
        <v>1.3620936211798051E-2</v>
      </c>
      <c r="N464" s="4">
        <f t="shared" si="57"/>
        <v>-4.4150110375277274E-3</v>
      </c>
      <c r="O464" s="4">
        <f t="shared" si="58"/>
        <v>-9.6308186195827039E-3</v>
      </c>
      <c r="P464" s="4">
        <f t="shared" si="58"/>
        <v>1.6393442622950616E-2</v>
      </c>
      <c r="Q464" s="4">
        <f t="shared" si="58"/>
        <v>-1.6949152542372836E-2</v>
      </c>
      <c r="R464" s="4">
        <f t="shared" si="51"/>
        <v>-1.1249751797532959E-3</v>
      </c>
      <c r="S464" s="4">
        <f t="shared" si="52"/>
        <v>7.9207920792079278E-3</v>
      </c>
      <c r="T464" s="4">
        <f t="shared" si="53"/>
        <v>1.3556418434174766E-2</v>
      </c>
      <c r="U464" s="4">
        <f t="shared" si="54"/>
        <v>6.9546617791669485E-2</v>
      </c>
      <c r="V464" s="4">
        <f t="shared" si="55"/>
        <v>1.4366021236726922E-2</v>
      </c>
      <c r="W464" s="4">
        <f t="shared" si="56"/>
        <v>1.6353312197600722E-2</v>
      </c>
    </row>
    <row r="465" spans="1:23" x14ac:dyDescent="0.25">
      <c r="A465" s="1">
        <v>45264</v>
      </c>
      <c r="B465">
        <v>4357.2700199999999</v>
      </c>
      <c r="C465">
        <v>9.06</v>
      </c>
      <c r="D465">
        <v>6.23</v>
      </c>
      <c r="E465">
        <v>3.6600000000000001E-2</v>
      </c>
      <c r="F465">
        <v>13.275</v>
      </c>
      <c r="G465">
        <v>17.515941999999999</v>
      </c>
      <c r="H465">
        <v>9.09</v>
      </c>
      <c r="I465">
        <v>34.669998</v>
      </c>
      <c r="J465">
        <v>2.9724810000000002</v>
      </c>
      <c r="K465">
        <v>32.020000000000003</v>
      </c>
      <c r="L465">
        <v>24.459999</v>
      </c>
      <c r="M465" s="4">
        <f t="shared" si="57"/>
        <v>2.2011234838605898E-3</v>
      </c>
      <c r="N465" s="4">
        <f t="shared" si="57"/>
        <v>-4.395604395604269E-3</v>
      </c>
      <c r="O465" s="4">
        <f t="shared" si="58"/>
        <v>4.8387096774193949E-3</v>
      </c>
      <c r="P465" s="4">
        <f t="shared" si="58"/>
        <v>5.494505494505475E-3</v>
      </c>
      <c r="Q465" s="4">
        <f t="shared" si="58"/>
        <v>-4.1260315078769372E-3</v>
      </c>
      <c r="R465" s="4">
        <f t="shared" si="51"/>
        <v>-1.5503676416862233E-2</v>
      </c>
      <c r="S465" s="4">
        <f t="shared" si="52"/>
        <v>1.0000000000000009E-2</v>
      </c>
      <c r="T465" s="4">
        <f t="shared" si="53"/>
        <v>-3.4493531632837637E-3</v>
      </c>
      <c r="U465" s="4">
        <f t="shared" si="54"/>
        <v>6.3120619628926455E-2</v>
      </c>
      <c r="V465" s="4">
        <f t="shared" si="55"/>
        <v>3.7617554858935254E-3</v>
      </c>
      <c r="W465" s="4">
        <f t="shared" si="56"/>
        <v>-1.370967797216438E-2</v>
      </c>
    </row>
    <row r="466" spans="1:23" x14ac:dyDescent="0.25">
      <c r="A466" s="1">
        <v>45265</v>
      </c>
      <c r="B466">
        <v>4347.7001950000003</v>
      </c>
      <c r="C466">
        <v>9.1</v>
      </c>
      <c r="D466">
        <v>6.2</v>
      </c>
      <c r="E466">
        <v>3.6400000000000002E-2</v>
      </c>
      <c r="F466">
        <v>13.33</v>
      </c>
      <c r="G466">
        <v>17.791779999999999</v>
      </c>
      <c r="H466">
        <v>9</v>
      </c>
      <c r="I466">
        <v>34.790000999999997</v>
      </c>
      <c r="J466">
        <v>2.7959960000000001</v>
      </c>
      <c r="K466">
        <v>31.9</v>
      </c>
      <c r="L466">
        <v>24.799999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1:23" x14ac:dyDescent="0.25">
      <c r="A467" s="1">
        <v>45266</v>
      </c>
      <c r="B467">
        <v>4347.7001950000003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1:23" x14ac:dyDescent="0.25">
      <c r="A468" s="1">
        <v>45267</v>
      </c>
      <c r="B468">
        <v>4397.8598629999997</v>
      </c>
      <c r="C468">
        <v>9.23</v>
      </c>
      <c r="D468">
        <v>6.16</v>
      </c>
      <c r="E468">
        <v>3.6900000000000002E-2</v>
      </c>
      <c r="F468">
        <v>13.55</v>
      </c>
      <c r="G468">
        <v>17.850891000000001</v>
      </c>
      <c r="H468">
        <v>9.0739999999999998</v>
      </c>
      <c r="I468">
        <v>34.93</v>
      </c>
      <c r="J468">
        <v>2.8544939999999999</v>
      </c>
      <c r="K468">
        <v>32.639999000000003</v>
      </c>
      <c r="L468">
        <v>25.1</v>
      </c>
      <c r="M468" s="4">
        <f t="shared" si="57"/>
        <v>-1.0015022233396342E-2</v>
      </c>
      <c r="N468" s="4">
        <f t="shared" si="57"/>
        <v>-1.7039403620873306E-2</v>
      </c>
      <c r="O468" s="4">
        <f t="shared" si="58"/>
        <v>4.8939641109297938E-3</v>
      </c>
      <c r="P468" s="4">
        <f t="shared" si="58"/>
        <v>-1.8617021276595702E-2</v>
      </c>
      <c r="Q468" s="4">
        <f t="shared" si="58"/>
        <v>7.3855243722320552E-4</v>
      </c>
      <c r="R468" s="4">
        <f t="shared" si="51"/>
        <v>-3.3003350083751215E-3</v>
      </c>
      <c r="S468" s="4">
        <f t="shared" si="52"/>
        <v>6.4330079858030409E-3</v>
      </c>
      <c r="T468" s="4">
        <f t="shared" si="53"/>
        <v>-8.2339861375927414E-3</v>
      </c>
      <c r="U468" s="4">
        <f t="shared" si="54"/>
        <v>-3.5510975837209968E-2</v>
      </c>
      <c r="V468" s="4">
        <f t="shared" si="55"/>
        <v>-2.6833690315035907E-2</v>
      </c>
      <c r="W468" s="4">
        <f t="shared" si="56"/>
        <v>-1.72279163184057E-2</v>
      </c>
    </row>
    <row r="469" spans="1:23" x14ac:dyDescent="0.25">
      <c r="A469" s="1">
        <v>45268</v>
      </c>
      <c r="B469">
        <v>4442.3500979999999</v>
      </c>
      <c r="C469">
        <v>9.39</v>
      </c>
      <c r="D469">
        <v>6.13</v>
      </c>
      <c r="E469">
        <v>3.7600000000000001E-2</v>
      </c>
      <c r="F469">
        <v>13.54</v>
      </c>
      <c r="G469">
        <v>17.91</v>
      </c>
      <c r="H469">
        <v>9.016</v>
      </c>
      <c r="I469">
        <v>35.220001000000003</v>
      </c>
      <c r="J469">
        <v>2.9595919999999998</v>
      </c>
      <c r="K469">
        <v>33.540000999999997</v>
      </c>
      <c r="L469">
        <v>25.540001</v>
      </c>
      <c r="M469" s="4">
        <f t="shared" si="57"/>
        <v>3.5920212132871665E-3</v>
      </c>
      <c r="N469" s="4">
        <f t="shared" si="57"/>
        <v>-3.1847133757960666E-3</v>
      </c>
      <c r="O469" s="4">
        <f t="shared" si="58"/>
        <v>3.2733224222585289E-3</v>
      </c>
      <c r="P469" s="4">
        <f t="shared" si="58"/>
        <v>0</v>
      </c>
      <c r="Q469" s="4">
        <f t="shared" si="58"/>
        <v>2.8484618306114706E-2</v>
      </c>
      <c r="R469" s="4">
        <f t="shared" ref="R469:R510" si="59">G469/G470-1</f>
        <v>2.7994959238804018E-3</v>
      </c>
      <c r="S469" s="4">
        <f t="shared" ref="S469:S510" si="60">H469/H470-1</f>
        <v>7.3743016759777458E-3</v>
      </c>
      <c r="T469" s="4">
        <f t="shared" ref="T469:T510" si="61">I469/I470-1</f>
        <v>0</v>
      </c>
      <c r="U469" s="4">
        <f t="shared" ref="U469:U510" si="62">J469/J470-1</f>
        <v>1.4615911507810386E-2</v>
      </c>
      <c r="V469" s="4">
        <f t="shared" ref="V469:V510" si="63">K469/K470-1</f>
        <v>5.9988302339530897E-3</v>
      </c>
      <c r="W469" s="4">
        <f t="shared" ref="W469:W510" si="64">L469/L470-1</f>
        <v>7.8926992896606318E-3</v>
      </c>
    </row>
    <row r="470" spans="1:23" x14ac:dyDescent="0.25">
      <c r="A470" s="1">
        <v>45271</v>
      </c>
      <c r="B470">
        <v>4426.4501950000003</v>
      </c>
      <c r="C470">
        <v>9.42</v>
      </c>
      <c r="D470">
        <v>6.11</v>
      </c>
      <c r="E470">
        <v>3.7600000000000001E-2</v>
      </c>
      <c r="F470">
        <v>13.164999999999999</v>
      </c>
      <c r="G470">
        <v>17.860001</v>
      </c>
      <c r="H470">
        <v>8.9499999999999993</v>
      </c>
      <c r="I470">
        <v>35.220001000000003</v>
      </c>
      <c r="J470">
        <v>2.9169580000000002</v>
      </c>
      <c r="K470">
        <v>33.340000000000003</v>
      </c>
      <c r="L470">
        <v>25.34</v>
      </c>
      <c r="M470" s="4">
        <f t="shared" si="57"/>
        <v>7.7337210766297293E-3</v>
      </c>
      <c r="N470" s="4">
        <f t="shared" si="57"/>
        <v>-1.0604453870625141E-3</v>
      </c>
      <c r="O470" s="4">
        <f t="shared" si="58"/>
        <v>2.1739130434782483E-2</v>
      </c>
      <c r="P470" s="4">
        <f t="shared" si="58"/>
        <v>0</v>
      </c>
      <c r="Q470" s="4">
        <f t="shared" si="58"/>
        <v>2.3319082782743861E-2</v>
      </c>
      <c r="R470" s="4">
        <f t="shared" si="59"/>
        <v>2.4082567426458423E-2</v>
      </c>
      <c r="S470" s="4">
        <f t="shared" si="60"/>
        <v>2.4261844815747224E-2</v>
      </c>
      <c r="T470" s="4">
        <f t="shared" si="61"/>
        <v>1.527823624324709E-2</v>
      </c>
      <c r="U470" s="4">
        <f t="shared" si="62"/>
        <v>-2.2753716654801304E-2</v>
      </c>
      <c r="V470" s="4">
        <f t="shared" si="63"/>
        <v>1.7704579835444489E-2</v>
      </c>
      <c r="W470" s="4">
        <f t="shared" si="64"/>
        <v>8.3565860866130492E-3</v>
      </c>
    </row>
    <row r="471" spans="1:23" x14ac:dyDescent="0.25">
      <c r="A471" s="1">
        <v>45272</v>
      </c>
      <c r="B471">
        <v>4392.4799800000001</v>
      </c>
      <c r="C471">
        <v>9.43</v>
      </c>
      <c r="D471">
        <v>5.98</v>
      </c>
      <c r="E471">
        <v>3.7600000000000001E-2</v>
      </c>
      <c r="F471">
        <v>12.865</v>
      </c>
      <c r="G471">
        <v>17.440000999999999</v>
      </c>
      <c r="H471">
        <v>8.7379999999999995</v>
      </c>
      <c r="I471">
        <v>34.689999</v>
      </c>
      <c r="J471">
        <v>2.9848750000000002</v>
      </c>
      <c r="K471">
        <v>32.759998000000003</v>
      </c>
      <c r="L471">
        <v>25.129999000000002</v>
      </c>
      <c r="M471" s="4">
        <f t="shared" si="57"/>
        <v>5.6872457942611643E-3</v>
      </c>
      <c r="N471" s="4">
        <f t="shared" si="57"/>
        <v>2.1253985122209329E-3</v>
      </c>
      <c r="O471" s="4">
        <f t="shared" si="58"/>
        <v>-3.3333333333332993E-3</v>
      </c>
      <c r="P471" s="4">
        <f t="shared" si="58"/>
        <v>2.6666666666668171E-3</v>
      </c>
      <c r="Q471" s="4">
        <f t="shared" si="58"/>
        <v>-3.4856700232377413E-3</v>
      </c>
      <c r="R471" s="4">
        <f t="shared" si="59"/>
        <v>4.6082946654206758E-3</v>
      </c>
      <c r="S471" s="4">
        <f t="shared" si="60"/>
        <v>3.2372400756143671E-2</v>
      </c>
      <c r="T471" s="4">
        <f t="shared" si="61"/>
        <v>1.1543145076875483E-3</v>
      </c>
      <c r="U471" s="4">
        <f t="shared" si="62"/>
        <v>1.5174518698699346E-2</v>
      </c>
      <c r="V471" s="4">
        <f t="shared" si="63"/>
        <v>-3.0521818736650719E-4</v>
      </c>
      <c r="W471" s="4">
        <f t="shared" si="64"/>
        <v>1.4943416801292297E-2</v>
      </c>
    </row>
    <row r="472" spans="1:23" x14ac:dyDescent="0.25">
      <c r="A472" s="1">
        <v>45273</v>
      </c>
      <c r="B472">
        <v>4367.6401370000003</v>
      </c>
      <c r="C472">
        <v>9.41</v>
      </c>
      <c r="D472">
        <v>6</v>
      </c>
      <c r="E472">
        <v>3.7499999999999999E-2</v>
      </c>
      <c r="F472">
        <v>12.91</v>
      </c>
      <c r="G472">
        <v>17.360001</v>
      </c>
      <c r="H472">
        <v>8.4640000000000004</v>
      </c>
      <c r="I472">
        <v>34.650002000000001</v>
      </c>
      <c r="J472">
        <v>2.940258</v>
      </c>
      <c r="K472">
        <v>32.770000000000003</v>
      </c>
      <c r="L472">
        <v>24.76</v>
      </c>
      <c r="M472" s="4">
        <f t="shared" si="57"/>
        <v>-1.7903075869033835E-2</v>
      </c>
      <c r="N472" s="4">
        <f t="shared" si="57"/>
        <v>-3.1779661016948513E-3</v>
      </c>
      <c r="O472" s="4">
        <f t="shared" si="58"/>
        <v>-6.6225165562914245E-3</v>
      </c>
      <c r="P472" s="4">
        <f t="shared" si="58"/>
        <v>-7.9365079365080193E-3</v>
      </c>
      <c r="Q472" s="4">
        <f t="shared" si="58"/>
        <v>-1.8250950570342206E-2</v>
      </c>
      <c r="R472" s="4">
        <f t="shared" si="59"/>
        <v>-2.1420462232243365E-2</v>
      </c>
      <c r="S472" s="4">
        <f t="shared" si="60"/>
        <v>-4.3831902394938949E-2</v>
      </c>
      <c r="T472" s="4">
        <f t="shared" si="61"/>
        <v>-1.1529836019885664E-3</v>
      </c>
      <c r="U472" s="4">
        <f t="shared" si="62"/>
        <v>-3.9514311287656589E-2</v>
      </c>
      <c r="V472" s="4">
        <f t="shared" si="63"/>
        <v>-8.4719821020265984E-3</v>
      </c>
      <c r="W472" s="4">
        <f t="shared" si="64"/>
        <v>-3.544994156603043E-2</v>
      </c>
    </row>
    <row r="473" spans="1:23" x14ac:dyDescent="0.25">
      <c r="A473" s="1">
        <v>45274</v>
      </c>
      <c r="B473">
        <v>4447.2597660000001</v>
      </c>
      <c r="C473">
        <v>9.44</v>
      </c>
      <c r="D473">
        <v>6.04</v>
      </c>
      <c r="E473">
        <v>3.78E-2</v>
      </c>
      <c r="F473">
        <v>13.15</v>
      </c>
      <c r="G473">
        <v>17.739999999999998</v>
      </c>
      <c r="H473">
        <v>8.8520000000000003</v>
      </c>
      <c r="I473">
        <v>34.689999</v>
      </c>
      <c r="J473">
        <v>3.0612200000000001</v>
      </c>
      <c r="K473">
        <v>33.049999</v>
      </c>
      <c r="L473">
        <v>25.67</v>
      </c>
      <c r="M473" s="4">
        <f t="shared" si="57"/>
        <v>3.0877921276648568E-3</v>
      </c>
      <c r="N473" s="4">
        <f t="shared" si="57"/>
        <v>8.5470085470085166E-3</v>
      </c>
      <c r="O473" s="4">
        <f t="shared" si="58"/>
        <v>-1.6528925619834212E-3</v>
      </c>
      <c r="P473" s="4">
        <f t="shared" si="58"/>
        <v>0</v>
      </c>
      <c r="Q473" s="4">
        <f t="shared" si="58"/>
        <v>-3.7878787878786735E-3</v>
      </c>
      <c r="R473" s="4">
        <f t="shared" si="59"/>
        <v>1.1402450889255844E-2</v>
      </c>
      <c r="S473" s="4">
        <f t="shared" si="60"/>
        <v>-2.4895351398986465E-2</v>
      </c>
      <c r="T473" s="4">
        <f t="shared" si="61"/>
        <v>5.0893701962659854E-2</v>
      </c>
      <c r="U473" s="4">
        <f t="shared" si="62"/>
        <v>2.5747735123454518E-2</v>
      </c>
      <c r="V473" s="4">
        <f t="shared" si="63"/>
        <v>-9.8862189968178527E-3</v>
      </c>
      <c r="W473" s="4">
        <f t="shared" si="64"/>
        <v>-1.6475095785440597E-2</v>
      </c>
    </row>
    <row r="474" spans="1:23" x14ac:dyDescent="0.25">
      <c r="A474" s="1">
        <v>45275</v>
      </c>
      <c r="B474">
        <v>4433.5698240000002</v>
      </c>
      <c r="C474">
        <v>9.36</v>
      </c>
      <c r="D474">
        <v>6.05</v>
      </c>
      <c r="E474">
        <v>3.78E-2</v>
      </c>
      <c r="F474">
        <v>13.2</v>
      </c>
      <c r="G474">
        <v>17.540001</v>
      </c>
      <c r="H474">
        <v>9.0779999999999994</v>
      </c>
      <c r="I474">
        <v>33.009998000000003</v>
      </c>
      <c r="J474">
        <v>2.9843790000000001</v>
      </c>
      <c r="K474">
        <v>33.380001</v>
      </c>
      <c r="L474">
        <v>26.1</v>
      </c>
      <c r="M474" s="4">
        <f t="shared" si="57"/>
        <v>-2.4256131407943693E-3</v>
      </c>
      <c r="N474" s="4">
        <f t="shared" si="57"/>
        <v>-4.2553191489362874E-3</v>
      </c>
      <c r="O474" s="4">
        <f t="shared" si="58"/>
        <v>8.3333333333333037E-3</v>
      </c>
      <c r="P474" s="4">
        <f t="shared" si="58"/>
        <v>2.6525198938993633E-3</v>
      </c>
      <c r="Q474" s="4">
        <f t="shared" si="58"/>
        <v>8.0183276059564434E-3</v>
      </c>
      <c r="R474" s="4">
        <f t="shared" si="59"/>
        <v>2.2857714285713371E-3</v>
      </c>
      <c r="S474" s="4">
        <f t="shared" si="60"/>
        <v>-1.5398152221735018E-3</v>
      </c>
      <c r="T474" s="4">
        <f t="shared" si="61"/>
        <v>-1.814393710311335E-3</v>
      </c>
      <c r="U474" s="4">
        <f t="shared" si="62"/>
        <v>7.1939071157109957E-3</v>
      </c>
      <c r="V474" s="4">
        <f t="shared" si="63"/>
        <v>-1.1841267372447173E-2</v>
      </c>
      <c r="W474" s="4">
        <f t="shared" si="64"/>
        <v>2.5137510806658048E-2</v>
      </c>
    </row>
    <row r="475" spans="1:23" x14ac:dyDescent="0.25">
      <c r="A475" s="1">
        <v>45278</v>
      </c>
      <c r="B475">
        <v>4444.3500979999999</v>
      </c>
      <c r="C475">
        <v>9.4</v>
      </c>
      <c r="D475">
        <v>6</v>
      </c>
      <c r="E475">
        <v>3.7699999999999997E-2</v>
      </c>
      <c r="F475">
        <v>13.095000000000001</v>
      </c>
      <c r="G475">
        <v>17.5</v>
      </c>
      <c r="H475">
        <v>9.0920000000000005</v>
      </c>
      <c r="I475">
        <v>33.07</v>
      </c>
      <c r="J475">
        <v>2.963063</v>
      </c>
      <c r="K475">
        <v>33.779998999999997</v>
      </c>
      <c r="L475">
        <v>25.459999</v>
      </c>
      <c r="M475" s="4">
        <f t="shared" si="57"/>
        <v>-9.2557336519069056E-3</v>
      </c>
      <c r="N475" s="4">
        <f t="shared" si="57"/>
        <v>-4.237288135593098E-3</v>
      </c>
      <c r="O475" s="4">
        <f t="shared" si="58"/>
        <v>3.3444816053511683E-3</v>
      </c>
      <c r="P475" s="4">
        <f t="shared" si="58"/>
        <v>-1.0498687664042161E-2</v>
      </c>
      <c r="Q475" s="4">
        <f t="shared" si="58"/>
        <v>6.5334358186011077E-3</v>
      </c>
      <c r="R475" s="4">
        <f t="shared" si="59"/>
        <v>-7.9364516970776844E-3</v>
      </c>
      <c r="S475" s="4">
        <f t="shared" si="60"/>
        <v>-2.2785898538263072E-2</v>
      </c>
      <c r="T475" s="4">
        <f t="shared" si="61"/>
        <v>-1.4013148061623348E-2</v>
      </c>
      <c r="U475" s="4">
        <f t="shared" si="62"/>
        <v>-1.6778779597216409E-2</v>
      </c>
      <c r="V475" s="4">
        <f t="shared" si="63"/>
        <v>-9.0936051628045522E-3</v>
      </c>
      <c r="W475" s="4">
        <f t="shared" si="64"/>
        <v>-1.4705921052631576E-2</v>
      </c>
    </row>
    <row r="476" spans="1:23" x14ac:dyDescent="0.25">
      <c r="A476" s="1">
        <v>45279</v>
      </c>
      <c r="B476">
        <v>4485.8701170000004</v>
      </c>
      <c r="C476">
        <v>9.44</v>
      </c>
      <c r="D476">
        <v>5.98</v>
      </c>
      <c r="E476">
        <v>3.8100000000000002E-2</v>
      </c>
      <c r="F476">
        <v>13.01</v>
      </c>
      <c r="G476">
        <v>17.639999</v>
      </c>
      <c r="H476">
        <v>9.3040000000000003</v>
      </c>
      <c r="I476">
        <v>33.540000999999997</v>
      </c>
      <c r="J476">
        <v>3.0136280000000002</v>
      </c>
      <c r="K476">
        <v>34.090000000000003</v>
      </c>
      <c r="L476">
        <v>25.84</v>
      </c>
      <c r="M476" s="4">
        <f t="shared" si="57"/>
        <v>-2.1465598989812706E-3</v>
      </c>
      <c r="N476" s="4">
        <f t="shared" si="57"/>
        <v>1.0604453870626251E-3</v>
      </c>
      <c r="O476" s="4">
        <f t="shared" si="58"/>
        <v>-6.6445182724250706E-3</v>
      </c>
      <c r="P476" s="4">
        <f t="shared" si="58"/>
        <v>5.2770448548813409E-3</v>
      </c>
      <c r="Q476" s="4">
        <f t="shared" si="58"/>
        <v>4.6332046332047128E-3</v>
      </c>
      <c r="R476" s="4">
        <f t="shared" si="59"/>
        <v>-1.121081838565019E-2</v>
      </c>
      <c r="S476" s="4">
        <f t="shared" si="60"/>
        <v>2.5862068965518681E-3</v>
      </c>
      <c r="T476" s="4">
        <f t="shared" si="61"/>
        <v>1.6363666666666665E-2</v>
      </c>
      <c r="U476" s="4">
        <f t="shared" si="62"/>
        <v>-2.9524719508547959E-3</v>
      </c>
      <c r="V476" s="4">
        <f t="shared" si="63"/>
        <v>2.057613168724215E-3</v>
      </c>
      <c r="W476" s="4">
        <f t="shared" si="64"/>
        <v>2.7163368257663301E-3</v>
      </c>
    </row>
    <row r="477" spans="1:23" x14ac:dyDescent="0.25">
      <c r="A477" s="1">
        <v>45280</v>
      </c>
      <c r="B477">
        <v>4495.5200199999999</v>
      </c>
      <c r="C477">
        <v>9.43</v>
      </c>
      <c r="D477">
        <v>6.02</v>
      </c>
      <c r="E477">
        <v>3.7900000000000003E-2</v>
      </c>
      <c r="F477">
        <v>12.95</v>
      </c>
      <c r="G477">
        <v>17.84</v>
      </c>
      <c r="H477">
        <v>9.2799999999999994</v>
      </c>
      <c r="I477">
        <v>33</v>
      </c>
      <c r="J477">
        <v>3.0225520000000001</v>
      </c>
      <c r="K477">
        <v>34.020000000000003</v>
      </c>
      <c r="L477">
        <v>25.77</v>
      </c>
      <c r="M477" s="4">
        <f t="shared" si="57"/>
        <v>3.7533261020203934E-3</v>
      </c>
      <c r="N477" s="4">
        <f t="shared" si="57"/>
        <v>7.4786324786324521E-3</v>
      </c>
      <c r="O477" s="4">
        <f t="shared" si="58"/>
        <v>3.3333333333331883E-3</v>
      </c>
      <c r="P477" s="4">
        <f t="shared" si="58"/>
        <v>7.9787234042554278E-3</v>
      </c>
      <c r="Q477" s="4">
        <f t="shared" si="58"/>
        <v>-4.9942374183635785E-3</v>
      </c>
      <c r="R477" s="4">
        <f t="shared" si="59"/>
        <v>-4.4642857142858094E-3</v>
      </c>
      <c r="S477" s="4">
        <f t="shared" si="60"/>
        <v>1.0452961672473782E-2</v>
      </c>
      <c r="T477" s="4">
        <f t="shared" si="61"/>
        <v>2.3255813953488413E-2</v>
      </c>
      <c r="U477" s="4">
        <f t="shared" si="62"/>
        <v>1.2454398465048255E-2</v>
      </c>
      <c r="V477" s="4">
        <f t="shared" si="63"/>
        <v>-2.9308031339624341E-3</v>
      </c>
      <c r="W477" s="4">
        <f t="shared" si="64"/>
        <v>-7.7011554755932465E-3</v>
      </c>
    </row>
    <row r="478" spans="1:23" x14ac:dyDescent="0.25">
      <c r="A478" s="1">
        <v>45281</v>
      </c>
      <c r="B478">
        <v>4478.7099609999996</v>
      </c>
      <c r="C478">
        <v>9.36</v>
      </c>
      <c r="D478">
        <v>6</v>
      </c>
      <c r="E478">
        <v>3.7600000000000001E-2</v>
      </c>
      <c r="F478">
        <v>13.015000000000001</v>
      </c>
      <c r="G478">
        <v>17.920000000000002</v>
      </c>
      <c r="H478">
        <v>9.1839999999999993</v>
      </c>
      <c r="I478">
        <v>32.25</v>
      </c>
      <c r="J478">
        <v>2.9853710000000002</v>
      </c>
      <c r="K478">
        <v>34.119999</v>
      </c>
      <c r="L478">
        <v>25.969999000000001</v>
      </c>
      <c r="M478" s="4">
        <f t="shared" si="57"/>
        <v>-9.4373671543139803E-3</v>
      </c>
      <c r="N478" s="4">
        <f t="shared" si="57"/>
        <v>-6.3694267515923553E-3</v>
      </c>
      <c r="O478" s="4">
        <f t="shared" si="58"/>
        <v>-3.3222591362125353E-3</v>
      </c>
      <c r="P478" s="4">
        <f t="shared" si="58"/>
        <v>-2.3376623376623273E-2</v>
      </c>
      <c r="Q478" s="4">
        <f t="shared" si="58"/>
        <v>-7.6248570339305655E-3</v>
      </c>
      <c r="R478" s="4">
        <f t="shared" si="59"/>
        <v>-1.1148828809985911E-3</v>
      </c>
      <c r="S478" s="4">
        <f t="shared" si="60"/>
        <v>-7.5642965204236745E-3</v>
      </c>
      <c r="T478" s="4">
        <f t="shared" si="61"/>
        <v>-3.7071054589775665E-3</v>
      </c>
      <c r="U478" s="4">
        <f t="shared" si="62"/>
        <v>-2.8396268724236062E-2</v>
      </c>
      <c r="V478" s="4">
        <f t="shared" si="63"/>
        <v>-6.11718577820064E-3</v>
      </c>
      <c r="W478" s="4">
        <f t="shared" si="64"/>
        <v>-2.1108254010242855E-2</v>
      </c>
    </row>
    <row r="479" spans="1:23" x14ac:dyDescent="0.25">
      <c r="A479" s="1">
        <v>45282</v>
      </c>
      <c r="B479">
        <v>4521.3798829999996</v>
      </c>
      <c r="C479">
        <v>9.42</v>
      </c>
      <c r="D479">
        <v>6.02</v>
      </c>
      <c r="E479">
        <v>3.85E-2</v>
      </c>
      <c r="F479">
        <v>13.115</v>
      </c>
      <c r="G479">
        <v>17.940000999999999</v>
      </c>
      <c r="H479">
        <v>9.2539999999999996</v>
      </c>
      <c r="I479">
        <v>32.369999</v>
      </c>
      <c r="J479">
        <v>3.072622</v>
      </c>
      <c r="K479">
        <v>34.330002</v>
      </c>
      <c r="L479">
        <v>26.530000999999999</v>
      </c>
      <c r="M479" s="4">
        <f t="shared" si="57"/>
        <v>-5.3894956819298123E-3</v>
      </c>
      <c r="N479" s="4">
        <f t="shared" si="57"/>
        <v>-6.3291139240506666E-3</v>
      </c>
      <c r="O479" s="4">
        <f t="shared" si="58"/>
        <v>3.3333333333331883E-3</v>
      </c>
      <c r="P479" s="4">
        <f t="shared" si="58"/>
        <v>7.8534031413612926E-3</v>
      </c>
      <c r="Q479" s="4">
        <f t="shared" si="58"/>
        <v>-1.6497937757780301E-2</v>
      </c>
      <c r="R479" s="4">
        <f t="shared" si="59"/>
        <v>-5.543236943279628E-3</v>
      </c>
      <c r="S479" s="4">
        <f t="shared" si="60"/>
        <v>-1.0055626872058299E-2</v>
      </c>
      <c r="T479" s="4">
        <f t="shared" si="61"/>
        <v>-1.5511009260614106E-2</v>
      </c>
      <c r="U479" s="4">
        <f t="shared" si="62"/>
        <v>5.8423288130877715E-3</v>
      </c>
      <c r="V479" s="4">
        <f t="shared" si="63"/>
        <v>-2.614642801548106E-3</v>
      </c>
      <c r="W479" s="4">
        <f t="shared" si="64"/>
        <v>-8.2242616822429948E-3</v>
      </c>
    </row>
    <row r="480" spans="1:23" x14ac:dyDescent="0.25">
      <c r="A480" s="1">
        <v>45287</v>
      </c>
      <c r="B480">
        <v>4545.8798829999996</v>
      </c>
      <c r="C480">
        <v>9.48</v>
      </c>
      <c r="D480">
        <v>6</v>
      </c>
      <c r="E480">
        <v>3.8199999999999998E-2</v>
      </c>
      <c r="F480">
        <v>13.335000000000001</v>
      </c>
      <c r="G480">
        <v>18.040001</v>
      </c>
      <c r="H480">
        <v>9.3480000000000008</v>
      </c>
      <c r="I480">
        <v>32.880001</v>
      </c>
      <c r="J480">
        <v>3.0547749999999998</v>
      </c>
      <c r="K480">
        <v>34.419998</v>
      </c>
      <c r="L480">
        <v>26.75</v>
      </c>
      <c r="M480" s="4">
        <f t="shared" si="57"/>
        <v>3.6738278696479831E-3</v>
      </c>
      <c r="N480" s="4">
        <f t="shared" si="57"/>
        <v>-1.0537407797681642E-3</v>
      </c>
      <c r="O480" s="4">
        <f t="shared" si="58"/>
        <v>1.6694490818029983E-3</v>
      </c>
      <c r="P480" s="4">
        <f t="shared" si="58"/>
        <v>-5.2083333333332593E-3</v>
      </c>
      <c r="Q480" s="4">
        <f t="shared" si="58"/>
        <v>9.8447557743279734E-3</v>
      </c>
      <c r="R480" s="4">
        <f t="shared" si="59"/>
        <v>-1.10730903141254E-3</v>
      </c>
      <c r="S480" s="4">
        <f t="shared" si="60"/>
        <v>7.1105365223012029E-3</v>
      </c>
      <c r="T480" s="4">
        <f t="shared" si="61"/>
        <v>1.4188865773526516E-2</v>
      </c>
      <c r="U480" s="4">
        <f t="shared" si="62"/>
        <v>1.137218337727619E-3</v>
      </c>
      <c r="V480" s="4">
        <f t="shared" si="63"/>
        <v>0</v>
      </c>
      <c r="W480" s="4">
        <f t="shared" si="64"/>
        <v>1.4410276283266077E-2</v>
      </c>
    </row>
    <row r="481" spans="1:23" x14ac:dyDescent="0.25">
      <c r="A481" s="1">
        <v>45288</v>
      </c>
      <c r="B481">
        <v>4529.2402339999999</v>
      </c>
      <c r="C481">
        <v>9.49</v>
      </c>
      <c r="D481">
        <v>5.99</v>
      </c>
      <c r="E481">
        <v>3.8399999999999997E-2</v>
      </c>
      <c r="F481">
        <v>13.205</v>
      </c>
      <c r="G481">
        <v>18.059999000000001</v>
      </c>
      <c r="H481">
        <v>9.282</v>
      </c>
      <c r="I481">
        <v>32.419998</v>
      </c>
      <c r="J481">
        <v>3.0513050000000002</v>
      </c>
      <c r="K481">
        <v>34.419998</v>
      </c>
      <c r="L481">
        <v>26.370000999999998</v>
      </c>
      <c r="M481" s="4">
        <f t="shared" si="57"/>
        <v>2.9384646860430852E-3</v>
      </c>
      <c r="N481" s="4">
        <f t="shared" si="57"/>
        <v>6.3626723223755288E-3</v>
      </c>
      <c r="O481" s="4">
        <f t="shared" si="58"/>
        <v>-1.6666666666665941E-3</v>
      </c>
      <c r="P481" s="4">
        <f t="shared" si="58"/>
        <v>-3.7593984962406068E-2</v>
      </c>
      <c r="Q481" s="4">
        <f t="shared" si="58"/>
        <v>9.1708062667175128E-3</v>
      </c>
      <c r="R481" s="4">
        <f t="shared" si="59"/>
        <v>3.333277777777921E-3</v>
      </c>
      <c r="S481" s="4">
        <f t="shared" si="60"/>
        <v>9.5714596475962033E-3</v>
      </c>
      <c r="T481" s="4">
        <f t="shared" si="61"/>
        <v>2.7836682472213159E-3</v>
      </c>
      <c r="U481" s="4">
        <f t="shared" si="62"/>
        <v>7.3651467350899225E-3</v>
      </c>
      <c r="V481" s="4">
        <f t="shared" si="63"/>
        <v>8.4968353795242813E-3</v>
      </c>
      <c r="W481" s="4">
        <f t="shared" si="64"/>
        <v>8.7988526701932024E-3</v>
      </c>
    </row>
    <row r="482" spans="1:23" x14ac:dyDescent="0.25">
      <c r="A482" s="1">
        <v>45289</v>
      </c>
      <c r="B482">
        <v>4515.9702150000003</v>
      </c>
      <c r="C482">
        <v>9.43</v>
      </c>
      <c r="D482">
        <v>6</v>
      </c>
      <c r="E482">
        <v>3.9899999999999998E-2</v>
      </c>
      <c r="F482">
        <v>13.085000000000001</v>
      </c>
      <c r="G482">
        <v>18</v>
      </c>
      <c r="H482">
        <v>9.1940000000000008</v>
      </c>
      <c r="I482">
        <v>32.330002</v>
      </c>
      <c r="J482">
        <v>3.0289959999999998</v>
      </c>
      <c r="K482">
        <v>34.130001</v>
      </c>
      <c r="L482">
        <v>26.139999</v>
      </c>
      <c r="M482" s="4">
        <f t="shared" si="57"/>
        <v>-4.6461006393998527E-3</v>
      </c>
      <c r="N482" s="4">
        <f t="shared" si="57"/>
        <v>-1.3598326359832713E-2</v>
      </c>
      <c r="O482" s="4">
        <f t="shared" si="58"/>
        <v>-3.2258064516129115E-2</v>
      </c>
      <c r="P482" s="4">
        <f t="shared" si="58"/>
        <v>1.0126582278480845E-2</v>
      </c>
      <c r="Q482" s="4">
        <f t="shared" si="58"/>
        <v>-9.0874668686102833E-3</v>
      </c>
      <c r="R482" s="4">
        <f t="shared" si="59"/>
        <v>-1.8538713195201728E-2</v>
      </c>
      <c r="S482" s="4">
        <f t="shared" si="60"/>
        <v>0</v>
      </c>
      <c r="T482" s="4">
        <f t="shared" si="61"/>
        <v>-4.6181650246304162E-3</v>
      </c>
      <c r="U482" s="4">
        <f t="shared" si="62"/>
        <v>-2.923422215085969E-2</v>
      </c>
      <c r="V482" s="4">
        <f t="shared" si="63"/>
        <v>-6.1152882935353592E-3</v>
      </c>
      <c r="W482" s="4">
        <f t="shared" si="64"/>
        <v>7.3216952862544815E-3</v>
      </c>
    </row>
    <row r="483" spans="1:23" x14ac:dyDescent="0.25">
      <c r="A483" s="1">
        <v>45293</v>
      </c>
      <c r="B483">
        <v>4537.0498049999997</v>
      </c>
      <c r="C483">
        <v>9.56</v>
      </c>
      <c r="D483">
        <v>6.2</v>
      </c>
      <c r="E483">
        <v>3.95E-2</v>
      </c>
      <c r="F483">
        <v>13.205</v>
      </c>
      <c r="G483">
        <v>18.34</v>
      </c>
      <c r="H483">
        <v>9.1940000000000008</v>
      </c>
      <c r="I483">
        <v>32.479999999999997</v>
      </c>
      <c r="J483">
        <v>3.1202130000000001</v>
      </c>
      <c r="K483">
        <v>34.340000000000003</v>
      </c>
      <c r="L483">
        <v>25.950001</v>
      </c>
      <c r="M483" s="4">
        <f t="shared" si="57"/>
        <v>1.1375291410313348E-2</v>
      </c>
      <c r="N483" s="4">
        <f t="shared" si="57"/>
        <v>7.3761854583773712E-3</v>
      </c>
      <c r="O483" s="4">
        <f t="shared" si="58"/>
        <v>8.1300813008129413E-3</v>
      </c>
      <c r="P483" s="4">
        <f t="shared" si="58"/>
        <v>4.2216358839050061E-2</v>
      </c>
      <c r="Q483" s="4">
        <f t="shared" si="58"/>
        <v>-4.1478129713423684E-3</v>
      </c>
      <c r="R483" s="4">
        <f t="shared" si="59"/>
        <v>8.8008800880088334E-3</v>
      </c>
      <c r="S483" s="4">
        <f t="shared" si="60"/>
        <v>3.4894191805493024E-2</v>
      </c>
      <c r="T483" s="4">
        <f t="shared" si="61"/>
        <v>2.1383679917725607E-2</v>
      </c>
      <c r="U483" s="4">
        <f t="shared" si="62"/>
        <v>9.7864932800384441E-3</v>
      </c>
      <c r="V483" s="4">
        <f t="shared" si="63"/>
        <v>7.9248605811566009E-3</v>
      </c>
      <c r="W483" s="4">
        <f t="shared" si="64"/>
        <v>2.9761903580876936E-2</v>
      </c>
    </row>
    <row r="484" spans="1:23" x14ac:dyDescent="0.25">
      <c r="A484" s="1">
        <v>45294</v>
      </c>
      <c r="B484">
        <v>4486.0200199999999</v>
      </c>
      <c r="C484">
        <v>9.49</v>
      </c>
      <c r="D484">
        <v>6.15</v>
      </c>
      <c r="E484">
        <v>3.7900000000000003E-2</v>
      </c>
      <c r="F484">
        <v>13.26</v>
      </c>
      <c r="G484">
        <v>18.18</v>
      </c>
      <c r="H484">
        <v>8.8840000000000003</v>
      </c>
      <c r="I484">
        <v>31.799999</v>
      </c>
      <c r="J484">
        <v>3.0899730000000001</v>
      </c>
      <c r="K484">
        <v>34.07</v>
      </c>
      <c r="L484">
        <v>25.200001</v>
      </c>
      <c r="M484" s="4">
        <f t="shared" si="57"/>
        <v>-1.523890598912403E-2</v>
      </c>
      <c r="N484" s="4">
        <f t="shared" si="57"/>
        <v>-1.6580310880829008E-2</v>
      </c>
      <c r="O484" s="4">
        <f t="shared" si="58"/>
        <v>-9.6618357487922024E-3</v>
      </c>
      <c r="P484" s="4">
        <f t="shared" si="58"/>
        <v>-2.3195876288659711E-2</v>
      </c>
      <c r="Q484" s="4">
        <f t="shared" si="58"/>
        <v>-2.9992684711046103E-2</v>
      </c>
      <c r="R484" s="4">
        <f t="shared" si="59"/>
        <v>-1.3029315960912169E-2</v>
      </c>
      <c r="S484" s="4">
        <f t="shared" si="60"/>
        <v>-1.7256637168141409E-2</v>
      </c>
      <c r="T484" s="4">
        <f t="shared" si="61"/>
        <v>-1.456464208242958E-2</v>
      </c>
      <c r="U484" s="4">
        <f t="shared" si="62"/>
        <v>-1.6101057812050734E-2</v>
      </c>
      <c r="V484" s="4">
        <f t="shared" si="63"/>
        <v>-1.1604322262711908E-2</v>
      </c>
      <c r="W484" s="4">
        <f t="shared" si="64"/>
        <v>-9.4339618933190206E-3</v>
      </c>
    </row>
    <row r="485" spans="1:23" x14ac:dyDescent="0.25">
      <c r="A485" s="1">
        <v>45295</v>
      </c>
      <c r="B485">
        <v>4555.4399409999996</v>
      </c>
      <c r="C485">
        <v>9.65</v>
      </c>
      <c r="D485">
        <v>6.21</v>
      </c>
      <c r="E485">
        <v>3.8800000000000001E-2</v>
      </c>
      <c r="F485">
        <v>13.67</v>
      </c>
      <c r="G485">
        <v>18.420000000000002</v>
      </c>
      <c r="H485">
        <v>9.0399999999999991</v>
      </c>
      <c r="I485">
        <v>32.270000000000003</v>
      </c>
      <c r="J485">
        <v>3.140539</v>
      </c>
      <c r="K485">
        <v>34.470001000000003</v>
      </c>
      <c r="L485">
        <v>25.440000999999999</v>
      </c>
      <c r="M485" s="4">
        <f t="shared" si="57"/>
        <v>-4.8844128079995608E-3</v>
      </c>
      <c r="N485" s="4">
        <f t="shared" si="57"/>
        <v>-2.0304568527918732E-2</v>
      </c>
      <c r="O485" s="4">
        <f t="shared" si="58"/>
        <v>-3.2102728731943087E-3</v>
      </c>
      <c r="P485" s="4">
        <f t="shared" si="58"/>
        <v>0</v>
      </c>
      <c r="Q485" s="4">
        <f t="shared" si="58"/>
        <v>-2.4616482340349632E-2</v>
      </c>
      <c r="R485" s="4">
        <f t="shared" si="59"/>
        <v>-1.0846528695956925E-3</v>
      </c>
      <c r="S485" s="4">
        <f t="shared" si="60"/>
        <v>-1.2669287898645853E-2</v>
      </c>
      <c r="T485" s="4">
        <f t="shared" si="61"/>
        <v>-4.0124071597278377E-3</v>
      </c>
      <c r="U485" s="4">
        <f t="shared" si="62"/>
        <v>-4.5566996258219472E-3</v>
      </c>
      <c r="V485" s="4">
        <f t="shared" si="63"/>
        <v>-8.6280989358642479E-3</v>
      </c>
      <c r="W485" s="4">
        <f t="shared" si="64"/>
        <v>2.5806533298650569E-2</v>
      </c>
    </row>
    <row r="486" spans="1:23" x14ac:dyDescent="0.25">
      <c r="A486" s="1">
        <v>45296</v>
      </c>
      <c r="B486">
        <v>4577.7998049999997</v>
      </c>
      <c r="C486">
        <v>9.85</v>
      </c>
      <c r="D486">
        <v>6.23</v>
      </c>
      <c r="E486">
        <v>3.8800000000000001E-2</v>
      </c>
      <c r="F486">
        <v>14.015000000000001</v>
      </c>
      <c r="G486">
        <v>18.440000999999999</v>
      </c>
      <c r="H486">
        <v>9.1560000000000006</v>
      </c>
      <c r="I486">
        <v>32.400002000000001</v>
      </c>
      <c r="J486">
        <v>3.1549149999999999</v>
      </c>
      <c r="K486">
        <v>34.770000000000003</v>
      </c>
      <c r="L486">
        <v>24.799999</v>
      </c>
      <c r="M486" s="4">
        <f t="shared" si="57"/>
        <v>-1.7423898460346976E-3</v>
      </c>
      <c r="N486" s="4">
        <f t="shared" si="57"/>
        <v>7.1574642126790433E-3</v>
      </c>
      <c r="O486" s="4">
        <f t="shared" si="58"/>
        <v>-4.7923322683705027E-3</v>
      </c>
      <c r="P486" s="4">
        <f t="shared" si="58"/>
        <v>2.1052631578947434E-2</v>
      </c>
      <c r="Q486" s="4">
        <f t="shared" si="58"/>
        <v>-1.7806267806266263E-3</v>
      </c>
      <c r="R486" s="4">
        <f t="shared" si="59"/>
        <v>-6.4654098311105468E-3</v>
      </c>
      <c r="S486" s="4">
        <f t="shared" si="60"/>
        <v>-5.8631921824104927E-3</v>
      </c>
      <c r="T486" s="4">
        <f t="shared" si="61"/>
        <v>4.0285714285712704E-3</v>
      </c>
      <c r="U486" s="4">
        <f t="shared" si="62"/>
        <v>-1.3639343688262917E-2</v>
      </c>
      <c r="V486" s="4">
        <f t="shared" si="63"/>
        <v>-1.0247679753837668E-2</v>
      </c>
      <c r="W486" s="4">
        <f t="shared" si="64"/>
        <v>-1.6263388189741712E-2</v>
      </c>
    </row>
    <row r="487" spans="1:23" x14ac:dyDescent="0.25">
      <c r="A487" s="1">
        <v>45299</v>
      </c>
      <c r="B487">
        <v>4585.7900390000004</v>
      </c>
      <c r="C487">
        <v>9.7799999999999994</v>
      </c>
      <c r="D487">
        <v>6.26</v>
      </c>
      <c r="E487">
        <v>3.7999999999999999E-2</v>
      </c>
      <c r="F487">
        <v>14.04</v>
      </c>
      <c r="G487">
        <v>18.559999000000001</v>
      </c>
      <c r="H487">
        <v>9.2100000000000009</v>
      </c>
      <c r="I487">
        <v>32.270000000000003</v>
      </c>
      <c r="J487">
        <v>3.1985410000000001</v>
      </c>
      <c r="K487">
        <v>35.130001</v>
      </c>
      <c r="L487">
        <v>25.209999</v>
      </c>
      <c r="M487" s="4">
        <f t="shared" si="57"/>
        <v>4.9901203370132929E-3</v>
      </c>
      <c r="N487" s="4">
        <f t="shared" si="57"/>
        <v>2.049180327868827E-3</v>
      </c>
      <c r="O487" s="4">
        <f t="shared" si="58"/>
        <v>0</v>
      </c>
      <c r="P487" s="4">
        <f t="shared" si="58"/>
        <v>-1.2987012987012991E-2</v>
      </c>
      <c r="Q487" s="4">
        <f t="shared" si="58"/>
        <v>1.298701298701288E-2</v>
      </c>
      <c r="R487" s="4">
        <f t="shared" si="59"/>
        <v>-7.4867375675541359E-3</v>
      </c>
      <c r="S487" s="4">
        <f t="shared" si="60"/>
        <v>2.6984834968778015E-2</v>
      </c>
      <c r="T487" s="4">
        <f t="shared" si="61"/>
        <v>3.7324414474375622E-3</v>
      </c>
      <c r="U487" s="4">
        <f t="shared" si="62"/>
        <v>7.0237312639631622E-3</v>
      </c>
      <c r="V487" s="4">
        <f t="shared" si="63"/>
        <v>9.7729229728968914E-3</v>
      </c>
      <c r="W487" s="4">
        <f t="shared" si="64"/>
        <v>-7.0894055568887504E-3</v>
      </c>
    </row>
    <row r="488" spans="1:23" x14ac:dyDescent="0.25">
      <c r="A488" s="1">
        <v>45300</v>
      </c>
      <c r="B488">
        <v>4563.0200199999999</v>
      </c>
      <c r="C488">
        <v>9.76</v>
      </c>
      <c r="D488">
        <v>6.26</v>
      </c>
      <c r="E488">
        <v>3.85E-2</v>
      </c>
      <c r="F488">
        <v>13.86</v>
      </c>
      <c r="G488">
        <v>18.700001</v>
      </c>
      <c r="H488">
        <v>8.968</v>
      </c>
      <c r="I488">
        <v>32.150002000000001</v>
      </c>
      <c r="J488">
        <v>3.1762320000000002</v>
      </c>
      <c r="K488">
        <v>34.790000999999997</v>
      </c>
      <c r="L488">
        <v>25.389999</v>
      </c>
      <c r="M488" s="4">
        <f t="shared" si="57"/>
        <v>2.7403754566752703E-3</v>
      </c>
      <c r="N488" s="4">
        <f t="shared" si="57"/>
        <v>4.1152263374484299E-3</v>
      </c>
      <c r="O488" s="4">
        <f t="shared" si="58"/>
        <v>4.8154093097911854E-3</v>
      </c>
      <c r="P488" s="4">
        <f t="shared" si="58"/>
        <v>0</v>
      </c>
      <c r="Q488" s="4">
        <f t="shared" si="58"/>
        <v>4.7118521203333152E-3</v>
      </c>
      <c r="R488" s="4">
        <f t="shared" si="59"/>
        <v>2.1436763129689673E-3</v>
      </c>
      <c r="S488" s="4">
        <f t="shared" si="60"/>
        <v>4.4622936189187001E-4</v>
      </c>
      <c r="T488" s="4">
        <f t="shared" si="61"/>
        <v>5.6303724000741351E-3</v>
      </c>
      <c r="U488" s="4">
        <f t="shared" si="62"/>
        <v>4.0744870221156582E-3</v>
      </c>
      <c r="V488" s="4">
        <f t="shared" si="63"/>
        <v>7.8215816917726055E-3</v>
      </c>
      <c r="W488" s="4">
        <f t="shared" si="64"/>
        <v>9.5427037773361256E-3</v>
      </c>
    </row>
    <row r="489" spans="1:23" x14ac:dyDescent="0.25">
      <c r="A489" s="1">
        <v>45301</v>
      </c>
      <c r="B489">
        <v>4550.5498049999997</v>
      </c>
      <c r="C489">
        <v>9.7200000000000006</v>
      </c>
      <c r="D489">
        <v>6.23</v>
      </c>
      <c r="E489">
        <v>3.85E-2</v>
      </c>
      <c r="F489">
        <v>13.795</v>
      </c>
      <c r="G489">
        <v>18.66</v>
      </c>
      <c r="H489">
        <v>8.9640000000000004</v>
      </c>
      <c r="I489">
        <v>31.969999000000001</v>
      </c>
      <c r="J489">
        <v>3.1633429999999998</v>
      </c>
      <c r="K489">
        <v>34.520000000000003</v>
      </c>
      <c r="L489">
        <v>25.15</v>
      </c>
      <c r="M489" s="4">
        <f t="shared" si="57"/>
        <v>5.0022976413401921E-3</v>
      </c>
      <c r="N489" s="4">
        <f t="shared" si="57"/>
        <v>7.2538860103628089E-3</v>
      </c>
      <c r="O489" s="4">
        <f t="shared" si="58"/>
        <v>-3.1999999999999806E-3</v>
      </c>
      <c r="P489" s="4">
        <f t="shared" si="58"/>
        <v>-1.0282776349614386E-2</v>
      </c>
      <c r="Q489" s="4">
        <f t="shared" si="58"/>
        <v>2.2609340252038423E-2</v>
      </c>
      <c r="R489" s="4">
        <f t="shared" si="59"/>
        <v>1.0730150790243531E-3</v>
      </c>
      <c r="S489" s="4">
        <f t="shared" si="60"/>
        <v>-1.4728511760826568E-2</v>
      </c>
      <c r="T489" s="4">
        <f t="shared" si="61"/>
        <v>-3.7395138672484673E-3</v>
      </c>
      <c r="U489" s="4">
        <f t="shared" si="62"/>
        <v>-3.1317806527386693E-4</v>
      </c>
      <c r="V489" s="4">
        <f t="shared" si="63"/>
        <v>-1.4463407578825249E-3</v>
      </c>
      <c r="W489" s="4">
        <f t="shared" si="64"/>
        <v>-1.9841665879299919E-3</v>
      </c>
    </row>
    <row r="490" spans="1:23" x14ac:dyDescent="0.25">
      <c r="A490" s="1">
        <v>45302</v>
      </c>
      <c r="B490">
        <v>4527.8999020000001</v>
      </c>
      <c r="C490">
        <v>9.65</v>
      </c>
      <c r="D490">
        <v>6.25</v>
      </c>
      <c r="E490">
        <v>3.8899999999999997E-2</v>
      </c>
      <c r="F490">
        <v>13.49</v>
      </c>
      <c r="G490">
        <v>18.639999</v>
      </c>
      <c r="H490">
        <v>9.0980000000000008</v>
      </c>
      <c r="I490">
        <v>32.090000000000003</v>
      </c>
      <c r="J490">
        <v>3.1643340000000002</v>
      </c>
      <c r="K490">
        <v>34.57</v>
      </c>
      <c r="L490">
        <v>25.200001</v>
      </c>
      <c r="M490" s="4">
        <f t="shared" si="57"/>
        <v>-9.0626717087050057E-3</v>
      </c>
      <c r="N490" s="4">
        <f t="shared" si="57"/>
        <v>-7.2016460905349744E-3</v>
      </c>
      <c r="O490" s="4">
        <f t="shared" si="58"/>
        <v>3.2102728731941976E-3</v>
      </c>
      <c r="P490" s="4">
        <f t="shared" si="58"/>
        <v>1.0389610389610393E-2</v>
      </c>
      <c r="Q490" s="4">
        <f t="shared" si="58"/>
        <v>1.1623547056617944E-2</v>
      </c>
      <c r="R490" s="4">
        <f t="shared" si="59"/>
        <v>-3.2086629300180913E-3</v>
      </c>
      <c r="S490" s="4">
        <f t="shared" si="60"/>
        <v>-1.3873834814654207E-2</v>
      </c>
      <c r="T490" s="4">
        <f t="shared" si="61"/>
        <v>-1.2007389162561388E-2</v>
      </c>
      <c r="U490" s="4">
        <f t="shared" si="62"/>
        <v>-1.0080843206974444E-2</v>
      </c>
      <c r="V490" s="4">
        <f t="shared" si="63"/>
        <v>-1.2567781352058383E-2</v>
      </c>
      <c r="W490" s="4">
        <f t="shared" si="64"/>
        <v>-1.0600628606228124E-2</v>
      </c>
    </row>
    <row r="491" spans="1:23" x14ac:dyDescent="0.25">
      <c r="A491" s="1">
        <v>45303</v>
      </c>
      <c r="B491">
        <v>4569.3100590000004</v>
      </c>
      <c r="C491">
        <v>9.7200000000000006</v>
      </c>
      <c r="D491">
        <v>6.23</v>
      </c>
      <c r="E491">
        <v>3.85E-2</v>
      </c>
      <c r="F491">
        <v>13.335000000000001</v>
      </c>
      <c r="G491">
        <v>18.700001</v>
      </c>
      <c r="H491">
        <v>9.2260000000000009</v>
      </c>
      <c r="I491">
        <v>32.479999999999997</v>
      </c>
      <c r="J491">
        <v>3.196558</v>
      </c>
      <c r="K491">
        <v>35.009998000000003</v>
      </c>
      <c r="L491">
        <v>25.469999000000001</v>
      </c>
      <c r="M491" s="4">
        <f t="shared" si="57"/>
        <v>2.408772689146188E-3</v>
      </c>
      <c r="N491" s="4">
        <f t="shared" si="57"/>
        <v>5.170630816959676E-3</v>
      </c>
      <c r="O491" s="4">
        <f t="shared" si="58"/>
        <v>3.2206119162641045E-3</v>
      </c>
      <c r="P491" s="4">
        <f t="shared" si="58"/>
        <v>2.6666666666666616E-2</v>
      </c>
      <c r="Q491" s="4">
        <f t="shared" si="58"/>
        <v>3.3860045146727469E-3</v>
      </c>
      <c r="R491" s="4">
        <f t="shared" si="59"/>
        <v>2.1858033981313474E-2</v>
      </c>
      <c r="S491" s="4">
        <f t="shared" si="60"/>
        <v>6.5075921908896994E-4</v>
      </c>
      <c r="T491" s="4">
        <f t="shared" si="61"/>
        <v>4.9504950495049549E-3</v>
      </c>
      <c r="U491" s="4">
        <f t="shared" si="62"/>
        <v>-3.4001940473844527E-3</v>
      </c>
      <c r="V491" s="4">
        <f t="shared" si="63"/>
        <v>6.0344541963923692E-3</v>
      </c>
      <c r="W491" s="4">
        <f t="shared" si="64"/>
        <v>5.5270035530992079E-3</v>
      </c>
    </row>
    <row r="492" spans="1:23" x14ac:dyDescent="0.25">
      <c r="A492" s="1">
        <v>45306</v>
      </c>
      <c r="B492">
        <v>4558.330078</v>
      </c>
      <c r="C492">
        <v>9.67</v>
      </c>
      <c r="D492">
        <v>6.21</v>
      </c>
      <c r="E492">
        <v>3.7499999999999999E-2</v>
      </c>
      <c r="F492">
        <v>13.29</v>
      </c>
      <c r="G492">
        <v>18.299999</v>
      </c>
      <c r="H492">
        <v>9.2200000000000006</v>
      </c>
      <c r="I492">
        <v>32.32</v>
      </c>
      <c r="J492">
        <v>3.2074639999999999</v>
      </c>
      <c r="K492">
        <v>34.799999</v>
      </c>
      <c r="L492">
        <v>25.33</v>
      </c>
      <c r="M492" s="4">
        <f t="shared" si="57"/>
        <v>3.8561877983906978E-3</v>
      </c>
      <c r="N492" s="4">
        <f t="shared" si="57"/>
        <v>7.2916666666666963E-3</v>
      </c>
      <c r="O492" s="4">
        <f t="shared" si="58"/>
        <v>2.1381578947368363E-2</v>
      </c>
      <c r="P492" s="4">
        <f t="shared" si="58"/>
        <v>2.1798365122615682E-2</v>
      </c>
      <c r="Q492" s="4">
        <f t="shared" si="58"/>
        <v>2.7047913446677008E-2</v>
      </c>
      <c r="R492" s="4">
        <f t="shared" si="59"/>
        <v>3.2731378822312474E-2</v>
      </c>
      <c r="S492" s="4">
        <f t="shared" si="60"/>
        <v>7.6502732240437687E-3</v>
      </c>
      <c r="T492" s="4">
        <f t="shared" si="61"/>
        <v>-1.1620825332696483E-2</v>
      </c>
      <c r="U492" s="4">
        <f t="shared" si="62"/>
        <v>-3.0918298396487298E-4</v>
      </c>
      <c r="V492" s="4">
        <f t="shared" si="63"/>
        <v>2.0155197235820488E-3</v>
      </c>
      <c r="W492" s="4">
        <f t="shared" si="64"/>
        <v>8.3598324697518045E-3</v>
      </c>
    </row>
    <row r="493" spans="1:23" x14ac:dyDescent="0.25">
      <c r="A493" s="1">
        <v>45307</v>
      </c>
      <c r="B493">
        <v>4540.8198240000002</v>
      </c>
      <c r="C493">
        <v>9.6</v>
      </c>
      <c r="D493">
        <v>6.08</v>
      </c>
      <c r="E493">
        <v>3.6700000000000003E-2</v>
      </c>
      <c r="F493">
        <v>12.94</v>
      </c>
      <c r="G493">
        <v>17.719999000000001</v>
      </c>
      <c r="H493">
        <v>9.15</v>
      </c>
      <c r="I493">
        <v>32.700001</v>
      </c>
      <c r="J493">
        <v>3.208456</v>
      </c>
      <c r="K493">
        <v>34.729999999999997</v>
      </c>
      <c r="L493">
        <v>25.120000999999998</v>
      </c>
      <c r="M493" s="4">
        <f t="shared" si="57"/>
        <v>1.7717139979348318E-2</v>
      </c>
      <c r="N493" s="4">
        <f t="shared" si="57"/>
        <v>1.0427528675702735E-3</v>
      </c>
      <c r="O493" s="4">
        <f t="shared" si="58"/>
        <v>-1.1382113821138296E-2</v>
      </c>
      <c r="P493" s="4">
        <f t="shared" si="58"/>
        <v>-8.1081081081079143E-3</v>
      </c>
      <c r="Q493" s="4">
        <f t="shared" si="58"/>
        <v>4.904742602351031E-2</v>
      </c>
      <c r="R493" s="4">
        <f t="shared" si="59"/>
        <v>2.191459054209921E-2</v>
      </c>
      <c r="S493" s="4">
        <f t="shared" si="60"/>
        <v>9.710880600309002E-3</v>
      </c>
      <c r="T493" s="4">
        <f t="shared" si="61"/>
        <v>1.4267958171962913E-2</v>
      </c>
      <c r="U493" s="4">
        <f t="shared" si="62"/>
        <v>1.6970663234984196E-2</v>
      </c>
      <c r="V493" s="4">
        <f t="shared" si="63"/>
        <v>1.5497046330495534E-2</v>
      </c>
      <c r="W493" s="4">
        <f t="shared" si="64"/>
        <v>7.2173212823849475E-3</v>
      </c>
    </row>
    <row r="494" spans="1:23" x14ac:dyDescent="0.25">
      <c r="A494" s="1">
        <v>45308</v>
      </c>
      <c r="B494">
        <v>4461.7700199999999</v>
      </c>
      <c r="C494">
        <v>9.59</v>
      </c>
      <c r="D494">
        <v>6.15</v>
      </c>
      <c r="E494">
        <v>3.6999999999999998E-2</v>
      </c>
      <c r="F494">
        <v>12.335000000000001</v>
      </c>
      <c r="G494">
        <v>17.34</v>
      </c>
      <c r="H494">
        <v>9.0619999999999994</v>
      </c>
      <c r="I494">
        <v>32.240001999999997</v>
      </c>
      <c r="J494">
        <v>3.1549149999999999</v>
      </c>
      <c r="K494">
        <v>34.200001</v>
      </c>
      <c r="L494">
        <v>24.940000999999999</v>
      </c>
      <c r="M494" s="4">
        <f t="shared" si="57"/>
        <v>1.5780462228407455E-3</v>
      </c>
      <c r="N494" s="4">
        <f t="shared" si="57"/>
        <v>1.1603375527426074E-2</v>
      </c>
      <c r="O494" s="4">
        <f t="shared" si="58"/>
        <v>3.2626427406199365E-3</v>
      </c>
      <c r="P494" s="4">
        <f t="shared" si="58"/>
        <v>1.3698630136986356E-2</v>
      </c>
      <c r="Q494" s="4">
        <f t="shared" si="58"/>
        <v>1.3557929334429009E-2</v>
      </c>
      <c r="R494" s="4">
        <f t="shared" si="59"/>
        <v>2.31219666544491E-3</v>
      </c>
      <c r="S494" s="4">
        <f t="shared" si="60"/>
        <v>-1.2208415086112923E-2</v>
      </c>
      <c r="T494" s="4">
        <f t="shared" si="61"/>
        <v>1.5433133858267611E-2</v>
      </c>
      <c r="U494" s="4">
        <f t="shared" si="62"/>
        <v>-4.2246630685225384E-3</v>
      </c>
      <c r="V494" s="4">
        <f t="shared" si="63"/>
        <v>-2.9225373552344003E-4</v>
      </c>
      <c r="W494" s="4">
        <f t="shared" si="64"/>
        <v>-9.92457284936199E-3</v>
      </c>
    </row>
    <row r="495" spans="1:23" x14ac:dyDescent="0.25">
      <c r="A495" s="1">
        <v>45309</v>
      </c>
      <c r="B495">
        <v>4454.7402339999999</v>
      </c>
      <c r="C495">
        <v>9.48</v>
      </c>
      <c r="D495">
        <v>6.13</v>
      </c>
      <c r="E495">
        <v>3.6499999999999998E-2</v>
      </c>
      <c r="F495">
        <v>12.17</v>
      </c>
      <c r="G495">
        <v>17.299999</v>
      </c>
      <c r="H495">
        <v>9.1739999999999995</v>
      </c>
      <c r="I495">
        <v>31.75</v>
      </c>
      <c r="J495">
        <v>3.1682999999999999</v>
      </c>
      <c r="K495">
        <v>34.209999000000003</v>
      </c>
      <c r="L495">
        <v>25.190000999999999</v>
      </c>
      <c r="M495" s="4">
        <f t="shared" si="57"/>
        <v>1.3488957073713337E-2</v>
      </c>
      <c r="N495" s="4">
        <f t="shared" si="57"/>
        <v>8.5106382978723527E-3</v>
      </c>
      <c r="O495" s="4">
        <f t="shared" si="58"/>
        <v>-1.6286644951140072E-3</v>
      </c>
      <c r="P495" s="4">
        <f t="shared" si="58"/>
        <v>3.1073446327683607E-2</v>
      </c>
      <c r="Q495" s="4">
        <f t="shared" si="58"/>
        <v>-9.3610093610093648E-3</v>
      </c>
      <c r="R495" s="4">
        <f t="shared" si="59"/>
        <v>4.6457610131103166E-3</v>
      </c>
      <c r="S495" s="4">
        <f t="shared" si="60"/>
        <v>1.012992732878204E-2</v>
      </c>
      <c r="T495" s="4">
        <f t="shared" si="61"/>
        <v>1.8934531450577552E-2</v>
      </c>
      <c r="U495" s="4">
        <f t="shared" si="62"/>
        <v>2.9809646270478884E-2</v>
      </c>
      <c r="V495" s="4">
        <f t="shared" si="63"/>
        <v>2.3944896737503996E-2</v>
      </c>
      <c r="W495" s="4">
        <f t="shared" si="64"/>
        <v>-7.9325667565477431E-4</v>
      </c>
    </row>
    <row r="496" spans="1:23" x14ac:dyDescent="0.25">
      <c r="A496" s="1">
        <v>45310</v>
      </c>
      <c r="B496">
        <v>4395.4501950000003</v>
      </c>
      <c r="C496">
        <v>9.4</v>
      </c>
      <c r="D496">
        <v>6.14</v>
      </c>
      <c r="E496">
        <v>3.5400000000000001E-2</v>
      </c>
      <c r="F496">
        <v>12.285</v>
      </c>
      <c r="G496">
        <v>17.219999000000001</v>
      </c>
      <c r="H496">
        <v>9.0820000000000007</v>
      </c>
      <c r="I496">
        <v>31.16</v>
      </c>
      <c r="J496">
        <v>3.0765880000000001</v>
      </c>
      <c r="K496">
        <v>33.409999999999997</v>
      </c>
      <c r="L496">
        <v>25.209999</v>
      </c>
      <c r="M496" s="4">
        <f t="shared" si="57"/>
        <v>-6.5544867095063131E-3</v>
      </c>
      <c r="N496" s="4">
        <f t="shared" si="57"/>
        <v>-6.3424947145878097E-3</v>
      </c>
      <c r="O496" s="4">
        <f t="shared" si="58"/>
        <v>6.5573770491802463E-3</v>
      </c>
      <c r="P496" s="4">
        <f t="shared" si="58"/>
        <v>-5.6179775280899014E-3</v>
      </c>
      <c r="Q496" s="4">
        <f t="shared" si="58"/>
        <v>-2.8409090909090606E-3</v>
      </c>
      <c r="R496" s="4">
        <f t="shared" si="59"/>
        <v>-5.7737297921477415E-3</v>
      </c>
      <c r="S496" s="4">
        <f t="shared" si="60"/>
        <v>-1.9857543708180381E-2</v>
      </c>
      <c r="T496" s="4">
        <f t="shared" si="61"/>
        <v>0</v>
      </c>
      <c r="U496" s="4">
        <f t="shared" si="62"/>
        <v>-8.051140166810411E-4</v>
      </c>
      <c r="V496" s="4">
        <f t="shared" si="63"/>
        <v>6.0223127377989627E-3</v>
      </c>
      <c r="W496" s="4">
        <f t="shared" si="64"/>
        <v>-1.059658555729992E-2</v>
      </c>
    </row>
    <row r="497" spans="1:23" x14ac:dyDescent="0.25">
      <c r="A497" s="1">
        <v>45313</v>
      </c>
      <c r="B497">
        <v>4424.4501950000003</v>
      </c>
      <c r="C497">
        <v>9.4600000000000009</v>
      </c>
      <c r="D497">
        <v>6.1</v>
      </c>
      <c r="E497">
        <v>3.56E-2</v>
      </c>
      <c r="F497">
        <v>12.32</v>
      </c>
      <c r="G497">
        <v>17.32</v>
      </c>
      <c r="H497">
        <v>9.266</v>
      </c>
      <c r="I497">
        <v>31.16</v>
      </c>
      <c r="J497">
        <v>3.0790670000000002</v>
      </c>
      <c r="K497">
        <v>33.209999000000003</v>
      </c>
      <c r="L497">
        <v>25.48</v>
      </c>
      <c r="M497" s="4">
        <f t="shared" si="57"/>
        <v>-5.5470819348969469E-3</v>
      </c>
      <c r="N497" s="4">
        <f t="shared" si="57"/>
        <v>3.1813361611878754E-3</v>
      </c>
      <c r="O497" s="4">
        <f t="shared" si="58"/>
        <v>-3.2679738562092497E-3</v>
      </c>
      <c r="P497" s="4">
        <f t="shared" si="58"/>
        <v>-2.4657534246575241E-2</v>
      </c>
      <c r="Q497" s="4">
        <f t="shared" si="58"/>
        <v>8.1234768480897834E-4</v>
      </c>
      <c r="R497" s="4">
        <f t="shared" si="59"/>
        <v>-1.2542815704514543E-2</v>
      </c>
      <c r="S497" s="4">
        <f t="shared" si="60"/>
        <v>-2.4015167474194188E-2</v>
      </c>
      <c r="T497" s="4">
        <f t="shared" si="61"/>
        <v>-1.7344655230042694E-2</v>
      </c>
      <c r="U497" s="4">
        <f t="shared" si="62"/>
        <v>-1.9108960000968289E-2</v>
      </c>
      <c r="V497" s="4">
        <f t="shared" si="63"/>
        <v>-5.9862615983236056E-3</v>
      </c>
      <c r="W497" s="4">
        <f t="shared" si="64"/>
        <v>-2.112950360624255E-2</v>
      </c>
    </row>
    <row r="498" spans="1:23" x14ac:dyDescent="0.25">
      <c r="A498" s="1">
        <v>45314</v>
      </c>
      <c r="B498">
        <v>4449.1298829999996</v>
      </c>
      <c r="C498">
        <v>9.43</v>
      </c>
      <c r="D498">
        <v>6.12</v>
      </c>
      <c r="E498">
        <v>3.6499999999999998E-2</v>
      </c>
      <c r="F498">
        <v>12.31</v>
      </c>
      <c r="G498">
        <v>17.540001</v>
      </c>
      <c r="H498">
        <v>9.4939999999999998</v>
      </c>
      <c r="I498">
        <v>31.709999</v>
      </c>
      <c r="J498">
        <v>3.1390509999999998</v>
      </c>
      <c r="K498">
        <v>33.409999999999997</v>
      </c>
      <c r="L498">
        <v>26.030000999999999</v>
      </c>
      <c r="M498" s="4">
        <f t="shared" si="57"/>
        <v>-8.9876995063469245E-3</v>
      </c>
      <c r="N498" s="4">
        <f t="shared" si="57"/>
        <v>-1.6684045881126153E-2</v>
      </c>
      <c r="O498" s="4">
        <f t="shared" si="58"/>
        <v>-4.8780487804878092E-3</v>
      </c>
      <c r="P498" s="4">
        <f t="shared" si="58"/>
        <v>-1.6172506738544534E-2</v>
      </c>
      <c r="Q498" s="4">
        <f t="shared" si="58"/>
        <v>-2.3403411344704472E-2</v>
      </c>
      <c r="R498" s="4">
        <f t="shared" si="59"/>
        <v>0</v>
      </c>
      <c r="S498" s="4">
        <f t="shared" si="60"/>
        <v>8.9266737513282735E-3</v>
      </c>
      <c r="T498" s="4">
        <f t="shared" si="61"/>
        <v>-1.3378967435562217E-2</v>
      </c>
      <c r="U498" s="4">
        <f t="shared" si="62"/>
        <v>5.3984439157566122E-3</v>
      </c>
      <c r="V498" s="4">
        <f t="shared" si="63"/>
        <v>-1.0367239950666018E-2</v>
      </c>
      <c r="W498" s="4">
        <f t="shared" si="64"/>
        <v>1.1538846153844595E-3</v>
      </c>
    </row>
    <row r="499" spans="1:23" x14ac:dyDescent="0.25">
      <c r="A499" s="1">
        <v>45315</v>
      </c>
      <c r="B499">
        <v>4489.4799800000001</v>
      </c>
      <c r="C499">
        <v>9.59</v>
      </c>
      <c r="D499">
        <v>6.15</v>
      </c>
      <c r="E499">
        <v>3.7100000000000001E-2</v>
      </c>
      <c r="F499">
        <v>12.605</v>
      </c>
      <c r="G499">
        <v>17.540001</v>
      </c>
      <c r="H499">
        <v>9.41</v>
      </c>
      <c r="I499">
        <v>32.139999000000003</v>
      </c>
      <c r="J499">
        <v>3.1221960000000002</v>
      </c>
      <c r="K499">
        <v>33.759998000000003</v>
      </c>
      <c r="L499">
        <v>26</v>
      </c>
      <c r="M499" s="4">
        <f t="shared" si="57"/>
        <v>-1.1574030945704195E-2</v>
      </c>
      <c r="N499" s="4">
        <f t="shared" si="57"/>
        <v>1.0438413361169019E-3</v>
      </c>
      <c r="O499" s="4">
        <f t="shared" si="58"/>
        <v>-4.8543689320387218E-3</v>
      </c>
      <c r="P499" s="4">
        <f t="shared" si="58"/>
        <v>8.152173913043459E-3</v>
      </c>
      <c r="Q499" s="4">
        <f t="shared" si="58"/>
        <v>-7.9270709472845091E-4</v>
      </c>
      <c r="R499" s="4">
        <f t="shared" si="59"/>
        <v>-1.1388383336469188E-3</v>
      </c>
      <c r="S499" s="4">
        <f t="shared" si="60"/>
        <v>1.6857575102658284E-2</v>
      </c>
      <c r="T499" s="4">
        <f t="shared" si="61"/>
        <v>7.2077405202131128E-3</v>
      </c>
      <c r="U499" s="4">
        <f t="shared" si="62"/>
        <v>-0.10092789819525916</v>
      </c>
      <c r="V499" s="4">
        <f t="shared" si="63"/>
        <v>7.4604600095768969E-3</v>
      </c>
      <c r="W499" s="4">
        <f t="shared" si="64"/>
        <v>1.6419077404222104E-2</v>
      </c>
    </row>
    <row r="500" spans="1:23" x14ac:dyDescent="0.25">
      <c r="A500" s="1">
        <v>45316</v>
      </c>
      <c r="B500">
        <v>4542.0498049999997</v>
      </c>
      <c r="C500">
        <v>9.58</v>
      </c>
      <c r="D500">
        <v>6.18</v>
      </c>
      <c r="E500">
        <v>3.6799999999999999E-2</v>
      </c>
      <c r="F500">
        <v>12.615</v>
      </c>
      <c r="G500">
        <v>17.559999000000001</v>
      </c>
      <c r="H500">
        <v>9.2539999999999996</v>
      </c>
      <c r="I500">
        <v>31.91</v>
      </c>
      <c r="J500">
        <v>3.4726870000000001</v>
      </c>
      <c r="K500">
        <v>33.509998000000003</v>
      </c>
      <c r="L500">
        <v>25.58</v>
      </c>
      <c r="M500" s="4">
        <f t="shared" si="57"/>
        <v>-9.0541178269142319E-3</v>
      </c>
      <c r="N500" s="4">
        <f t="shared" si="57"/>
        <v>-7.2538860103626979E-3</v>
      </c>
      <c r="O500" s="4">
        <f t="shared" si="58"/>
        <v>-6.4308681672026191E-3</v>
      </c>
      <c r="P500" s="4">
        <f t="shared" si="58"/>
        <v>8.2191780821918581E-3</v>
      </c>
      <c r="Q500" s="4">
        <f t="shared" si="58"/>
        <v>1.4475271411338975E-2</v>
      </c>
      <c r="R500" s="4">
        <f t="shared" si="59"/>
        <v>-4.5351476493846743E-3</v>
      </c>
      <c r="S500" s="4">
        <f t="shared" si="60"/>
        <v>6.0882800608828003E-3</v>
      </c>
      <c r="T500" s="4">
        <f t="shared" si="61"/>
        <v>-1.7549261083743772E-2</v>
      </c>
      <c r="U500" s="4">
        <f t="shared" si="62"/>
        <v>-6.2420947202747046E-3</v>
      </c>
      <c r="V500" s="4">
        <f t="shared" si="63"/>
        <v>-1.00443137396935E-2</v>
      </c>
      <c r="W500" s="4">
        <f t="shared" si="64"/>
        <v>-5.0563595899012492E-3</v>
      </c>
    </row>
    <row r="501" spans="1:23" x14ac:dyDescent="0.25">
      <c r="A501" s="1">
        <v>45317</v>
      </c>
      <c r="B501">
        <v>4583.5498049999997</v>
      </c>
      <c r="C501">
        <v>9.65</v>
      </c>
      <c r="D501">
        <v>6.22</v>
      </c>
      <c r="E501">
        <v>3.6499999999999998E-2</v>
      </c>
      <c r="F501">
        <v>12.435</v>
      </c>
      <c r="G501">
        <v>17.639999</v>
      </c>
      <c r="H501">
        <v>9.1980000000000004</v>
      </c>
      <c r="I501">
        <v>32.479999999999997</v>
      </c>
      <c r="J501">
        <v>3.4944999999999999</v>
      </c>
      <c r="K501">
        <v>33.849997999999999</v>
      </c>
      <c r="L501">
        <v>25.709999</v>
      </c>
      <c r="M501" s="4">
        <f t="shared" si="57"/>
        <v>2.1598102092634797E-4</v>
      </c>
      <c r="N501" s="4">
        <f t="shared" si="57"/>
        <v>1.0471204188481575E-2</v>
      </c>
      <c r="O501" s="4">
        <f t="shared" si="58"/>
        <v>1.6339869281045694E-2</v>
      </c>
      <c r="P501" s="4">
        <f t="shared" si="58"/>
        <v>1.6713091922005541E-2</v>
      </c>
      <c r="Q501" s="4">
        <f t="shared" si="58"/>
        <v>2.8225806451613877E-3</v>
      </c>
      <c r="R501" s="4">
        <f t="shared" si="59"/>
        <v>-1.2318140407718947E-2</v>
      </c>
      <c r="S501" s="4">
        <f t="shared" si="60"/>
        <v>6.3457330415754853E-3</v>
      </c>
      <c r="T501" s="4">
        <f t="shared" si="61"/>
        <v>-1.1263257915571367E-2</v>
      </c>
      <c r="U501" s="4">
        <f t="shared" si="62"/>
        <v>-1.6326530612244983E-2</v>
      </c>
      <c r="V501" s="4">
        <f t="shared" si="63"/>
        <v>-5.8737446658956305E-3</v>
      </c>
      <c r="W501" s="4">
        <f t="shared" si="64"/>
        <v>-2.715360639435116E-3</v>
      </c>
    </row>
    <row r="502" spans="1:23" x14ac:dyDescent="0.25">
      <c r="A502" s="1">
        <v>45320</v>
      </c>
      <c r="B502">
        <v>4582.5600590000004</v>
      </c>
      <c r="C502">
        <v>9.5500000000000007</v>
      </c>
      <c r="D502">
        <v>6.12</v>
      </c>
      <c r="E502">
        <v>3.5900000000000001E-2</v>
      </c>
      <c r="F502">
        <v>12.4</v>
      </c>
      <c r="G502">
        <v>17.860001</v>
      </c>
      <c r="H502">
        <v>9.14</v>
      </c>
      <c r="I502">
        <v>32.849997999999999</v>
      </c>
      <c r="J502">
        <v>3.5525000000000002</v>
      </c>
      <c r="K502">
        <v>34.049999</v>
      </c>
      <c r="L502">
        <v>25.780000999999999</v>
      </c>
      <c r="M502" s="4">
        <f t="shared" si="57"/>
        <v>5.8142732713308831E-3</v>
      </c>
      <c r="N502" s="4">
        <f t="shared" si="57"/>
        <v>-2.1516393442622905E-2</v>
      </c>
      <c r="O502" s="4">
        <f t="shared" si="58"/>
        <v>-8.1037277147487652E-3</v>
      </c>
      <c r="P502" s="4">
        <f t="shared" si="58"/>
        <v>1.9886363636363535E-2</v>
      </c>
      <c r="Q502" s="4">
        <f t="shared" si="58"/>
        <v>-1.0769844435580378E-2</v>
      </c>
      <c r="R502" s="4">
        <f t="shared" si="59"/>
        <v>-5.2016932059447907E-2</v>
      </c>
      <c r="S502" s="4">
        <f t="shared" si="60"/>
        <v>-1.6358157554885788E-2</v>
      </c>
      <c r="T502" s="4">
        <f t="shared" si="61"/>
        <v>6.4337930892706119E-3</v>
      </c>
      <c r="U502" s="4">
        <f t="shared" si="62"/>
        <v>4.0111257502561948E-2</v>
      </c>
      <c r="V502" s="4">
        <f t="shared" si="63"/>
        <v>1.8241627339761646E-2</v>
      </c>
      <c r="W502" s="4">
        <f t="shared" si="64"/>
        <v>-1.6405876245932038E-2</v>
      </c>
    </row>
    <row r="503" spans="1:23" x14ac:dyDescent="0.25">
      <c r="A503" s="1">
        <v>45321</v>
      </c>
      <c r="B503">
        <v>4556.0698240000002</v>
      </c>
      <c r="C503">
        <v>9.76</v>
      </c>
      <c r="D503">
        <v>6.17</v>
      </c>
      <c r="E503">
        <v>3.5200000000000002E-2</v>
      </c>
      <c r="F503">
        <v>12.535</v>
      </c>
      <c r="G503">
        <v>18.84</v>
      </c>
      <c r="H503">
        <v>9.2919999999999998</v>
      </c>
      <c r="I503">
        <v>32.639999000000003</v>
      </c>
      <c r="J503">
        <v>3.4155000000000002</v>
      </c>
      <c r="K503">
        <v>33.439999</v>
      </c>
      <c r="L503">
        <v>26.209999</v>
      </c>
      <c r="M503" s="4">
        <f t="shared" si="57"/>
        <v>1.6003783286511197E-3</v>
      </c>
      <c r="N503" s="4">
        <f t="shared" si="57"/>
        <v>1.0256410256410664E-3</v>
      </c>
      <c r="O503" s="4">
        <f t="shared" si="58"/>
        <v>0</v>
      </c>
      <c r="P503" s="4">
        <f t="shared" si="58"/>
        <v>-5.6497175141242417E-3</v>
      </c>
      <c r="Q503" s="4">
        <f t="shared" si="58"/>
        <v>-1.2214342001576006E-2</v>
      </c>
      <c r="R503" s="4">
        <f t="shared" si="59"/>
        <v>3.8588811388578392E-2</v>
      </c>
      <c r="S503" s="4">
        <f t="shared" si="60"/>
        <v>2.1528525296021783E-4</v>
      </c>
      <c r="T503" s="4">
        <f t="shared" si="61"/>
        <v>1.8408736923829716E-2</v>
      </c>
      <c r="U503" s="4">
        <f t="shared" si="62"/>
        <v>2.8145695364238499E-2</v>
      </c>
      <c r="V503" s="4">
        <f t="shared" si="63"/>
        <v>-6.8309775367375591E-3</v>
      </c>
      <c r="W503" s="4">
        <f t="shared" si="64"/>
        <v>-1.5238476190476691E-3</v>
      </c>
    </row>
    <row r="504" spans="1:23" x14ac:dyDescent="0.25">
      <c r="A504" s="1">
        <v>45322</v>
      </c>
      <c r="B504">
        <v>4548.7900390000004</v>
      </c>
      <c r="C504">
        <v>9.75</v>
      </c>
      <c r="D504">
        <v>6.17</v>
      </c>
      <c r="E504">
        <v>3.5400000000000001E-2</v>
      </c>
      <c r="F504">
        <v>12.69</v>
      </c>
      <c r="G504">
        <v>18.139999</v>
      </c>
      <c r="H504">
        <v>9.2899999999999991</v>
      </c>
      <c r="I504">
        <v>32.049999</v>
      </c>
      <c r="J504">
        <v>3.3220000000000001</v>
      </c>
      <c r="K504">
        <v>33.669998</v>
      </c>
      <c r="L504">
        <v>26.25</v>
      </c>
      <c r="M504" s="4">
        <f t="shared" si="57"/>
        <v>1.4026246939596865E-2</v>
      </c>
      <c r="N504" s="4">
        <f t="shared" si="57"/>
        <v>1.1410788381742698E-2</v>
      </c>
      <c r="O504" s="4">
        <f t="shared" si="58"/>
        <v>6.5252854812398731E-3</v>
      </c>
      <c r="P504" s="4">
        <f t="shared" si="58"/>
        <v>2.608695652173898E-2</v>
      </c>
      <c r="Q504" s="4">
        <f t="shared" si="58"/>
        <v>2.5869037995149613E-2</v>
      </c>
      <c r="R504" s="4">
        <f t="shared" si="59"/>
        <v>3.3185287610619785E-3</v>
      </c>
      <c r="S504" s="4">
        <f t="shared" si="60"/>
        <v>-1.5472657905892362E-2</v>
      </c>
      <c r="T504" s="4">
        <f t="shared" si="61"/>
        <v>-3.4204291044774848E-3</v>
      </c>
      <c r="U504" s="4">
        <f t="shared" si="62"/>
        <v>-3.1507876969242288E-3</v>
      </c>
      <c r="V504" s="4">
        <f t="shared" si="63"/>
        <v>0.12195928023991986</v>
      </c>
      <c r="W504" s="4">
        <f t="shared" si="64"/>
        <v>-3.8080731150047509E-4</v>
      </c>
    </row>
    <row r="505" spans="1:23" x14ac:dyDescent="0.25">
      <c r="A505" s="1">
        <v>45323</v>
      </c>
      <c r="B505">
        <v>4485.8701170000004</v>
      </c>
      <c r="C505">
        <v>9.64</v>
      </c>
      <c r="D505">
        <v>6.13</v>
      </c>
      <c r="E505">
        <v>3.4500000000000003E-2</v>
      </c>
      <c r="F505">
        <v>12.37</v>
      </c>
      <c r="G505">
        <v>18.079999999999998</v>
      </c>
      <c r="H505">
        <v>9.4359999999999999</v>
      </c>
      <c r="I505">
        <v>32.159999999999997</v>
      </c>
      <c r="J505">
        <v>3.3325</v>
      </c>
      <c r="K505">
        <v>30.01</v>
      </c>
      <c r="L505">
        <v>26.26</v>
      </c>
      <c r="M505" s="4">
        <f t="shared" si="57"/>
        <v>1.4154012372529223E-3</v>
      </c>
      <c r="N505" s="4">
        <f t="shared" si="57"/>
        <v>-9.2497430626926613E-3</v>
      </c>
      <c r="O505" s="4">
        <f t="shared" si="58"/>
        <v>1.3223140495867813E-2</v>
      </c>
      <c r="P505" s="4">
        <f t="shared" si="58"/>
        <v>-3.0898876404494291E-2</v>
      </c>
      <c r="Q505" s="4">
        <f t="shared" si="58"/>
        <v>4.8740861088545362E-3</v>
      </c>
      <c r="R505" s="4">
        <f t="shared" si="59"/>
        <v>7.8037342361352291E-3</v>
      </c>
      <c r="S505" s="4">
        <f t="shared" si="60"/>
        <v>7.0437566702241661E-3</v>
      </c>
      <c r="T505" s="4">
        <f t="shared" si="61"/>
        <v>1.5151515151515138E-2</v>
      </c>
      <c r="U505" s="4">
        <f t="shared" si="62"/>
        <v>8.3207261724658199E-3</v>
      </c>
      <c r="V505" s="4">
        <f t="shared" si="63"/>
        <v>8.7394957983193411E-3</v>
      </c>
      <c r="W505" s="4">
        <f t="shared" si="64"/>
        <v>0</v>
      </c>
    </row>
    <row r="506" spans="1:23" x14ac:dyDescent="0.25">
      <c r="A506" s="1">
        <v>45324</v>
      </c>
      <c r="B506">
        <v>4479.5297849999997</v>
      </c>
      <c r="C506">
        <v>9.73</v>
      </c>
      <c r="D506">
        <v>6.05</v>
      </c>
      <c r="E506">
        <v>3.56E-2</v>
      </c>
      <c r="F506">
        <v>12.31</v>
      </c>
      <c r="G506">
        <v>17.940000999999999</v>
      </c>
      <c r="H506">
        <v>9.3699999999999992</v>
      </c>
      <c r="I506">
        <v>31.68</v>
      </c>
      <c r="J506">
        <v>3.3050000000000002</v>
      </c>
      <c r="K506">
        <v>29.75</v>
      </c>
      <c r="L506">
        <v>26.26</v>
      </c>
      <c r="M506" s="4">
        <f t="shared" si="57"/>
        <v>1.0297926370223198E-2</v>
      </c>
      <c r="N506" s="4">
        <f t="shared" si="57"/>
        <v>3.290870488322728E-2</v>
      </c>
      <c r="O506" s="4">
        <f t="shared" si="58"/>
        <v>-1.6501650165016146E-3</v>
      </c>
      <c r="P506" s="4">
        <f t="shared" si="58"/>
        <v>2.8901734104046284E-2</v>
      </c>
      <c r="Q506" s="4">
        <f t="shared" si="58"/>
        <v>-2.4311183144245518E-3</v>
      </c>
      <c r="R506" s="4">
        <f t="shared" si="59"/>
        <v>6.7340628507295275E-3</v>
      </c>
      <c r="S506" s="4">
        <f t="shared" si="60"/>
        <v>2.7412280701754499E-2</v>
      </c>
      <c r="T506" s="4">
        <f t="shared" si="61"/>
        <v>5.395112662646806E-3</v>
      </c>
      <c r="U506" s="4">
        <f t="shared" si="62"/>
        <v>-1.4315538323889099E-2</v>
      </c>
      <c r="V506" s="4">
        <f t="shared" si="63"/>
        <v>4.7280984556534733E-3</v>
      </c>
      <c r="W506" s="4">
        <f t="shared" si="64"/>
        <v>2.4980443989834455E-2</v>
      </c>
    </row>
    <row r="507" spans="1:23" x14ac:dyDescent="0.25">
      <c r="A507" s="1">
        <v>45327</v>
      </c>
      <c r="B507">
        <v>4433.8701170000004</v>
      </c>
      <c r="C507">
        <v>9.42</v>
      </c>
      <c r="D507">
        <v>6.06</v>
      </c>
      <c r="E507">
        <v>3.4599999999999999E-2</v>
      </c>
      <c r="F507">
        <v>12.34</v>
      </c>
      <c r="G507">
        <v>17.82</v>
      </c>
      <c r="H507">
        <v>9.1199999999999992</v>
      </c>
      <c r="I507">
        <v>31.51</v>
      </c>
      <c r="J507">
        <v>3.3530000000000002</v>
      </c>
      <c r="K507">
        <v>29.610001</v>
      </c>
      <c r="L507">
        <v>25.620000999999998</v>
      </c>
      <c r="M507" s="4">
        <f t="shared" si="57"/>
        <v>-5.4729531613250115E-3</v>
      </c>
      <c r="N507" s="4">
        <f t="shared" si="57"/>
        <v>3.1948881789136685E-3</v>
      </c>
      <c r="O507" s="4">
        <f t="shared" si="58"/>
        <v>-1.1419249592169667E-2</v>
      </c>
      <c r="P507" s="4">
        <f t="shared" si="58"/>
        <v>-1.7045454545454586E-2</v>
      </c>
      <c r="Q507" s="4">
        <f t="shared" si="58"/>
        <v>-5.2398226521563895E-3</v>
      </c>
      <c r="R507" s="4">
        <f t="shared" si="59"/>
        <v>1.123651748519805E-3</v>
      </c>
      <c r="S507" s="4">
        <f t="shared" si="60"/>
        <v>-1.2131715771230511E-2</v>
      </c>
      <c r="T507" s="4">
        <f t="shared" si="61"/>
        <v>-4.4233807266981229E-3</v>
      </c>
      <c r="U507" s="4">
        <f t="shared" si="62"/>
        <v>6.302521008403561E-3</v>
      </c>
      <c r="V507" s="4">
        <f t="shared" si="63"/>
        <v>2.0305246034018065E-3</v>
      </c>
      <c r="W507" s="4">
        <f t="shared" si="64"/>
        <v>-1.3096995882010631E-2</v>
      </c>
    </row>
    <row r="508" spans="1:23" x14ac:dyDescent="0.25">
      <c r="A508" s="1">
        <v>45328</v>
      </c>
      <c r="B508">
        <v>4458.2700199999999</v>
      </c>
      <c r="C508">
        <v>9.39</v>
      </c>
      <c r="D508">
        <v>6.13</v>
      </c>
      <c r="E508">
        <v>3.5200000000000002E-2</v>
      </c>
      <c r="F508">
        <v>12.404999999999999</v>
      </c>
      <c r="G508">
        <v>17.799999</v>
      </c>
      <c r="H508">
        <v>9.2319999999999993</v>
      </c>
      <c r="I508">
        <v>31.65</v>
      </c>
      <c r="J508">
        <v>3.3319999999999999</v>
      </c>
      <c r="K508">
        <v>29.549999</v>
      </c>
      <c r="L508">
        <v>25.959999</v>
      </c>
      <c r="M508" s="4">
        <f t="shared" si="57"/>
        <v>3.4323500527462247E-3</v>
      </c>
      <c r="N508" s="4">
        <f t="shared" si="57"/>
        <v>8.5929108485498507E-3</v>
      </c>
      <c r="O508" s="4">
        <f t="shared" si="58"/>
        <v>-1.1290322580645218E-2</v>
      </c>
      <c r="P508" s="4">
        <f t="shared" si="58"/>
        <v>2.6239067055393805E-2</v>
      </c>
      <c r="Q508" s="4">
        <f t="shared" si="58"/>
        <v>5.3056027164685826E-2</v>
      </c>
      <c r="R508" s="4">
        <f t="shared" si="59"/>
        <v>-1.220871254162037E-2</v>
      </c>
      <c r="S508" s="4">
        <f t="shared" si="60"/>
        <v>-6.2432723358449849E-3</v>
      </c>
      <c r="T508" s="4">
        <f t="shared" si="61"/>
        <v>5.0809780882818956E-3</v>
      </c>
      <c r="U508" s="4">
        <f t="shared" si="62"/>
        <v>8.6272135613743028E-3</v>
      </c>
      <c r="V508" s="4">
        <f t="shared" si="63"/>
        <v>3.3955177115274626E-3</v>
      </c>
      <c r="W508" s="4">
        <f t="shared" si="64"/>
        <v>-6.5059321280495075E-3</v>
      </c>
    </row>
    <row r="509" spans="1:23" x14ac:dyDescent="0.25">
      <c r="A509" s="1">
        <v>45329</v>
      </c>
      <c r="B509">
        <v>4443.0200199999999</v>
      </c>
      <c r="C509">
        <v>9.31</v>
      </c>
      <c r="D509">
        <v>6.2</v>
      </c>
      <c r="E509">
        <v>3.4299999999999997E-2</v>
      </c>
      <c r="F509">
        <v>11.78</v>
      </c>
      <c r="G509">
        <v>18.02</v>
      </c>
      <c r="H509">
        <v>9.2899999999999991</v>
      </c>
      <c r="I509">
        <v>31.49</v>
      </c>
      <c r="J509">
        <v>3.3035000000000001</v>
      </c>
      <c r="K509">
        <v>29.450001</v>
      </c>
      <c r="L509">
        <v>26.129999000000002</v>
      </c>
      <c r="M509" s="4">
        <f t="shared" si="57"/>
        <v>5.9591604224791261E-3</v>
      </c>
      <c r="N509" s="4">
        <f t="shared" si="57"/>
        <v>2.5330396475770955E-2</v>
      </c>
      <c r="O509" s="4">
        <f t="shared" si="58"/>
        <v>8.1300813008129413E-3</v>
      </c>
      <c r="P509" s="4">
        <f t="shared" si="58"/>
        <v>-2.0000000000000129E-2</v>
      </c>
      <c r="Q509" s="4">
        <f t="shared" si="58"/>
        <v>1.8150388936905681E-2</v>
      </c>
      <c r="R509" s="4">
        <f t="shared" si="59"/>
        <v>-3.3185840707964376E-3</v>
      </c>
      <c r="S509" s="4">
        <f t="shared" si="60"/>
        <v>-1.1281396338867822E-2</v>
      </c>
      <c r="T509" s="4">
        <f t="shared" si="61"/>
        <v>0.13518385003604894</v>
      </c>
      <c r="U509" s="4">
        <f t="shared" si="62"/>
        <v>-2.162002073152669E-2</v>
      </c>
      <c r="V509" s="4">
        <f t="shared" si="63"/>
        <v>2.613240327064803E-2</v>
      </c>
      <c r="W509" s="4">
        <f t="shared" si="64"/>
        <v>1.8713411306042982E-2</v>
      </c>
    </row>
    <row r="510" spans="1:23" x14ac:dyDescent="0.25">
      <c r="A510" s="1">
        <v>45330</v>
      </c>
      <c r="B510">
        <v>4416.7001950000003</v>
      </c>
      <c r="C510">
        <v>9.08</v>
      </c>
      <c r="D510">
        <v>6.15</v>
      </c>
      <c r="E510">
        <v>3.5000000000000003E-2</v>
      </c>
      <c r="F510">
        <v>11.57</v>
      </c>
      <c r="G510">
        <v>18.079999999999998</v>
      </c>
      <c r="H510">
        <v>9.3960000000000008</v>
      </c>
      <c r="I510">
        <v>27.74</v>
      </c>
      <c r="J510">
        <v>3.3765000000000001</v>
      </c>
      <c r="K510">
        <v>28.700001</v>
      </c>
      <c r="L510">
        <v>25.65</v>
      </c>
      <c r="M510" s="4">
        <f t="shared" si="57"/>
        <v>6.3686003987468709E-3</v>
      </c>
      <c r="N510" s="4">
        <f t="shared" si="57"/>
        <v>1.6797312430011146E-2</v>
      </c>
      <c r="O510" s="4">
        <f t="shared" si="58"/>
        <v>1.1513157894736947E-2</v>
      </c>
      <c r="P510" s="4">
        <f t="shared" si="58"/>
        <v>2.0408163265306367E-2</v>
      </c>
      <c r="Q510" s="4">
        <f t="shared" si="58"/>
        <v>3.3035714285714279E-2</v>
      </c>
      <c r="R510" s="4">
        <f t="shared" si="59"/>
        <v>2.2624434389140191E-2</v>
      </c>
      <c r="S510" s="4">
        <f t="shared" si="60"/>
        <v>4.2753313381787006E-3</v>
      </c>
      <c r="T510" s="4">
        <f t="shared" si="61"/>
        <v>2.8169014084507005E-2</v>
      </c>
      <c r="U510" s="4">
        <f t="shared" si="62"/>
        <v>9.4170403587443552E-3</v>
      </c>
      <c r="V510" s="4">
        <f t="shared" si="63"/>
        <v>-1.7795962279122612E-2</v>
      </c>
      <c r="W510" s="4">
        <f t="shared" si="64"/>
        <v>-3.4965034965035446E-3</v>
      </c>
    </row>
    <row r="511" spans="1:23" x14ac:dyDescent="0.25">
      <c r="A511" s="1">
        <v>45331</v>
      </c>
      <c r="B511">
        <v>4388.75</v>
      </c>
      <c r="C511">
        <v>8.93</v>
      </c>
      <c r="D511">
        <v>6.08</v>
      </c>
      <c r="E511">
        <v>3.4299999999999997E-2</v>
      </c>
      <c r="F511">
        <v>11.2</v>
      </c>
      <c r="G511">
        <v>17.68</v>
      </c>
      <c r="H511">
        <v>9.3559999999999999</v>
      </c>
      <c r="I511">
        <v>26.98</v>
      </c>
      <c r="J511">
        <v>3.3450000000000002</v>
      </c>
      <c r="K511">
        <v>29.219999000000001</v>
      </c>
      <c r="L511">
        <v>25.74</v>
      </c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v">
                <anchor moveWithCells="1" sizeWithCells="1">
                  <from>
                    <xdr:col>30</xdr:col>
                    <xdr:colOff>390525</xdr:colOff>
                    <xdr:row>3</xdr:row>
                    <xdr:rowOff>76200</xdr:rowOff>
                  </from>
                  <to>
                    <xdr:col>32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905A-0FB4-41CD-A5C8-744E13A32433}">
  <sheetPr codeName="Sheet3"/>
  <dimension ref="B3:L14"/>
  <sheetViews>
    <sheetView workbookViewId="0">
      <selection activeCell="B3" sqref="B3:L14"/>
    </sheetView>
  </sheetViews>
  <sheetFormatPr defaultRowHeight="15" x14ac:dyDescent="0.25"/>
  <sheetData>
    <row r="3" spans="2:12" ht="15.75" thickBot="1" x14ac:dyDescent="0.3"/>
    <row r="4" spans="2:12" x14ac:dyDescent="0.25">
      <c r="B4" s="9"/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</row>
    <row r="5" spans="2:12" x14ac:dyDescent="0.25">
      <c r="B5" t="s">
        <v>3</v>
      </c>
      <c r="C5">
        <f>VARP(Sheet4!$N$5:$N$510)</f>
        <v>2.1591816582321174E-4</v>
      </c>
      <c r="D5">
        <f>_xlfn.COVARIANCE.P(Table2[AKTIA.HE.csv],Table2[ASPO.HE.csv])</f>
        <v>7.0634817043624043E-5</v>
      </c>
      <c r="E5">
        <f>_xlfn.COVARIANCE.P(Table2[FIA1S.HE.csv],Table2[AKTIA.HE.csv])</f>
        <v>8.1240245603471833E-5</v>
      </c>
      <c r="F5">
        <f>_xlfn.COVARIANCE.P(Table2[FORTUM.HE.csv],Table2[AKTIA.HE.csv])</f>
        <v>1.1134693881341567E-4</v>
      </c>
      <c r="G5">
        <f>_xlfn.COVARIANCE.P(Table2[KESKOA.HE.csv],Table2[AKTIA.HE.csv])</f>
        <v>7.5380081452513828E-5</v>
      </c>
      <c r="H5">
        <f>_xlfn.COVARIANCE.P(Table2[METSO.HE.csv],Table2[AKTIA.HE.csv])</f>
        <v>1.2973923971857621E-4</v>
      </c>
      <c r="I5">
        <f>_xlfn.COVARIANCE.P(Table2[NESTE.HE.csv],Table2[AKTIA.HE.csv])</f>
        <v>1.1099929242772713E-4</v>
      </c>
      <c r="J5">
        <f>_xlfn.COVARIANCE.P(Table2[NOKIA.HE.csv],Table2[AKTIA.HE.csv])</f>
        <v>7.8857145888844632E-5</v>
      </c>
      <c r="K5">
        <f>_xlfn.COVARIANCE.P(Table2[UPM.HE.csv],Table2[AKTIA.HE.csv])</f>
        <v>8.674994050608117E-5</v>
      </c>
      <c r="L5">
        <f>_xlfn.COVARIANCE.P(Table2[VALMT.HE.csv],Table2[AKTIA.HE.csv])</f>
        <v>1.0185789849422036E-4</v>
      </c>
    </row>
    <row r="6" spans="2:12" x14ac:dyDescent="0.25">
      <c r="B6" t="s">
        <v>4</v>
      </c>
      <c r="C6">
        <v>7.0634817043624043E-5</v>
      </c>
      <c r="D6">
        <f>VARP(Sheet4!$O$5:$O$510)</f>
        <v>3.4808313792760695E-4</v>
      </c>
      <c r="E6">
        <f>_xlfn.COVARIANCE.P(Table2[FIA1S.HE.csv],Table2[ASPO.HE.csv])</f>
        <v>2.158557037961837E-4</v>
      </c>
      <c r="F6">
        <f>_xlfn.COVARIANCE.P(Table2[FORTUM.HE.csv],Table2[ASPO.HE.csv])</f>
        <v>1.3905717484431908E-4</v>
      </c>
      <c r="G6">
        <f>_xlfn.COVARIANCE.P(Table2[KESKOA.HE.csv],Table2[ASPO.HE.csv])</f>
        <v>6.9878691656766553E-5</v>
      </c>
      <c r="H6">
        <f>_xlfn.COVARIANCE.P(Table2[METSO.HE.csv],Table2[ASPO.HE.csv])</f>
        <v>1.3960101582187354E-4</v>
      </c>
      <c r="I6">
        <f>_xlfn.COVARIANCE.P(Table2[NESTE.HE.csv],Table2[ASPO.HE.csv])</f>
        <v>1.2042609539943502E-4</v>
      </c>
      <c r="J6">
        <f>_xlfn.COVARIANCE.P(Table2[NOKIA.HE.csv],Table2[ASPO.HE.csv])</f>
        <v>8.3226478662058075E-5</v>
      </c>
      <c r="K6">
        <f>_xlfn.COVARIANCE.P(Table2[UPM.HE.csv],Table2[ASPO.HE.csv])</f>
        <v>8.9756743345171982E-5</v>
      </c>
      <c r="L6">
        <f>_xlfn.COVARIANCE.P(Table2[VALMT.HE.csv],Table2[ASPO.HE.csv])</f>
        <v>9.8872584796496206E-5</v>
      </c>
    </row>
    <row r="7" spans="2:12" x14ac:dyDescent="0.25">
      <c r="B7" t="s">
        <v>5</v>
      </c>
      <c r="C7">
        <v>8.1240245603471833E-5</v>
      </c>
      <c r="D7">
        <v>2.158557037961837E-4</v>
      </c>
      <c r="E7">
        <f>VARP(Sheet4!$P$5:$P$510)</f>
        <v>1.5569248630156157E-3</v>
      </c>
      <c r="F7">
        <f>_xlfn.COVARIANCE.P(Table2[FORTUM.HE.csv],Table2[FIA1S.HE.csv])</f>
        <v>1.6483597779170741E-4</v>
      </c>
      <c r="G7">
        <f>_xlfn.COVARIANCE.P(Table2[KESKOA.HE.csv],Table2[FIA1S.HE.csv])</f>
        <v>7.5270887139842425E-5</v>
      </c>
      <c r="H7">
        <f>_xlfn.COVARIANCE.P(Table2[METSO.HE.csv],Table2[FIA1S.HE.csv])</f>
        <v>2.3429475383829199E-4</v>
      </c>
      <c r="I7">
        <f>_xlfn.COVARIANCE.P(Table2[NESTE.HE.csv],Table2[FIA1S.HE.csv])</f>
        <v>1.525067854475146E-4</v>
      </c>
      <c r="J7">
        <f>_xlfn.COVARIANCE.P(Table2[NOKIA.HE.csv],Table2[FIA1S.HE.csv])</f>
        <v>1.0595276751496562E-4</v>
      </c>
      <c r="K7">
        <f>_xlfn.COVARIANCE.P(Table2[UPM.HE.csv],Table2[FIA1S.HE.csv])</f>
        <v>1.0980241480690713E-4</v>
      </c>
      <c r="L7">
        <f>_xlfn.COVARIANCE.P(Table2[VALMT.HE.csv],Table2[FIA1S.HE.csv])</f>
        <v>1.538907654829618E-4</v>
      </c>
    </row>
    <row r="8" spans="2:12" x14ac:dyDescent="0.25">
      <c r="B8" t="s">
        <v>6</v>
      </c>
      <c r="C8">
        <v>1.1134693881341567E-4</v>
      </c>
      <c r="D8">
        <v>1.3905717484431908E-4</v>
      </c>
      <c r="E8">
        <v>1.6483597779170741E-4</v>
      </c>
      <c r="F8">
        <f>VARP(Sheet4!$Q$5:$Q$510)</f>
        <v>6.7706654769619161E-4</v>
      </c>
      <c r="G8">
        <f>_xlfn.COVARIANCE.P(Table2[KESKOA.HE.csv],Table2[FORTUM.HE.csv])</f>
        <v>1.0768531078887103E-4</v>
      </c>
      <c r="H8">
        <f>_xlfn.COVARIANCE.P(Table2[METSO.HE.csv],Table2[FORTUM.HE.csv])</f>
        <v>1.9954237591248374E-4</v>
      </c>
      <c r="I8">
        <f>_xlfn.COVARIANCE.P(Table2[NESTE.HE.csv],Table2[FORTUM.HE.csv])</f>
        <v>1.8475062135514333E-4</v>
      </c>
      <c r="J8">
        <f>_xlfn.COVARIANCE.P(Table2[NOKIA.HE.csv],Table2[FORTUM.HE.csv])</f>
        <v>1.1309910621201867E-4</v>
      </c>
      <c r="K8">
        <f>_xlfn.COVARIANCE.P(Table2[UPM.HE.csv],Table2[FORTUM.HE.csv])</f>
        <v>1.4662602888171819E-4</v>
      </c>
      <c r="L8">
        <f>_xlfn.COVARIANCE.P(Table2[VALMT.HE.csv],Table2[FORTUM.HE.csv])</f>
        <v>1.5396179475459879E-4</v>
      </c>
    </row>
    <row r="9" spans="2:12" x14ac:dyDescent="0.25">
      <c r="B9" t="s">
        <v>7</v>
      </c>
      <c r="C9">
        <v>7.5380081452513828E-5</v>
      </c>
      <c r="D9">
        <v>6.9878691656766553E-5</v>
      </c>
      <c r="E9">
        <v>7.5270887139842425E-5</v>
      </c>
      <c r="F9">
        <v>1.0768531078887103E-4</v>
      </c>
      <c r="G9">
        <f>VARP(Sheet4!$R$5:$R$510)</f>
        <v>2.5777940193323639E-4</v>
      </c>
      <c r="H9">
        <f>_xlfn.COVARIANCE.P(Table2[METSO.HE.csv],Table2[KESKOA.HE.csv])</f>
        <v>1.4796971581599667E-4</v>
      </c>
      <c r="I9">
        <f>_xlfn.COVARIANCE.P(Table2[NESTE.HE.csv],Table2[KESKOA.HE.csv])</f>
        <v>8.5031727483611945E-5</v>
      </c>
      <c r="J9">
        <f>_xlfn.COVARIANCE.P(Table2[NOKIA.HE.csv],Table2[KESKOA.HE.csv])</f>
        <v>8.8521921342170744E-5</v>
      </c>
      <c r="K9">
        <f>_xlfn.COVARIANCE.P(Table2[UPM.HE.csv],Table2[KESKOA.HE.csv])</f>
        <v>8.3554048920924583E-5</v>
      </c>
      <c r="L9">
        <f>_xlfn.COVARIANCE.P(Table2[VALMT.HE.csv],Table2[KESKOA.HE.csv])</f>
        <v>1.2184784954784413E-4</v>
      </c>
    </row>
    <row r="10" spans="2:12" x14ac:dyDescent="0.25">
      <c r="B10" t="s">
        <v>8</v>
      </c>
      <c r="C10">
        <v>1.2973923971857621E-4</v>
      </c>
      <c r="D10">
        <v>1.3960101582187354E-4</v>
      </c>
      <c r="E10">
        <v>2.3429475383829199E-4</v>
      </c>
      <c r="F10">
        <v>1.9954237591248374E-4</v>
      </c>
      <c r="G10">
        <v>1.4796971581599667E-4</v>
      </c>
      <c r="H10">
        <f>VARP(Sheet4!$S$5:$S$510)</f>
        <v>5.2665189869162312E-4</v>
      </c>
      <c r="I10">
        <f>_xlfn.COVARIANCE.P(Table2[NESTE.HE.csv],Table2[METSO.HE.csv])</f>
        <v>2.0833690809126068E-4</v>
      </c>
      <c r="J10">
        <f>_xlfn.COVARIANCE.P(Table2[NOKIA.HE.csv],Table2[METSO.HE.csv])</f>
        <v>1.7051101343767091E-4</v>
      </c>
      <c r="K10">
        <f>_xlfn.COVARIANCE.P(Table2[UPM.HE.csv],Table2[METSO.HE.csv])</f>
        <v>1.8135817314409244E-4</v>
      </c>
      <c r="L10">
        <f>_xlfn.COVARIANCE.P(Table2[VALMT.HE.csv],Table2[METSO.HE.csv])</f>
        <v>2.9317416952105496E-4</v>
      </c>
    </row>
    <row r="11" spans="2:12" x14ac:dyDescent="0.25">
      <c r="B11" t="s">
        <v>9</v>
      </c>
      <c r="C11">
        <v>1.1099929242772713E-4</v>
      </c>
      <c r="D11">
        <v>1.2042609539943502E-4</v>
      </c>
      <c r="E11">
        <v>1.525067854475146E-4</v>
      </c>
      <c r="F11">
        <v>1.8475062135514333E-4</v>
      </c>
      <c r="G11">
        <v>8.5031727483611945E-5</v>
      </c>
      <c r="H11">
        <v>2.0833690809126068E-4</v>
      </c>
      <c r="I11">
        <f>VARP(Sheet4!$T$5:$T$510)</f>
        <v>6.4161533752901754E-4</v>
      </c>
      <c r="J11">
        <f>_xlfn.COVARIANCE.P(Table2[NOKIA.HE.csv],Table2[NESTE.HE.csv])</f>
        <v>1.2343278784754207E-4</v>
      </c>
      <c r="K11">
        <f>_xlfn.COVARIANCE.P(Table2[UPM.HE.csv],Table2[NESTE.HE.csv])</f>
        <v>1.2756634514837173E-4</v>
      </c>
      <c r="L11">
        <f>_xlfn.COVARIANCE.P(Table2[VALMT.HE.csv],Table2[NESTE.HE.csv])</f>
        <v>2.1069681054680523E-4</v>
      </c>
    </row>
    <row r="12" spans="2:12" x14ac:dyDescent="0.25">
      <c r="B12" t="s">
        <v>10</v>
      </c>
      <c r="C12">
        <v>7.8857145888844632E-5</v>
      </c>
      <c r="D12">
        <v>8.3226478662058075E-5</v>
      </c>
      <c r="E12">
        <v>1.0595276751496562E-4</v>
      </c>
      <c r="F12">
        <v>1.1309910621201867E-4</v>
      </c>
      <c r="G12">
        <v>8.8521921342170744E-5</v>
      </c>
      <c r="H12">
        <v>1.7051101343767091E-4</v>
      </c>
      <c r="I12">
        <v>1.2343278784754207E-4</v>
      </c>
      <c r="J12">
        <f>VARP(Sheet4!$U$5:$U$510)</f>
        <v>3.4555264416076564E-4</v>
      </c>
      <c r="K12">
        <f>_xlfn.COVARIANCE.P(Table2[UPM.HE.csv],Table2[NOKIA.HE.csv])</f>
        <v>1.0231662611150819E-4</v>
      </c>
      <c r="L12">
        <f>_xlfn.COVARIANCE.P(Table2[VALMT.HE.csv],Table2[NOKIA.HE.csv])</f>
        <v>1.4246383797294717E-4</v>
      </c>
    </row>
    <row r="13" spans="2:12" x14ac:dyDescent="0.25">
      <c r="B13" t="s">
        <v>11</v>
      </c>
      <c r="C13">
        <v>8.674994050608117E-5</v>
      </c>
      <c r="D13">
        <v>8.9756743345171982E-5</v>
      </c>
      <c r="E13">
        <v>1.0980241480690713E-4</v>
      </c>
      <c r="F13">
        <v>1.4662602888171819E-4</v>
      </c>
      <c r="G13">
        <v>8.3554048920924583E-5</v>
      </c>
      <c r="H13">
        <v>1.8135817314409244E-4</v>
      </c>
      <c r="I13">
        <v>1.2756634514837173E-4</v>
      </c>
      <c r="J13">
        <v>1.0231662611150819E-4</v>
      </c>
      <c r="K13">
        <f>VARP(Sheet4!$V$5:$V$510)</f>
        <v>2.9067983796930935E-4</v>
      </c>
      <c r="L13">
        <f>_xlfn.COVARIANCE.P(Table2[VALMT.HE.csv],Table2[UPM.HE.csv])</f>
        <v>1.4047748622906349E-4</v>
      </c>
    </row>
    <row r="14" spans="2:12" ht="15.75" thickBot="1" x14ac:dyDescent="0.3">
      <c r="B14" s="8" t="s">
        <v>12</v>
      </c>
      <c r="C14" s="8">
        <v>1.0185789849422036E-4</v>
      </c>
      <c r="D14" s="8">
        <v>9.8872584796496206E-5</v>
      </c>
      <c r="E14" s="8">
        <v>1.538907654829618E-4</v>
      </c>
      <c r="F14" s="8">
        <v>1.5396179475459879E-4</v>
      </c>
      <c r="G14" s="8">
        <v>1.2184784954784413E-4</v>
      </c>
      <c r="H14" s="8">
        <v>2.9317416952105496E-4</v>
      </c>
      <c r="I14" s="8">
        <v>2.1069681054680523E-4</v>
      </c>
      <c r="J14" s="8">
        <v>1.4246383797294717E-4</v>
      </c>
      <c r="K14" s="8">
        <v>1.4047748622906349E-4</v>
      </c>
      <c r="L14" s="8">
        <f>VARP(Sheet4!$W$5:$W$510)</f>
        <v>3.8616115925060927E-4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DF347-EBC4-4C9E-B9E6-B6561937F86B}">
  <sheetPr codeName="Sheet4"/>
  <dimension ref="A1:C5556"/>
  <sheetViews>
    <sheetView topLeftCell="A2" workbookViewId="0">
      <selection activeCell="B18" sqref="B18"/>
    </sheetView>
  </sheetViews>
  <sheetFormatPr defaultRowHeight="15" x14ac:dyDescent="0.25"/>
  <cols>
    <col min="1" max="1" width="14.85546875" bestFit="1" customWidth="1"/>
    <col min="2" max="2" width="10.140625" bestFit="1" customWidth="1"/>
    <col min="3" max="3" width="12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s="1">
        <v>44603</v>
      </c>
      <c r="C2">
        <v>10.653893</v>
      </c>
    </row>
    <row r="3" spans="1:3" x14ac:dyDescent="0.25">
      <c r="A3" t="s">
        <v>3</v>
      </c>
      <c r="B3" s="1">
        <v>44606</v>
      </c>
      <c r="C3">
        <v>10.345872</v>
      </c>
    </row>
    <row r="4" spans="1:3" x14ac:dyDescent="0.25">
      <c r="A4" t="s">
        <v>3</v>
      </c>
      <c r="B4" s="1">
        <v>44607</v>
      </c>
      <c r="C4">
        <v>10.635774</v>
      </c>
    </row>
    <row r="5" spans="1:3" x14ac:dyDescent="0.25">
      <c r="A5" t="s">
        <v>3</v>
      </c>
      <c r="B5" s="1">
        <v>44608</v>
      </c>
      <c r="C5">
        <v>10.110327</v>
      </c>
    </row>
    <row r="6" spans="1:3" x14ac:dyDescent="0.25">
      <c r="A6" t="s">
        <v>3</v>
      </c>
      <c r="B6" s="1">
        <v>44609</v>
      </c>
      <c r="C6">
        <v>9.4399289999999993</v>
      </c>
    </row>
    <row r="7" spans="1:3" x14ac:dyDescent="0.25">
      <c r="A7" t="s">
        <v>3</v>
      </c>
      <c r="B7" s="1">
        <v>44610</v>
      </c>
      <c r="C7">
        <v>9.2587399999999995</v>
      </c>
    </row>
    <row r="8" spans="1:3" x14ac:dyDescent="0.25">
      <c r="A8" t="s">
        <v>3</v>
      </c>
      <c r="B8" s="1">
        <v>44613</v>
      </c>
      <c r="C8">
        <v>9.2225029999999997</v>
      </c>
    </row>
    <row r="9" spans="1:3" x14ac:dyDescent="0.25">
      <c r="A9" t="s">
        <v>3</v>
      </c>
      <c r="B9" s="1">
        <v>44614</v>
      </c>
      <c r="C9">
        <v>9.1500269999999997</v>
      </c>
    </row>
    <row r="10" spans="1:3" x14ac:dyDescent="0.25">
      <c r="A10" t="s">
        <v>3</v>
      </c>
      <c r="B10" s="1">
        <v>44615</v>
      </c>
      <c r="C10">
        <v>9.0594330000000003</v>
      </c>
    </row>
    <row r="11" spans="1:3" x14ac:dyDescent="0.25">
      <c r="A11" t="s">
        <v>3</v>
      </c>
      <c r="B11" s="1">
        <v>44616</v>
      </c>
      <c r="C11">
        <v>8.6970559999999999</v>
      </c>
    </row>
    <row r="12" spans="1:3" x14ac:dyDescent="0.25">
      <c r="A12" t="s">
        <v>3</v>
      </c>
      <c r="B12" s="1">
        <v>44617</v>
      </c>
      <c r="C12">
        <v>9.0956709999999994</v>
      </c>
    </row>
    <row r="13" spans="1:3" x14ac:dyDescent="0.25">
      <c r="A13" t="s">
        <v>3</v>
      </c>
      <c r="B13" s="1">
        <v>44620</v>
      </c>
      <c r="C13">
        <v>9.2406220000000001</v>
      </c>
    </row>
    <row r="14" spans="1:3" x14ac:dyDescent="0.25">
      <c r="A14" t="s">
        <v>3</v>
      </c>
      <c r="B14" s="1">
        <v>44621</v>
      </c>
      <c r="C14">
        <v>8.8782440000000005</v>
      </c>
    </row>
    <row r="15" spans="1:3" x14ac:dyDescent="0.25">
      <c r="A15" t="s">
        <v>3</v>
      </c>
      <c r="B15" s="1">
        <v>44622</v>
      </c>
      <c r="C15">
        <v>9.1137899999999998</v>
      </c>
    </row>
    <row r="16" spans="1:3" x14ac:dyDescent="0.25">
      <c r="A16" t="s">
        <v>3</v>
      </c>
      <c r="B16" s="1">
        <v>44623</v>
      </c>
      <c r="C16">
        <v>8.7967089999999999</v>
      </c>
    </row>
    <row r="17" spans="1:3" x14ac:dyDescent="0.25">
      <c r="A17" t="s">
        <v>3</v>
      </c>
      <c r="B17" s="1">
        <v>44624</v>
      </c>
      <c r="C17">
        <v>8.5611630000000005</v>
      </c>
    </row>
    <row r="18" spans="1:3" x14ac:dyDescent="0.25">
      <c r="A18" t="s">
        <v>3</v>
      </c>
      <c r="B18" s="1">
        <v>44627</v>
      </c>
      <c r="C18">
        <v>8.3709150000000001</v>
      </c>
    </row>
    <row r="19" spans="1:3" x14ac:dyDescent="0.25">
      <c r="A19" t="s">
        <v>3</v>
      </c>
      <c r="B19" s="1">
        <v>44628</v>
      </c>
      <c r="C19">
        <v>8.4252730000000007</v>
      </c>
    </row>
    <row r="20" spans="1:3" x14ac:dyDescent="0.25">
      <c r="A20" t="s">
        <v>3</v>
      </c>
      <c r="B20" s="1">
        <v>44629</v>
      </c>
      <c r="C20">
        <v>8.7242339999999992</v>
      </c>
    </row>
    <row r="21" spans="1:3" x14ac:dyDescent="0.25">
      <c r="A21" t="s">
        <v>3</v>
      </c>
      <c r="B21" s="1">
        <v>44630</v>
      </c>
      <c r="C21">
        <v>8.7514120000000002</v>
      </c>
    </row>
    <row r="22" spans="1:3" x14ac:dyDescent="0.25">
      <c r="A22" t="s">
        <v>3</v>
      </c>
      <c r="B22" s="1">
        <v>44631</v>
      </c>
      <c r="C22">
        <v>9.0775520000000007</v>
      </c>
    </row>
    <row r="23" spans="1:3" x14ac:dyDescent="0.25">
      <c r="A23" t="s">
        <v>3</v>
      </c>
      <c r="B23" s="1">
        <v>44634</v>
      </c>
      <c r="C23">
        <v>9.4399289999999993</v>
      </c>
    </row>
    <row r="24" spans="1:3" x14ac:dyDescent="0.25">
      <c r="A24" t="s">
        <v>3</v>
      </c>
      <c r="B24" s="1">
        <v>44635</v>
      </c>
      <c r="C24">
        <v>9.349335</v>
      </c>
    </row>
    <row r="25" spans="1:3" x14ac:dyDescent="0.25">
      <c r="A25" t="s">
        <v>3</v>
      </c>
      <c r="B25" s="1">
        <v>44636</v>
      </c>
      <c r="C25">
        <v>9.7479499999999994</v>
      </c>
    </row>
    <row r="26" spans="1:3" x14ac:dyDescent="0.25">
      <c r="A26" t="s">
        <v>3</v>
      </c>
      <c r="B26" s="1">
        <v>44637</v>
      </c>
      <c r="C26">
        <v>9.7117120000000003</v>
      </c>
    </row>
    <row r="27" spans="1:3" x14ac:dyDescent="0.25">
      <c r="A27" t="s">
        <v>3</v>
      </c>
      <c r="B27" s="1">
        <v>44638</v>
      </c>
      <c r="C27">
        <v>9.7298310000000008</v>
      </c>
    </row>
    <row r="28" spans="1:3" x14ac:dyDescent="0.25">
      <c r="A28" t="s">
        <v>3</v>
      </c>
      <c r="B28" s="1">
        <v>44641</v>
      </c>
      <c r="C28">
        <v>9.8385440000000006</v>
      </c>
    </row>
    <row r="29" spans="1:3" x14ac:dyDescent="0.25">
      <c r="A29" t="s">
        <v>3</v>
      </c>
      <c r="B29" s="1">
        <v>44642</v>
      </c>
      <c r="C29">
        <v>9.7298310000000008</v>
      </c>
    </row>
    <row r="30" spans="1:3" x14ac:dyDescent="0.25">
      <c r="A30" t="s">
        <v>3</v>
      </c>
      <c r="B30" s="1">
        <v>44643</v>
      </c>
      <c r="C30">
        <v>9.6211169999999999</v>
      </c>
    </row>
    <row r="31" spans="1:3" x14ac:dyDescent="0.25">
      <c r="A31" t="s">
        <v>3</v>
      </c>
      <c r="B31" s="1">
        <v>44644</v>
      </c>
      <c r="C31">
        <v>9.5667609999999996</v>
      </c>
    </row>
    <row r="32" spans="1:3" x14ac:dyDescent="0.25">
      <c r="A32" t="s">
        <v>3</v>
      </c>
      <c r="B32" s="1">
        <v>44645</v>
      </c>
      <c r="C32">
        <v>9.6392360000000004</v>
      </c>
    </row>
    <row r="33" spans="1:3" x14ac:dyDescent="0.25">
      <c r="A33" t="s">
        <v>3</v>
      </c>
      <c r="B33" s="1">
        <v>44648</v>
      </c>
      <c r="C33">
        <v>9.6211169999999999</v>
      </c>
    </row>
    <row r="34" spans="1:3" x14ac:dyDescent="0.25">
      <c r="A34" t="s">
        <v>3</v>
      </c>
      <c r="B34" s="1">
        <v>44649</v>
      </c>
      <c r="C34">
        <v>9.8747810000000005</v>
      </c>
    </row>
    <row r="35" spans="1:3" x14ac:dyDescent="0.25">
      <c r="A35" t="s">
        <v>3</v>
      </c>
      <c r="B35" s="1">
        <v>44650</v>
      </c>
      <c r="C35">
        <v>9.929138</v>
      </c>
    </row>
    <row r="36" spans="1:3" x14ac:dyDescent="0.25">
      <c r="A36" t="s">
        <v>3</v>
      </c>
      <c r="B36" s="1">
        <v>44651</v>
      </c>
      <c r="C36">
        <v>9.8747810000000005</v>
      </c>
    </row>
    <row r="37" spans="1:3" x14ac:dyDescent="0.25">
      <c r="A37" t="s">
        <v>3</v>
      </c>
      <c r="B37" s="1">
        <v>44652</v>
      </c>
      <c r="C37">
        <v>9.9653759999999991</v>
      </c>
    </row>
    <row r="38" spans="1:3" x14ac:dyDescent="0.25">
      <c r="A38" t="s">
        <v>3</v>
      </c>
      <c r="B38" s="1">
        <v>44655</v>
      </c>
      <c r="C38">
        <v>10.110327</v>
      </c>
    </row>
    <row r="39" spans="1:3" x14ac:dyDescent="0.25">
      <c r="A39" t="s">
        <v>3</v>
      </c>
      <c r="B39" s="1">
        <v>44656</v>
      </c>
      <c r="C39">
        <v>10.05597</v>
      </c>
    </row>
    <row r="40" spans="1:3" x14ac:dyDescent="0.25">
      <c r="A40" t="s">
        <v>3</v>
      </c>
      <c r="B40" s="1">
        <v>44657</v>
      </c>
      <c r="C40">
        <v>10.001614</v>
      </c>
    </row>
    <row r="41" spans="1:3" x14ac:dyDescent="0.25">
      <c r="A41" t="s">
        <v>3</v>
      </c>
      <c r="B41" s="1">
        <v>44658</v>
      </c>
      <c r="C41">
        <v>9.6007859999999994</v>
      </c>
    </row>
    <row r="42" spans="1:3" x14ac:dyDescent="0.25">
      <c r="A42" t="s">
        <v>3</v>
      </c>
      <c r="B42" s="1">
        <v>44659</v>
      </c>
      <c r="C42">
        <v>9.7343949999999992</v>
      </c>
    </row>
    <row r="43" spans="1:3" x14ac:dyDescent="0.25">
      <c r="A43" t="s">
        <v>3</v>
      </c>
      <c r="B43" s="1">
        <v>44662</v>
      </c>
      <c r="C43">
        <v>9.50535</v>
      </c>
    </row>
    <row r="44" spans="1:3" x14ac:dyDescent="0.25">
      <c r="A44" t="s">
        <v>3</v>
      </c>
      <c r="B44" s="1">
        <v>44663</v>
      </c>
      <c r="C44">
        <v>9.5435250000000007</v>
      </c>
    </row>
    <row r="45" spans="1:3" x14ac:dyDescent="0.25">
      <c r="A45" t="s">
        <v>3</v>
      </c>
      <c r="B45" s="1">
        <v>44664</v>
      </c>
      <c r="C45">
        <v>9.3908280000000008</v>
      </c>
    </row>
    <row r="46" spans="1:3" x14ac:dyDescent="0.25">
      <c r="A46" t="s">
        <v>3</v>
      </c>
      <c r="B46" s="1">
        <v>44665</v>
      </c>
      <c r="C46">
        <v>9.4576320000000003</v>
      </c>
    </row>
    <row r="47" spans="1:3" x14ac:dyDescent="0.25">
      <c r="A47" t="s">
        <v>3</v>
      </c>
      <c r="B47" s="1">
        <v>44670</v>
      </c>
      <c r="C47">
        <v>9.7153080000000003</v>
      </c>
    </row>
    <row r="48" spans="1:3" x14ac:dyDescent="0.25">
      <c r="A48" t="s">
        <v>3</v>
      </c>
      <c r="B48" s="1">
        <v>44671</v>
      </c>
      <c r="C48">
        <v>9.6771349999999998</v>
      </c>
    </row>
    <row r="49" spans="1:3" x14ac:dyDescent="0.25">
      <c r="A49" t="s">
        <v>3</v>
      </c>
      <c r="B49" s="1">
        <v>44672</v>
      </c>
      <c r="C49">
        <v>9.6771349999999998</v>
      </c>
    </row>
    <row r="50" spans="1:3" x14ac:dyDescent="0.25">
      <c r="A50" t="s">
        <v>3</v>
      </c>
      <c r="B50" s="1">
        <v>44673</v>
      </c>
      <c r="C50">
        <v>9.5626119999999997</v>
      </c>
    </row>
    <row r="51" spans="1:3" x14ac:dyDescent="0.25">
      <c r="A51" t="s">
        <v>3</v>
      </c>
      <c r="B51" s="1">
        <v>44676</v>
      </c>
      <c r="C51">
        <v>9.2667619999999999</v>
      </c>
    </row>
    <row r="52" spans="1:3" x14ac:dyDescent="0.25">
      <c r="A52" t="s">
        <v>3</v>
      </c>
      <c r="B52" s="1">
        <v>44677</v>
      </c>
      <c r="C52">
        <v>9.1045219999999993</v>
      </c>
    </row>
    <row r="53" spans="1:3" x14ac:dyDescent="0.25">
      <c r="A53" t="s">
        <v>3</v>
      </c>
      <c r="B53" s="1">
        <v>44678</v>
      </c>
      <c r="C53">
        <v>9.1617840000000008</v>
      </c>
    </row>
    <row r="54" spans="1:3" x14ac:dyDescent="0.25">
      <c r="A54" t="s">
        <v>3</v>
      </c>
      <c r="B54" s="1">
        <v>44679</v>
      </c>
      <c r="C54">
        <v>9.2190449999999995</v>
      </c>
    </row>
    <row r="55" spans="1:3" x14ac:dyDescent="0.25">
      <c r="A55" t="s">
        <v>3</v>
      </c>
      <c r="B55" s="1">
        <v>44680</v>
      </c>
      <c r="C55">
        <v>9.2285880000000002</v>
      </c>
    </row>
    <row r="56" spans="1:3" x14ac:dyDescent="0.25">
      <c r="A56" t="s">
        <v>3</v>
      </c>
      <c r="B56" s="1">
        <v>44683</v>
      </c>
      <c r="C56">
        <v>9.4576320000000003</v>
      </c>
    </row>
    <row r="57" spans="1:3" x14ac:dyDescent="0.25">
      <c r="A57" t="s">
        <v>3</v>
      </c>
      <c r="B57" s="1">
        <v>44684</v>
      </c>
      <c r="C57">
        <v>9.2095000000000002</v>
      </c>
    </row>
    <row r="58" spans="1:3" x14ac:dyDescent="0.25">
      <c r="A58" t="s">
        <v>3</v>
      </c>
      <c r="B58" s="1">
        <v>44685</v>
      </c>
      <c r="C58">
        <v>9.0854359999999996</v>
      </c>
    </row>
    <row r="59" spans="1:3" x14ac:dyDescent="0.25">
      <c r="A59" t="s">
        <v>3</v>
      </c>
      <c r="B59" s="1">
        <v>44686</v>
      </c>
      <c r="C59">
        <v>9.1426960000000008</v>
      </c>
    </row>
    <row r="60" spans="1:3" x14ac:dyDescent="0.25">
      <c r="A60" t="s">
        <v>3</v>
      </c>
      <c r="B60" s="1">
        <v>44687</v>
      </c>
      <c r="C60">
        <v>9.0281739999999999</v>
      </c>
    </row>
    <row r="61" spans="1:3" x14ac:dyDescent="0.25">
      <c r="A61" t="s">
        <v>3</v>
      </c>
      <c r="B61" s="1">
        <v>44690</v>
      </c>
      <c r="C61">
        <v>8.6178030000000003</v>
      </c>
    </row>
    <row r="62" spans="1:3" x14ac:dyDescent="0.25">
      <c r="A62" t="s">
        <v>3</v>
      </c>
      <c r="B62" s="1">
        <v>44691</v>
      </c>
      <c r="C62">
        <v>8.636889</v>
      </c>
    </row>
    <row r="63" spans="1:3" x14ac:dyDescent="0.25">
      <c r="A63" t="s">
        <v>3</v>
      </c>
      <c r="B63" s="1">
        <v>44692</v>
      </c>
      <c r="C63">
        <v>8.6178030000000003</v>
      </c>
    </row>
    <row r="64" spans="1:3" x14ac:dyDescent="0.25">
      <c r="A64" t="s">
        <v>3</v>
      </c>
      <c r="B64" s="1">
        <v>44693</v>
      </c>
      <c r="C64">
        <v>8.8468479999999996</v>
      </c>
    </row>
    <row r="65" spans="1:3" x14ac:dyDescent="0.25">
      <c r="A65" t="s">
        <v>3</v>
      </c>
      <c r="B65" s="1">
        <v>44694</v>
      </c>
      <c r="C65">
        <v>9.0663479999999996</v>
      </c>
    </row>
    <row r="66" spans="1:3" x14ac:dyDescent="0.25">
      <c r="A66" t="s">
        <v>3</v>
      </c>
      <c r="B66" s="1">
        <v>44697</v>
      </c>
      <c r="C66">
        <v>9.2190449999999995</v>
      </c>
    </row>
    <row r="67" spans="1:3" x14ac:dyDescent="0.25">
      <c r="A67" t="s">
        <v>3</v>
      </c>
      <c r="B67" s="1">
        <v>44698</v>
      </c>
      <c r="C67">
        <v>9.3144799999999996</v>
      </c>
    </row>
    <row r="68" spans="1:3" x14ac:dyDescent="0.25">
      <c r="A68" t="s">
        <v>3</v>
      </c>
      <c r="B68" s="1">
        <v>44699</v>
      </c>
      <c r="C68">
        <v>9.3526539999999994</v>
      </c>
    </row>
    <row r="69" spans="1:3" x14ac:dyDescent="0.25">
      <c r="A69" t="s">
        <v>3</v>
      </c>
      <c r="B69" s="1">
        <v>44700</v>
      </c>
      <c r="C69">
        <v>9.2095000000000002</v>
      </c>
    </row>
    <row r="70" spans="1:3" x14ac:dyDescent="0.25">
      <c r="A70" t="s">
        <v>3</v>
      </c>
      <c r="B70" s="1">
        <v>44701</v>
      </c>
      <c r="C70">
        <v>9.1140659999999993</v>
      </c>
    </row>
    <row r="71" spans="1:3" x14ac:dyDescent="0.25">
      <c r="A71" t="s">
        <v>3</v>
      </c>
      <c r="B71" s="1">
        <v>44704</v>
      </c>
      <c r="C71">
        <v>9.2190449999999995</v>
      </c>
    </row>
    <row r="72" spans="1:3" x14ac:dyDescent="0.25">
      <c r="A72" t="s">
        <v>3</v>
      </c>
      <c r="B72" s="1">
        <v>44705</v>
      </c>
      <c r="C72">
        <v>9.3431099999999994</v>
      </c>
    </row>
    <row r="73" spans="1:3" x14ac:dyDescent="0.25">
      <c r="A73" t="s">
        <v>3</v>
      </c>
      <c r="B73" s="1">
        <v>44706</v>
      </c>
      <c r="C73">
        <v>9.2572179999999999</v>
      </c>
    </row>
    <row r="74" spans="1:3" x14ac:dyDescent="0.25">
      <c r="A74" t="s">
        <v>3</v>
      </c>
      <c r="B74" s="1">
        <v>44708</v>
      </c>
      <c r="C74">
        <v>9.4003720000000008</v>
      </c>
    </row>
    <row r="75" spans="1:3" x14ac:dyDescent="0.25">
      <c r="A75" t="s">
        <v>3</v>
      </c>
      <c r="B75" s="1">
        <v>44711</v>
      </c>
      <c r="C75">
        <v>9.3908280000000008</v>
      </c>
    </row>
    <row r="76" spans="1:3" x14ac:dyDescent="0.25">
      <c r="A76" t="s">
        <v>3</v>
      </c>
      <c r="B76" s="1">
        <v>44712</v>
      </c>
      <c r="C76">
        <v>9.514894</v>
      </c>
    </row>
    <row r="77" spans="1:3" x14ac:dyDescent="0.25">
      <c r="A77" t="s">
        <v>3</v>
      </c>
      <c r="B77" s="1">
        <v>44713</v>
      </c>
      <c r="C77">
        <v>9.1808700000000005</v>
      </c>
    </row>
    <row r="78" spans="1:3" x14ac:dyDescent="0.25">
      <c r="A78" t="s">
        <v>3</v>
      </c>
      <c r="B78" s="1">
        <v>44714</v>
      </c>
      <c r="C78">
        <v>9.3240239999999996</v>
      </c>
    </row>
    <row r="79" spans="1:3" x14ac:dyDescent="0.25">
      <c r="A79" t="s">
        <v>3</v>
      </c>
      <c r="B79" s="1">
        <v>44715</v>
      </c>
      <c r="C79">
        <v>9.2190449999999995</v>
      </c>
    </row>
    <row r="80" spans="1:3" x14ac:dyDescent="0.25">
      <c r="A80" t="s">
        <v>3</v>
      </c>
      <c r="B80" s="1">
        <v>44718</v>
      </c>
      <c r="C80">
        <v>9.1808700000000005</v>
      </c>
    </row>
    <row r="81" spans="1:3" x14ac:dyDescent="0.25">
      <c r="A81" t="s">
        <v>3</v>
      </c>
      <c r="B81" s="1">
        <v>44719</v>
      </c>
      <c r="C81">
        <v>9.0281739999999999</v>
      </c>
    </row>
    <row r="82" spans="1:3" x14ac:dyDescent="0.25">
      <c r="A82" t="s">
        <v>3</v>
      </c>
      <c r="B82" s="1">
        <v>44720</v>
      </c>
      <c r="C82">
        <v>9.0472599999999996</v>
      </c>
    </row>
    <row r="83" spans="1:3" x14ac:dyDescent="0.25">
      <c r="A83" t="s">
        <v>3</v>
      </c>
      <c r="B83" s="1">
        <v>44721</v>
      </c>
      <c r="C83">
        <v>9.2381320000000002</v>
      </c>
    </row>
    <row r="84" spans="1:3" x14ac:dyDescent="0.25">
      <c r="A84" t="s">
        <v>3</v>
      </c>
      <c r="B84" s="1">
        <v>44722</v>
      </c>
      <c r="C84">
        <v>9.0281739999999999</v>
      </c>
    </row>
    <row r="85" spans="1:3" x14ac:dyDescent="0.25">
      <c r="A85" t="s">
        <v>3</v>
      </c>
      <c r="B85" s="1">
        <v>44725</v>
      </c>
      <c r="C85">
        <v>8.8373039999999996</v>
      </c>
    </row>
    <row r="86" spans="1:3" x14ac:dyDescent="0.25">
      <c r="A86" t="s">
        <v>3</v>
      </c>
      <c r="B86" s="1">
        <v>44726</v>
      </c>
      <c r="C86">
        <v>8.8659339999999993</v>
      </c>
    </row>
    <row r="87" spans="1:3" x14ac:dyDescent="0.25">
      <c r="A87" t="s">
        <v>3</v>
      </c>
      <c r="B87" s="1">
        <v>44727</v>
      </c>
      <c r="C87">
        <v>8.7895859999999999</v>
      </c>
    </row>
    <row r="88" spans="1:3" x14ac:dyDescent="0.25">
      <c r="A88" t="s">
        <v>3</v>
      </c>
      <c r="B88" s="1">
        <v>44728</v>
      </c>
      <c r="C88">
        <v>8.7323249999999994</v>
      </c>
    </row>
    <row r="89" spans="1:3" x14ac:dyDescent="0.25">
      <c r="A89" t="s">
        <v>3</v>
      </c>
      <c r="B89" s="1">
        <v>44729</v>
      </c>
      <c r="C89">
        <v>8.8468479999999996</v>
      </c>
    </row>
    <row r="90" spans="1:3" x14ac:dyDescent="0.25">
      <c r="A90" t="s">
        <v>3</v>
      </c>
      <c r="B90" s="1">
        <v>44732</v>
      </c>
      <c r="C90">
        <v>9.0186299999999999</v>
      </c>
    </row>
    <row r="91" spans="1:3" x14ac:dyDescent="0.25">
      <c r="A91" t="s">
        <v>3</v>
      </c>
      <c r="B91" s="1">
        <v>44733</v>
      </c>
      <c r="C91">
        <v>8.8182159999999996</v>
      </c>
    </row>
    <row r="92" spans="1:3" x14ac:dyDescent="0.25">
      <c r="A92" t="s">
        <v>3</v>
      </c>
      <c r="B92" s="1">
        <v>44734</v>
      </c>
      <c r="C92">
        <v>8.7323249999999994</v>
      </c>
    </row>
    <row r="93" spans="1:3" x14ac:dyDescent="0.25">
      <c r="A93" t="s">
        <v>3</v>
      </c>
      <c r="B93" s="1">
        <v>44735</v>
      </c>
      <c r="C93">
        <v>8.6559760000000008</v>
      </c>
    </row>
    <row r="94" spans="1:3" x14ac:dyDescent="0.25">
      <c r="A94" t="s">
        <v>3</v>
      </c>
      <c r="B94" s="1">
        <v>44739</v>
      </c>
      <c r="C94">
        <v>8.8277599999999996</v>
      </c>
    </row>
    <row r="95" spans="1:3" x14ac:dyDescent="0.25">
      <c r="A95" t="s">
        <v>3</v>
      </c>
      <c r="B95" s="1">
        <v>44740</v>
      </c>
      <c r="C95">
        <v>8.7895859999999999</v>
      </c>
    </row>
    <row r="96" spans="1:3" x14ac:dyDescent="0.25">
      <c r="A96" t="s">
        <v>3</v>
      </c>
      <c r="B96" s="1">
        <v>44741</v>
      </c>
      <c r="C96">
        <v>8.7036940000000005</v>
      </c>
    </row>
    <row r="97" spans="1:3" x14ac:dyDescent="0.25">
      <c r="A97" t="s">
        <v>3</v>
      </c>
      <c r="B97" s="1">
        <v>44742</v>
      </c>
      <c r="C97">
        <v>8.7227809999999995</v>
      </c>
    </row>
    <row r="98" spans="1:3" x14ac:dyDescent="0.25">
      <c r="A98" t="s">
        <v>3</v>
      </c>
      <c r="B98" s="1">
        <v>44743</v>
      </c>
      <c r="C98">
        <v>8.6559760000000008</v>
      </c>
    </row>
    <row r="99" spans="1:3" x14ac:dyDescent="0.25">
      <c r="A99" t="s">
        <v>3</v>
      </c>
      <c r="B99" s="1">
        <v>44746</v>
      </c>
      <c r="C99">
        <v>8.5414539999999999</v>
      </c>
    </row>
    <row r="100" spans="1:3" x14ac:dyDescent="0.25">
      <c r="A100" t="s">
        <v>3</v>
      </c>
      <c r="B100" s="1">
        <v>44747</v>
      </c>
      <c r="C100">
        <v>8.5032800000000002</v>
      </c>
    </row>
    <row r="101" spans="1:3" x14ac:dyDescent="0.25">
      <c r="A101" t="s">
        <v>3</v>
      </c>
      <c r="B101" s="1">
        <v>44748</v>
      </c>
      <c r="C101">
        <v>8.4651060000000005</v>
      </c>
    </row>
    <row r="102" spans="1:3" x14ac:dyDescent="0.25">
      <c r="A102" t="s">
        <v>3</v>
      </c>
      <c r="B102" s="1">
        <v>44749</v>
      </c>
      <c r="C102">
        <v>8.5605410000000006</v>
      </c>
    </row>
    <row r="103" spans="1:3" x14ac:dyDescent="0.25">
      <c r="A103" t="s">
        <v>3</v>
      </c>
      <c r="B103" s="1">
        <v>44750</v>
      </c>
      <c r="C103">
        <v>8.6178030000000003</v>
      </c>
    </row>
    <row r="104" spans="1:3" x14ac:dyDescent="0.25">
      <c r="A104" t="s">
        <v>3</v>
      </c>
      <c r="B104" s="1">
        <v>44753</v>
      </c>
      <c r="C104">
        <v>8.4364760000000008</v>
      </c>
    </row>
    <row r="105" spans="1:3" x14ac:dyDescent="0.25">
      <c r="A105" t="s">
        <v>3</v>
      </c>
      <c r="B105" s="1">
        <v>44754</v>
      </c>
      <c r="C105">
        <v>8.4364760000000008</v>
      </c>
    </row>
    <row r="106" spans="1:3" x14ac:dyDescent="0.25">
      <c r="A106" t="s">
        <v>3</v>
      </c>
      <c r="B106" s="1">
        <v>44755</v>
      </c>
      <c r="C106">
        <v>8.4937360000000002</v>
      </c>
    </row>
    <row r="107" spans="1:3" x14ac:dyDescent="0.25">
      <c r="A107" t="s">
        <v>3</v>
      </c>
      <c r="B107" s="1">
        <v>44756</v>
      </c>
      <c r="C107">
        <v>8.5128240000000002</v>
      </c>
    </row>
    <row r="108" spans="1:3" x14ac:dyDescent="0.25">
      <c r="A108" t="s">
        <v>3</v>
      </c>
      <c r="B108" s="1">
        <v>44757</v>
      </c>
      <c r="C108">
        <v>8.3314959999999996</v>
      </c>
    </row>
    <row r="109" spans="1:3" x14ac:dyDescent="0.25">
      <c r="A109" t="s">
        <v>3</v>
      </c>
      <c r="B109" s="1">
        <v>44760</v>
      </c>
      <c r="C109">
        <v>8.4746489999999994</v>
      </c>
    </row>
    <row r="110" spans="1:3" x14ac:dyDescent="0.25">
      <c r="A110" t="s">
        <v>3</v>
      </c>
      <c r="B110" s="1">
        <v>44761</v>
      </c>
      <c r="C110">
        <v>8.8373039999999996</v>
      </c>
    </row>
    <row r="111" spans="1:3" x14ac:dyDescent="0.25">
      <c r="A111" t="s">
        <v>3</v>
      </c>
      <c r="B111" s="1">
        <v>44762</v>
      </c>
      <c r="C111">
        <v>8.7514120000000002</v>
      </c>
    </row>
    <row r="112" spans="1:3" x14ac:dyDescent="0.25">
      <c r="A112" t="s">
        <v>3</v>
      </c>
      <c r="B112" s="1">
        <v>44763</v>
      </c>
      <c r="C112">
        <v>8.8754779999999993</v>
      </c>
    </row>
    <row r="113" spans="1:3" x14ac:dyDescent="0.25">
      <c r="A113" t="s">
        <v>3</v>
      </c>
      <c r="B113" s="1">
        <v>44764</v>
      </c>
      <c r="C113">
        <v>8.9136509999999998</v>
      </c>
    </row>
    <row r="114" spans="1:3" x14ac:dyDescent="0.25">
      <c r="A114" t="s">
        <v>3</v>
      </c>
      <c r="B114" s="1">
        <v>44767</v>
      </c>
      <c r="C114">
        <v>8.9995440000000002</v>
      </c>
    </row>
    <row r="115" spans="1:3" x14ac:dyDescent="0.25">
      <c r="A115" t="s">
        <v>3</v>
      </c>
      <c r="B115" s="1">
        <v>44768</v>
      </c>
      <c r="C115">
        <v>8.9995440000000002</v>
      </c>
    </row>
    <row r="116" spans="1:3" x14ac:dyDescent="0.25">
      <c r="A116" t="s">
        <v>3</v>
      </c>
      <c r="B116" s="1">
        <v>44769</v>
      </c>
      <c r="C116">
        <v>8.9422829999999998</v>
      </c>
    </row>
    <row r="117" spans="1:3" x14ac:dyDescent="0.25">
      <c r="A117" t="s">
        <v>3</v>
      </c>
      <c r="B117" s="1">
        <v>44770</v>
      </c>
      <c r="C117">
        <v>8.9804560000000002</v>
      </c>
    </row>
    <row r="118" spans="1:3" x14ac:dyDescent="0.25">
      <c r="A118" t="s">
        <v>3</v>
      </c>
      <c r="B118" s="1">
        <v>44771</v>
      </c>
      <c r="C118">
        <v>8.9422829999999998</v>
      </c>
    </row>
    <row r="119" spans="1:3" x14ac:dyDescent="0.25">
      <c r="A119" t="s">
        <v>3</v>
      </c>
      <c r="B119" s="1">
        <v>44774</v>
      </c>
      <c r="C119">
        <v>9.0949779999999993</v>
      </c>
    </row>
    <row r="120" spans="1:3" x14ac:dyDescent="0.25">
      <c r="A120" t="s">
        <v>3</v>
      </c>
      <c r="B120" s="1">
        <v>44775</v>
      </c>
      <c r="C120">
        <v>9.0949779999999993</v>
      </c>
    </row>
    <row r="121" spans="1:3" x14ac:dyDescent="0.25">
      <c r="A121" t="s">
        <v>3</v>
      </c>
      <c r="B121" s="1">
        <v>44776</v>
      </c>
      <c r="C121">
        <v>9.2190449999999995</v>
      </c>
    </row>
    <row r="122" spans="1:3" x14ac:dyDescent="0.25">
      <c r="A122" t="s">
        <v>3</v>
      </c>
      <c r="B122" s="1">
        <v>44777</v>
      </c>
      <c r="C122">
        <v>9.3908280000000008</v>
      </c>
    </row>
    <row r="123" spans="1:3" x14ac:dyDescent="0.25">
      <c r="A123" t="s">
        <v>3</v>
      </c>
      <c r="B123" s="1">
        <v>44778</v>
      </c>
      <c r="C123">
        <v>9.4480889999999995</v>
      </c>
    </row>
    <row r="124" spans="1:3" x14ac:dyDescent="0.25">
      <c r="A124" t="s">
        <v>3</v>
      </c>
      <c r="B124" s="1">
        <v>44781</v>
      </c>
      <c r="C124">
        <v>9.8680050000000001</v>
      </c>
    </row>
    <row r="125" spans="1:3" x14ac:dyDescent="0.25">
      <c r="A125" t="s">
        <v>3</v>
      </c>
      <c r="B125" s="1">
        <v>44782</v>
      </c>
      <c r="C125">
        <v>9.8870909999999999</v>
      </c>
    </row>
    <row r="126" spans="1:3" x14ac:dyDescent="0.25">
      <c r="A126" t="s">
        <v>3</v>
      </c>
      <c r="B126" s="1">
        <v>44783</v>
      </c>
      <c r="C126">
        <v>9.8870909999999999</v>
      </c>
    </row>
    <row r="127" spans="1:3" x14ac:dyDescent="0.25">
      <c r="A127" t="s">
        <v>3</v>
      </c>
      <c r="B127" s="1">
        <v>44784</v>
      </c>
      <c r="C127">
        <v>9.9443520000000003</v>
      </c>
    </row>
    <row r="128" spans="1:3" x14ac:dyDescent="0.25">
      <c r="A128" t="s">
        <v>3</v>
      </c>
      <c r="B128" s="1">
        <v>44785</v>
      </c>
      <c r="C128">
        <v>10.0207</v>
      </c>
    </row>
    <row r="129" spans="1:3" x14ac:dyDescent="0.25">
      <c r="A129" t="s">
        <v>3</v>
      </c>
      <c r="B129" s="1">
        <v>44788</v>
      </c>
      <c r="C129">
        <v>9.8298299999999994</v>
      </c>
    </row>
    <row r="130" spans="1:3" x14ac:dyDescent="0.25">
      <c r="A130" t="s">
        <v>3</v>
      </c>
      <c r="B130" s="1">
        <v>44789</v>
      </c>
      <c r="C130">
        <v>9.8489170000000001</v>
      </c>
    </row>
    <row r="131" spans="1:3" x14ac:dyDescent="0.25">
      <c r="A131" t="s">
        <v>3</v>
      </c>
      <c r="B131" s="1">
        <v>44790</v>
      </c>
      <c r="C131">
        <v>9.9634389999999993</v>
      </c>
    </row>
    <row r="132" spans="1:3" x14ac:dyDescent="0.25">
      <c r="A132" t="s">
        <v>3</v>
      </c>
      <c r="B132" s="1">
        <v>44791</v>
      </c>
      <c r="C132">
        <v>9.8489170000000001</v>
      </c>
    </row>
    <row r="133" spans="1:3" x14ac:dyDescent="0.25">
      <c r="A133" t="s">
        <v>3</v>
      </c>
      <c r="B133" s="1">
        <v>44792</v>
      </c>
      <c r="C133">
        <v>9.7343949999999992</v>
      </c>
    </row>
    <row r="134" spans="1:3" x14ac:dyDescent="0.25">
      <c r="A134" t="s">
        <v>3</v>
      </c>
      <c r="B134" s="1">
        <v>44795</v>
      </c>
      <c r="C134">
        <v>9.6962200000000003</v>
      </c>
    </row>
    <row r="135" spans="1:3" x14ac:dyDescent="0.25">
      <c r="A135" t="s">
        <v>3</v>
      </c>
      <c r="B135" s="1">
        <v>44796</v>
      </c>
      <c r="C135">
        <v>9.8298299999999994</v>
      </c>
    </row>
    <row r="136" spans="1:3" x14ac:dyDescent="0.25">
      <c r="A136" t="s">
        <v>3</v>
      </c>
      <c r="B136" s="1">
        <v>44797</v>
      </c>
      <c r="C136">
        <v>9.6771349999999998</v>
      </c>
    </row>
    <row r="137" spans="1:3" x14ac:dyDescent="0.25">
      <c r="A137" t="s">
        <v>3</v>
      </c>
      <c r="B137" s="1">
        <v>44798</v>
      </c>
      <c r="C137">
        <v>9.6962200000000003</v>
      </c>
    </row>
    <row r="138" spans="1:3" x14ac:dyDescent="0.25">
      <c r="A138" t="s">
        <v>3</v>
      </c>
      <c r="B138" s="1">
        <v>44799</v>
      </c>
      <c r="C138">
        <v>9.6580469999999998</v>
      </c>
    </row>
    <row r="139" spans="1:3" x14ac:dyDescent="0.25">
      <c r="A139" t="s">
        <v>3</v>
      </c>
      <c r="B139" s="1">
        <v>44802</v>
      </c>
      <c r="C139">
        <v>9.4958069999999992</v>
      </c>
    </row>
    <row r="140" spans="1:3" x14ac:dyDescent="0.25">
      <c r="A140" t="s">
        <v>3</v>
      </c>
      <c r="B140" s="1">
        <v>44803</v>
      </c>
      <c r="C140">
        <v>9.4862629999999992</v>
      </c>
    </row>
    <row r="141" spans="1:3" x14ac:dyDescent="0.25">
      <c r="A141" t="s">
        <v>3</v>
      </c>
      <c r="B141" s="1">
        <v>44804</v>
      </c>
      <c r="C141">
        <v>9.8107419999999994</v>
      </c>
    </row>
    <row r="142" spans="1:3" x14ac:dyDescent="0.25">
      <c r="A142" t="s">
        <v>3</v>
      </c>
      <c r="B142" s="1">
        <v>44805</v>
      </c>
      <c r="C142">
        <v>9.3240239999999996</v>
      </c>
    </row>
    <row r="143" spans="1:3" x14ac:dyDescent="0.25">
      <c r="A143" t="s">
        <v>3</v>
      </c>
      <c r="B143" s="1">
        <v>44806</v>
      </c>
      <c r="C143">
        <v>9.4385460000000005</v>
      </c>
    </row>
    <row r="144" spans="1:3" x14ac:dyDescent="0.25">
      <c r="A144" t="s">
        <v>3</v>
      </c>
      <c r="B144" s="1">
        <v>44809</v>
      </c>
      <c r="C144">
        <v>9.2667619999999999</v>
      </c>
    </row>
    <row r="145" spans="1:3" x14ac:dyDescent="0.25">
      <c r="A145" t="s">
        <v>3</v>
      </c>
      <c r="B145" s="1">
        <v>44810</v>
      </c>
      <c r="C145">
        <v>9.3144799999999996</v>
      </c>
    </row>
    <row r="146" spans="1:3" x14ac:dyDescent="0.25">
      <c r="A146" t="s">
        <v>3</v>
      </c>
      <c r="B146" s="1">
        <v>44811</v>
      </c>
      <c r="C146">
        <v>9.4480889999999995</v>
      </c>
    </row>
    <row r="147" spans="1:3" x14ac:dyDescent="0.25">
      <c r="A147" t="s">
        <v>3</v>
      </c>
      <c r="B147" s="1">
        <v>44812</v>
      </c>
      <c r="C147">
        <v>9.5816979999999994</v>
      </c>
    </row>
    <row r="148" spans="1:3" x14ac:dyDescent="0.25">
      <c r="A148" t="s">
        <v>3</v>
      </c>
      <c r="B148" s="1">
        <v>44813</v>
      </c>
      <c r="C148">
        <v>9.6962200000000003</v>
      </c>
    </row>
    <row r="149" spans="1:3" x14ac:dyDescent="0.25">
      <c r="A149" t="s">
        <v>3</v>
      </c>
      <c r="B149" s="1">
        <v>44816</v>
      </c>
      <c r="C149">
        <v>9.8298299999999994</v>
      </c>
    </row>
    <row r="150" spans="1:3" x14ac:dyDescent="0.25">
      <c r="A150" t="s">
        <v>3</v>
      </c>
      <c r="B150" s="1">
        <v>44817</v>
      </c>
      <c r="C150">
        <v>9.7153080000000003</v>
      </c>
    </row>
    <row r="151" spans="1:3" x14ac:dyDescent="0.25">
      <c r="A151" t="s">
        <v>3</v>
      </c>
      <c r="B151" s="1">
        <v>44818</v>
      </c>
      <c r="C151">
        <v>9.6389600000000009</v>
      </c>
    </row>
    <row r="152" spans="1:3" x14ac:dyDescent="0.25">
      <c r="A152" t="s">
        <v>3</v>
      </c>
      <c r="B152" s="1">
        <v>44819</v>
      </c>
      <c r="C152">
        <v>9.8107419999999994</v>
      </c>
    </row>
    <row r="153" spans="1:3" x14ac:dyDescent="0.25">
      <c r="A153" t="s">
        <v>3</v>
      </c>
      <c r="B153" s="1">
        <v>44820</v>
      </c>
      <c r="C153">
        <v>9.7343949999999992</v>
      </c>
    </row>
    <row r="154" spans="1:3" x14ac:dyDescent="0.25">
      <c r="A154" t="s">
        <v>3</v>
      </c>
      <c r="B154" s="1">
        <v>44823</v>
      </c>
      <c r="C154">
        <v>9.5435250000000007</v>
      </c>
    </row>
    <row r="155" spans="1:3" x14ac:dyDescent="0.25">
      <c r="A155" t="s">
        <v>3</v>
      </c>
      <c r="B155" s="1">
        <v>44824</v>
      </c>
      <c r="C155">
        <v>9.514894</v>
      </c>
    </row>
    <row r="156" spans="1:3" x14ac:dyDescent="0.25">
      <c r="A156" t="s">
        <v>3</v>
      </c>
      <c r="B156" s="1">
        <v>44825</v>
      </c>
      <c r="C156">
        <v>9.4576320000000003</v>
      </c>
    </row>
    <row r="157" spans="1:3" x14ac:dyDescent="0.25">
      <c r="A157" t="s">
        <v>3</v>
      </c>
      <c r="B157" s="1">
        <v>44826</v>
      </c>
      <c r="C157">
        <v>9.4958069999999992</v>
      </c>
    </row>
    <row r="158" spans="1:3" x14ac:dyDescent="0.25">
      <c r="A158" t="s">
        <v>3</v>
      </c>
      <c r="B158" s="1">
        <v>44827</v>
      </c>
      <c r="C158">
        <v>9.3717400000000008</v>
      </c>
    </row>
    <row r="159" spans="1:3" x14ac:dyDescent="0.25">
      <c r="A159" t="s">
        <v>3</v>
      </c>
      <c r="B159" s="1">
        <v>44830</v>
      </c>
      <c r="C159">
        <v>9.4862629999999992</v>
      </c>
    </row>
    <row r="160" spans="1:3" x14ac:dyDescent="0.25">
      <c r="A160" t="s">
        <v>3</v>
      </c>
      <c r="B160" s="1">
        <v>44831</v>
      </c>
      <c r="C160">
        <v>9.4099149999999998</v>
      </c>
    </row>
    <row r="161" spans="1:3" x14ac:dyDescent="0.25">
      <c r="A161" t="s">
        <v>3</v>
      </c>
      <c r="B161" s="1">
        <v>44832</v>
      </c>
      <c r="C161">
        <v>9.4290020000000005</v>
      </c>
    </row>
    <row r="162" spans="1:3" x14ac:dyDescent="0.25">
      <c r="A162" t="s">
        <v>3</v>
      </c>
      <c r="B162" s="1">
        <v>44833</v>
      </c>
      <c r="C162">
        <v>9.2476749999999992</v>
      </c>
    </row>
    <row r="163" spans="1:3" x14ac:dyDescent="0.25">
      <c r="A163" t="s">
        <v>3</v>
      </c>
      <c r="B163" s="1">
        <v>44834</v>
      </c>
      <c r="C163">
        <v>9.2285880000000002</v>
      </c>
    </row>
    <row r="164" spans="1:3" x14ac:dyDescent="0.25">
      <c r="A164" t="s">
        <v>3</v>
      </c>
      <c r="B164" s="1">
        <v>44837</v>
      </c>
      <c r="C164">
        <v>9.1045219999999993</v>
      </c>
    </row>
    <row r="165" spans="1:3" x14ac:dyDescent="0.25">
      <c r="A165" t="s">
        <v>3</v>
      </c>
      <c r="B165" s="1">
        <v>44838</v>
      </c>
      <c r="C165">
        <v>9.5626119999999997</v>
      </c>
    </row>
    <row r="166" spans="1:3" x14ac:dyDescent="0.25">
      <c r="A166" t="s">
        <v>3</v>
      </c>
      <c r="B166" s="1">
        <v>44839</v>
      </c>
      <c r="C166">
        <v>9.5244370000000007</v>
      </c>
    </row>
    <row r="167" spans="1:3" x14ac:dyDescent="0.25">
      <c r="A167" t="s">
        <v>3</v>
      </c>
      <c r="B167" s="1">
        <v>44840</v>
      </c>
      <c r="C167">
        <v>9.2763059999999999</v>
      </c>
    </row>
    <row r="168" spans="1:3" x14ac:dyDescent="0.25">
      <c r="A168" t="s">
        <v>3</v>
      </c>
      <c r="B168" s="1">
        <v>44841</v>
      </c>
      <c r="C168">
        <v>9.1999580000000005</v>
      </c>
    </row>
    <row r="169" spans="1:3" x14ac:dyDescent="0.25">
      <c r="A169" t="s">
        <v>3</v>
      </c>
      <c r="B169" s="1">
        <v>44844</v>
      </c>
      <c r="C169">
        <v>9.0758910000000004</v>
      </c>
    </row>
    <row r="170" spans="1:3" x14ac:dyDescent="0.25">
      <c r="A170" t="s">
        <v>3</v>
      </c>
      <c r="B170" s="1">
        <v>44845</v>
      </c>
      <c r="C170">
        <v>9.1331530000000001</v>
      </c>
    </row>
    <row r="171" spans="1:3" x14ac:dyDescent="0.25">
      <c r="A171" t="s">
        <v>3</v>
      </c>
      <c r="B171" s="1">
        <v>44846</v>
      </c>
      <c r="C171">
        <v>9.2572179999999999</v>
      </c>
    </row>
    <row r="172" spans="1:3" x14ac:dyDescent="0.25">
      <c r="A172" t="s">
        <v>3</v>
      </c>
      <c r="B172" s="1">
        <v>44847</v>
      </c>
      <c r="C172">
        <v>9.3144799999999996</v>
      </c>
    </row>
    <row r="173" spans="1:3" x14ac:dyDescent="0.25">
      <c r="A173" t="s">
        <v>3</v>
      </c>
      <c r="B173" s="1">
        <v>44848</v>
      </c>
      <c r="C173">
        <v>9.3908280000000008</v>
      </c>
    </row>
    <row r="174" spans="1:3" x14ac:dyDescent="0.25">
      <c r="A174" t="s">
        <v>3</v>
      </c>
      <c r="B174" s="1">
        <v>44851</v>
      </c>
      <c r="C174">
        <v>9.4290020000000005</v>
      </c>
    </row>
    <row r="175" spans="1:3" x14ac:dyDescent="0.25">
      <c r="A175" t="s">
        <v>3</v>
      </c>
      <c r="B175" s="1">
        <v>44852</v>
      </c>
      <c r="C175">
        <v>9.5435250000000007</v>
      </c>
    </row>
    <row r="176" spans="1:3" x14ac:dyDescent="0.25">
      <c r="A176" t="s">
        <v>3</v>
      </c>
      <c r="B176" s="1">
        <v>44853</v>
      </c>
      <c r="C176">
        <v>9.5626119999999997</v>
      </c>
    </row>
    <row r="177" spans="1:3" x14ac:dyDescent="0.25">
      <c r="A177" t="s">
        <v>3</v>
      </c>
      <c r="B177" s="1">
        <v>44854</v>
      </c>
      <c r="C177">
        <v>9.4958069999999992</v>
      </c>
    </row>
    <row r="178" spans="1:3" x14ac:dyDescent="0.25">
      <c r="A178" t="s">
        <v>3</v>
      </c>
      <c r="B178" s="1">
        <v>44855</v>
      </c>
      <c r="C178">
        <v>9.4958069999999992</v>
      </c>
    </row>
    <row r="179" spans="1:3" x14ac:dyDescent="0.25">
      <c r="A179" t="s">
        <v>3</v>
      </c>
      <c r="B179" s="1">
        <v>44858</v>
      </c>
      <c r="C179">
        <v>9.4290020000000005</v>
      </c>
    </row>
    <row r="180" spans="1:3" x14ac:dyDescent="0.25">
      <c r="A180" t="s">
        <v>3</v>
      </c>
      <c r="B180" s="1">
        <v>44859</v>
      </c>
      <c r="C180">
        <v>9.5244370000000007</v>
      </c>
    </row>
    <row r="181" spans="1:3" x14ac:dyDescent="0.25">
      <c r="A181" t="s">
        <v>3</v>
      </c>
      <c r="B181" s="1">
        <v>44860</v>
      </c>
      <c r="C181">
        <v>9.4958069999999992</v>
      </c>
    </row>
    <row r="182" spans="1:3" x14ac:dyDescent="0.25">
      <c r="A182" t="s">
        <v>3</v>
      </c>
      <c r="B182" s="1">
        <v>44861</v>
      </c>
      <c r="C182">
        <v>9.6771349999999998</v>
      </c>
    </row>
    <row r="183" spans="1:3" x14ac:dyDescent="0.25">
      <c r="A183" t="s">
        <v>3</v>
      </c>
      <c r="B183" s="1">
        <v>44862</v>
      </c>
      <c r="C183">
        <v>9.5626119999999997</v>
      </c>
    </row>
    <row r="184" spans="1:3" x14ac:dyDescent="0.25">
      <c r="A184" t="s">
        <v>3</v>
      </c>
      <c r="B184" s="1">
        <v>44865</v>
      </c>
      <c r="C184">
        <v>9.6007859999999994</v>
      </c>
    </row>
    <row r="185" spans="1:3" x14ac:dyDescent="0.25">
      <c r="A185" t="s">
        <v>3</v>
      </c>
      <c r="B185" s="1">
        <v>44866</v>
      </c>
      <c r="C185">
        <v>9.5435250000000007</v>
      </c>
    </row>
    <row r="186" spans="1:3" x14ac:dyDescent="0.25">
      <c r="A186" t="s">
        <v>3</v>
      </c>
      <c r="B186" s="1">
        <v>44867</v>
      </c>
      <c r="C186">
        <v>9.3717400000000008</v>
      </c>
    </row>
    <row r="187" spans="1:3" x14ac:dyDescent="0.25">
      <c r="A187" t="s">
        <v>3</v>
      </c>
      <c r="B187" s="1">
        <v>44868</v>
      </c>
      <c r="C187">
        <v>9.3621979999999994</v>
      </c>
    </row>
    <row r="188" spans="1:3" x14ac:dyDescent="0.25">
      <c r="A188" t="s">
        <v>3</v>
      </c>
      <c r="B188" s="1">
        <v>44869</v>
      </c>
      <c r="C188">
        <v>9.4385460000000005</v>
      </c>
    </row>
    <row r="189" spans="1:3" x14ac:dyDescent="0.25">
      <c r="A189" t="s">
        <v>3</v>
      </c>
      <c r="B189" s="1">
        <v>44872</v>
      </c>
      <c r="C189">
        <v>9.3431099999999994</v>
      </c>
    </row>
    <row r="190" spans="1:3" x14ac:dyDescent="0.25">
      <c r="A190" t="s">
        <v>3</v>
      </c>
      <c r="B190" s="1">
        <v>44873</v>
      </c>
      <c r="C190">
        <v>9.3240239999999996</v>
      </c>
    </row>
    <row r="191" spans="1:3" x14ac:dyDescent="0.25">
      <c r="A191" t="s">
        <v>3</v>
      </c>
      <c r="B191" s="1">
        <v>44874</v>
      </c>
      <c r="C191">
        <v>9.3049359999999997</v>
      </c>
    </row>
    <row r="192" spans="1:3" x14ac:dyDescent="0.25">
      <c r="A192" t="s">
        <v>3</v>
      </c>
      <c r="B192" s="1">
        <v>44875</v>
      </c>
      <c r="C192">
        <v>9.3240239999999996</v>
      </c>
    </row>
    <row r="193" spans="1:3" x14ac:dyDescent="0.25">
      <c r="A193" t="s">
        <v>3</v>
      </c>
      <c r="B193" s="1">
        <v>44876</v>
      </c>
      <c r="C193">
        <v>9.3717400000000008</v>
      </c>
    </row>
    <row r="194" spans="1:3" x14ac:dyDescent="0.25">
      <c r="A194" t="s">
        <v>3</v>
      </c>
      <c r="B194" s="1">
        <v>44879</v>
      </c>
      <c r="C194">
        <v>9.5626119999999997</v>
      </c>
    </row>
    <row r="195" spans="1:3" x14ac:dyDescent="0.25">
      <c r="A195" t="s">
        <v>3</v>
      </c>
      <c r="B195" s="1">
        <v>44880</v>
      </c>
      <c r="C195">
        <v>9.4862629999999992</v>
      </c>
    </row>
    <row r="196" spans="1:3" x14ac:dyDescent="0.25">
      <c r="A196" t="s">
        <v>3</v>
      </c>
      <c r="B196" s="1">
        <v>44881</v>
      </c>
      <c r="C196">
        <v>9.3812850000000001</v>
      </c>
    </row>
    <row r="197" spans="1:3" x14ac:dyDescent="0.25">
      <c r="A197" t="s">
        <v>3</v>
      </c>
      <c r="B197" s="1">
        <v>44882</v>
      </c>
      <c r="C197">
        <v>9.3431099999999994</v>
      </c>
    </row>
    <row r="198" spans="1:3" x14ac:dyDescent="0.25">
      <c r="A198" t="s">
        <v>3</v>
      </c>
      <c r="B198" s="1">
        <v>44883</v>
      </c>
      <c r="C198">
        <v>9.2858490000000007</v>
      </c>
    </row>
    <row r="199" spans="1:3" x14ac:dyDescent="0.25">
      <c r="A199" t="s">
        <v>3</v>
      </c>
      <c r="B199" s="1">
        <v>44886</v>
      </c>
      <c r="C199">
        <v>9.2381320000000002</v>
      </c>
    </row>
    <row r="200" spans="1:3" x14ac:dyDescent="0.25">
      <c r="A200" t="s">
        <v>3</v>
      </c>
      <c r="B200" s="1">
        <v>44887</v>
      </c>
      <c r="C200">
        <v>9.3335670000000004</v>
      </c>
    </row>
    <row r="201" spans="1:3" x14ac:dyDescent="0.25">
      <c r="A201" t="s">
        <v>3</v>
      </c>
      <c r="B201" s="1">
        <v>44888</v>
      </c>
      <c r="C201">
        <v>9.3908280000000008</v>
      </c>
    </row>
    <row r="202" spans="1:3" x14ac:dyDescent="0.25">
      <c r="A202" t="s">
        <v>3</v>
      </c>
      <c r="B202" s="1">
        <v>44889</v>
      </c>
      <c r="C202">
        <v>9.4862629999999992</v>
      </c>
    </row>
    <row r="203" spans="1:3" x14ac:dyDescent="0.25">
      <c r="A203" t="s">
        <v>3</v>
      </c>
      <c r="B203" s="1">
        <v>44890</v>
      </c>
      <c r="C203">
        <v>9.6389600000000009</v>
      </c>
    </row>
    <row r="204" spans="1:3" x14ac:dyDescent="0.25">
      <c r="A204" t="s">
        <v>3</v>
      </c>
      <c r="B204" s="1">
        <v>44893</v>
      </c>
      <c r="C204">
        <v>9.4958069999999992</v>
      </c>
    </row>
    <row r="205" spans="1:3" x14ac:dyDescent="0.25">
      <c r="A205" t="s">
        <v>3</v>
      </c>
      <c r="B205" s="1">
        <v>44894</v>
      </c>
      <c r="C205">
        <v>9.6198720000000009</v>
      </c>
    </row>
    <row r="206" spans="1:3" x14ac:dyDescent="0.25">
      <c r="A206" t="s">
        <v>3</v>
      </c>
      <c r="B206" s="1">
        <v>44895</v>
      </c>
      <c r="C206">
        <v>9.6198720000000009</v>
      </c>
    </row>
    <row r="207" spans="1:3" x14ac:dyDescent="0.25">
      <c r="A207" t="s">
        <v>3</v>
      </c>
      <c r="B207" s="1">
        <v>44896</v>
      </c>
      <c r="C207">
        <v>9.6007859999999994</v>
      </c>
    </row>
    <row r="208" spans="1:3" x14ac:dyDescent="0.25">
      <c r="A208" t="s">
        <v>3</v>
      </c>
      <c r="B208" s="1">
        <v>44897</v>
      </c>
      <c r="C208">
        <v>9.4958069999999992</v>
      </c>
    </row>
    <row r="209" spans="1:3" x14ac:dyDescent="0.25">
      <c r="A209" t="s">
        <v>3</v>
      </c>
      <c r="B209" s="1">
        <v>44900</v>
      </c>
      <c r="C209">
        <v>9.4003720000000008</v>
      </c>
    </row>
    <row r="210" spans="1:3" x14ac:dyDescent="0.25">
      <c r="A210" t="s">
        <v>3</v>
      </c>
      <c r="B210" s="1">
        <v>44902</v>
      </c>
      <c r="C210">
        <v>9.2667619999999999</v>
      </c>
    </row>
    <row r="211" spans="1:3" x14ac:dyDescent="0.25">
      <c r="A211" t="s">
        <v>3</v>
      </c>
      <c r="B211" s="1">
        <v>44903</v>
      </c>
      <c r="C211">
        <v>9.2285880000000002</v>
      </c>
    </row>
    <row r="212" spans="1:3" x14ac:dyDescent="0.25">
      <c r="A212" t="s">
        <v>3</v>
      </c>
      <c r="B212" s="1">
        <v>44904</v>
      </c>
      <c r="C212">
        <v>9.4385460000000005</v>
      </c>
    </row>
    <row r="213" spans="1:3" x14ac:dyDescent="0.25">
      <c r="A213" t="s">
        <v>3</v>
      </c>
      <c r="B213" s="1">
        <v>44907</v>
      </c>
      <c r="C213">
        <v>9.3908280000000008</v>
      </c>
    </row>
    <row r="214" spans="1:3" x14ac:dyDescent="0.25">
      <c r="A214" t="s">
        <v>3</v>
      </c>
      <c r="B214" s="1">
        <v>44908</v>
      </c>
      <c r="C214">
        <v>9.4671760000000003</v>
      </c>
    </row>
    <row r="215" spans="1:3" x14ac:dyDescent="0.25">
      <c r="A215" t="s">
        <v>3</v>
      </c>
      <c r="B215" s="1">
        <v>44909</v>
      </c>
      <c r="C215">
        <v>9.4862629999999992</v>
      </c>
    </row>
    <row r="216" spans="1:3" x14ac:dyDescent="0.25">
      <c r="A216" t="s">
        <v>3</v>
      </c>
      <c r="B216" s="1">
        <v>44910</v>
      </c>
      <c r="C216">
        <v>9.3621979999999994</v>
      </c>
    </row>
    <row r="217" spans="1:3" x14ac:dyDescent="0.25">
      <c r="A217" t="s">
        <v>3</v>
      </c>
      <c r="B217" s="1">
        <v>44911</v>
      </c>
      <c r="C217">
        <v>9.4290020000000005</v>
      </c>
    </row>
    <row r="218" spans="1:3" x14ac:dyDescent="0.25">
      <c r="A218" t="s">
        <v>3</v>
      </c>
      <c r="B218" s="1">
        <v>44914</v>
      </c>
      <c r="C218">
        <v>9.3049359999999997</v>
      </c>
    </row>
    <row r="219" spans="1:3" x14ac:dyDescent="0.25">
      <c r="A219" t="s">
        <v>3</v>
      </c>
      <c r="B219" s="1">
        <v>44915</v>
      </c>
      <c r="C219">
        <v>9.4194580000000006</v>
      </c>
    </row>
    <row r="220" spans="1:3" x14ac:dyDescent="0.25">
      <c r="A220" t="s">
        <v>3</v>
      </c>
      <c r="B220" s="1">
        <v>44916</v>
      </c>
      <c r="C220">
        <v>9.6007859999999994</v>
      </c>
    </row>
    <row r="221" spans="1:3" x14ac:dyDescent="0.25">
      <c r="A221" t="s">
        <v>3</v>
      </c>
      <c r="B221" s="1">
        <v>44917</v>
      </c>
      <c r="C221">
        <v>9.5435250000000007</v>
      </c>
    </row>
    <row r="222" spans="1:3" x14ac:dyDescent="0.25">
      <c r="A222" t="s">
        <v>3</v>
      </c>
      <c r="B222" s="1">
        <v>44918</v>
      </c>
      <c r="C222">
        <v>9.5435250000000007</v>
      </c>
    </row>
    <row r="223" spans="1:3" x14ac:dyDescent="0.25">
      <c r="A223" t="s">
        <v>3</v>
      </c>
      <c r="B223" s="1">
        <v>44922</v>
      </c>
      <c r="C223">
        <v>9.5626119999999997</v>
      </c>
    </row>
    <row r="224" spans="1:3" x14ac:dyDescent="0.25">
      <c r="A224" t="s">
        <v>3</v>
      </c>
      <c r="B224" s="1">
        <v>44923</v>
      </c>
      <c r="C224">
        <v>9.6007859999999994</v>
      </c>
    </row>
    <row r="225" spans="1:3" x14ac:dyDescent="0.25">
      <c r="A225" t="s">
        <v>3</v>
      </c>
      <c r="B225" s="1">
        <v>44924</v>
      </c>
      <c r="C225">
        <v>9.5816979999999994</v>
      </c>
    </row>
    <row r="226" spans="1:3" x14ac:dyDescent="0.25">
      <c r="A226" t="s">
        <v>3</v>
      </c>
      <c r="B226" s="1">
        <v>44925</v>
      </c>
      <c r="C226">
        <v>9.753482</v>
      </c>
    </row>
    <row r="227" spans="1:3" x14ac:dyDescent="0.25">
      <c r="A227" t="s">
        <v>3</v>
      </c>
      <c r="B227" s="1">
        <v>44928</v>
      </c>
      <c r="C227">
        <v>9.8298299999999994</v>
      </c>
    </row>
    <row r="228" spans="1:3" x14ac:dyDescent="0.25">
      <c r="A228" t="s">
        <v>3</v>
      </c>
      <c r="B228" s="1">
        <v>44929</v>
      </c>
      <c r="C228">
        <v>9.9443520000000003</v>
      </c>
    </row>
    <row r="229" spans="1:3" x14ac:dyDescent="0.25">
      <c r="A229" t="s">
        <v>3</v>
      </c>
      <c r="B229" s="1">
        <v>44930</v>
      </c>
      <c r="C229">
        <v>10.0207</v>
      </c>
    </row>
    <row r="230" spans="1:3" x14ac:dyDescent="0.25">
      <c r="A230" t="s">
        <v>3</v>
      </c>
      <c r="B230" s="1">
        <v>44931</v>
      </c>
      <c r="C230">
        <v>10.0207</v>
      </c>
    </row>
    <row r="231" spans="1:3" x14ac:dyDescent="0.25">
      <c r="A231" t="s">
        <v>3</v>
      </c>
      <c r="B231" s="1">
        <v>44935</v>
      </c>
      <c r="C231">
        <v>10.154310000000001</v>
      </c>
    </row>
    <row r="232" spans="1:3" x14ac:dyDescent="0.25">
      <c r="A232" t="s">
        <v>3</v>
      </c>
      <c r="B232" s="1">
        <v>44936</v>
      </c>
      <c r="C232">
        <v>10.192484</v>
      </c>
    </row>
    <row r="233" spans="1:3" x14ac:dyDescent="0.25">
      <c r="A233" t="s">
        <v>3</v>
      </c>
      <c r="B233" s="1">
        <v>44937</v>
      </c>
      <c r="C233">
        <v>10.192484</v>
      </c>
    </row>
    <row r="234" spans="1:3" x14ac:dyDescent="0.25">
      <c r="A234" t="s">
        <v>3</v>
      </c>
      <c r="B234" s="1">
        <v>44938</v>
      </c>
      <c r="C234">
        <v>10.230658999999999</v>
      </c>
    </row>
    <row r="235" spans="1:3" x14ac:dyDescent="0.25">
      <c r="A235" t="s">
        <v>3</v>
      </c>
      <c r="B235" s="1">
        <v>44939</v>
      </c>
      <c r="C235">
        <v>10.249745000000001</v>
      </c>
    </row>
    <row r="236" spans="1:3" x14ac:dyDescent="0.25">
      <c r="A236" t="s">
        <v>3</v>
      </c>
      <c r="B236" s="1">
        <v>44942</v>
      </c>
      <c r="C236">
        <v>10.154310000000001</v>
      </c>
    </row>
    <row r="237" spans="1:3" x14ac:dyDescent="0.25">
      <c r="A237" t="s">
        <v>3</v>
      </c>
      <c r="B237" s="1">
        <v>44943</v>
      </c>
      <c r="C237">
        <v>9.9825269999999993</v>
      </c>
    </row>
    <row r="238" spans="1:3" x14ac:dyDescent="0.25">
      <c r="A238" t="s">
        <v>3</v>
      </c>
      <c r="B238" s="1">
        <v>44944</v>
      </c>
      <c r="C238">
        <v>10.154310000000001</v>
      </c>
    </row>
    <row r="239" spans="1:3" x14ac:dyDescent="0.25">
      <c r="A239" t="s">
        <v>3</v>
      </c>
      <c r="B239" s="1">
        <v>44945</v>
      </c>
      <c r="C239">
        <v>10.192484</v>
      </c>
    </row>
    <row r="240" spans="1:3" x14ac:dyDescent="0.25">
      <c r="A240" t="s">
        <v>3</v>
      </c>
      <c r="B240" s="1">
        <v>44946</v>
      </c>
      <c r="C240">
        <v>10.268832</v>
      </c>
    </row>
    <row r="241" spans="1:3" x14ac:dyDescent="0.25">
      <c r="A241" t="s">
        <v>3</v>
      </c>
      <c r="B241" s="1">
        <v>44949</v>
      </c>
      <c r="C241">
        <v>10.402441</v>
      </c>
    </row>
    <row r="242" spans="1:3" x14ac:dyDescent="0.25">
      <c r="A242" t="s">
        <v>3</v>
      </c>
      <c r="B242" s="1">
        <v>44950</v>
      </c>
      <c r="C242">
        <v>10.421529</v>
      </c>
    </row>
    <row r="243" spans="1:3" x14ac:dyDescent="0.25">
      <c r="A243" t="s">
        <v>3</v>
      </c>
      <c r="B243" s="1">
        <v>44951</v>
      </c>
      <c r="C243">
        <v>10.192484</v>
      </c>
    </row>
    <row r="244" spans="1:3" x14ac:dyDescent="0.25">
      <c r="A244" t="s">
        <v>3</v>
      </c>
      <c r="B244" s="1">
        <v>44952</v>
      </c>
      <c r="C244">
        <v>10.287919</v>
      </c>
    </row>
    <row r="245" spans="1:3" x14ac:dyDescent="0.25">
      <c r="A245" t="s">
        <v>3</v>
      </c>
      <c r="B245" s="1">
        <v>44953</v>
      </c>
      <c r="C245">
        <v>10.345181</v>
      </c>
    </row>
    <row r="246" spans="1:3" x14ac:dyDescent="0.25">
      <c r="A246" t="s">
        <v>3</v>
      </c>
      <c r="B246" s="1">
        <v>44956</v>
      </c>
      <c r="C246">
        <v>10.402441</v>
      </c>
    </row>
    <row r="247" spans="1:3" x14ac:dyDescent="0.25">
      <c r="A247" t="s">
        <v>3</v>
      </c>
      <c r="B247" s="1">
        <v>44957</v>
      </c>
      <c r="C247">
        <v>10.383354000000001</v>
      </c>
    </row>
    <row r="248" spans="1:3" x14ac:dyDescent="0.25">
      <c r="A248" t="s">
        <v>3</v>
      </c>
      <c r="B248" s="1">
        <v>44958</v>
      </c>
      <c r="C248">
        <v>10.497877000000001</v>
      </c>
    </row>
    <row r="249" spans="1:3" x14ac:dyDescent="0.25">
      <c r="A249" t="s">
        <v>3</v>
      </c>
      <c r="B249" s="1">
        <v>44959</v>
      </c>
      <c r="C249">
        <v>10.555139</v>
      </c>
    </row>
    <row r="250" spans="1:3" x14ac:dyDescent="0.25">
      <c r="A250" t="s">
        <v>3</v>
      </c>
      <c r="B250" s="1">
        <v>44960</v>
      </c>
      <c r="C250">
        <v>10.459702</v>
      </c>
    </row>
    <row r="251" spans="1:3" x14ac:dyDescent="0.25">
      <c r="A251" t="s">
        <v>3</v>
      </c>
      <c r="B251" s="1">
        <v>44963</v>
      </c>
      <c r="C251">
        <v>10.574223999999999</v>
      </c>
    </row>
    <row r="252" spans="1:3" x14ac:dyDescent="0.25">
      <c r="A252" t="s">
        <v>3</v>
      </c>
      <c r="B252" s="1">
        <v>44964</v>
      </c>
      <c r="C252">
        <v>10.307007</v>
      </c>
    </row>
    <row r="253" spans="1:3" x14ac:dyDescent="0.25">
      <c r="A253" t="s">
        <v>3</v>
      </c>
      <c r="B253" s="1">
        <v>44965</v>
      </c>
      <c r="C253">
        <v>10.402441</v>
      </c>
    </row>
    <row r="254" spans="1:3" x14ac:dyDescent="0.25">
      <c r="A254" t="s">
        <v>3</v>
      </c>
      <c r="B254" s="1">
        <v>44966</v>
      </c>
      <c r="C254">
        <v>10.326093</v>
      </c>
    </row>
    <row r="255" spans="1:3" x14ac:dyDescent="0.25">
      <c r="A255" t="s">
        <v>3</v>
      </c>
      <c r="B255" s="1">
        <v>44967</v>
      </c>
      <c r="C255">
        <v>10.383354000000001</v>
      </c>
    </row>
    <row r="256" spans="1:3" x14ac:dyDescent="0.25">
      <c r="A256" t="s">
        <v>3</v>
      </c>
      <c r="B256" s="1">
        <v>44970</v>
      </c>
      <c r="C256">
        <v>10.402441</v>
      </c>
    </row>
    <row r="257" spans="1:3" x14ac:dyDescent="0.25">
      <c r="A257" t="s">
        <v>3</v>
      </c>
      <c r="B257" s="1">
        <v>44971</v>
      </c>
      <c r="C257">
        <v>10.364267</v>
      </c>
    </row>
    <row r="258" spans="1:3" x14ac:dyDescent="0.25">
      <c r="A258" t="s">
        <v>3</v>
      </c>
      <c r="B258" s="1">
        <v>44972</v>
      </c>
      <c r="C258">
        <v>10.402441</v>
      </c>
    </row>
    <row r="259" spans="1:3" x14ac:dyDescent="0.25">
      <c r="A259" t="s">
        <v>3</v>
      </c>
      <c r="B259" s="1">
        <v>44973</v>
      </c>
      <c r="C259">
        <v>10.402441</v>
      </c>
    </row>
    <row r="260" spans="1:3" x14ac:dyDescent="0.25">
      <c r="A260" t="s">
        <v>3</v>
      </c>
      <c r="B260" s="1">
        <v>44974</v>
      </c>
      <c r="C260">
        <v>9.7725690000000007</v>
      </c>
    </row>
    <row r="261" spans="1:3" x14ac:dyDescent="0.25">
      <c r="A261" t="s">
        <v>3</v>
      </c>
      <c r="B261" s="1">
        <v>44977</v>
      </c>
      <c r="C261">
        <v>9.9061780000000006</v>
      </c>
    </row>
    <row r="262" spans="1:3" x14ac:dyDescent="0.25">
      <c r="A262" t="s">
        <v>3</v>
      </c>
      <c r="B262" s="1">
        <v>44978</v>
      </c>
      <c r="C262">
        <v>10.0207</v>
      </c>
    </row>
    <row r="263" spans="1:3" x14ac:dyDescent="0.25">
      <c r="A263" t="s">
        <v>3</v>
      </c>
      <c r="B263" s="1">
        <v>44979</v>
      </c>
      <c r="C263">
        <v>9.8870909999999999</v>
      </c>
    </row>
    <row r="264" spans="1:3" x14ac:dyDescent="0.25">
      <c r="A264" t="s">
        <v>3</v>
      </c>
      <c r="B264" s="1">
        <v>44980</v>
      </c>
      <c r="C264">
        <v>9.9252649999999996</v>
      </c>
    </row>
    <row r="265" spans="1:3" x14ac:dyDescent="0.25">
      <c r="A265" t="s">
        <v>3</v>
      </c>
      <c r="B265" s="1">
        <v>44981</v>
      </c>
      <c r="C265">
        <v>9.9061780000000006</v>
      </c>
    </row>
    <row r="266" spans="1:3" x14ac:dyDescent="0.25">
      <c r="A266" t="s">
        <v>3</v>
      </c>
      <c r="B266" s="1">
        <v>44984</v>
      </c>
      <c r="C266">
        <v>9.9443520000000003</v>
      </c>
    </row>
    <row r="267" spans="1:3" x14ac:dyDescent="0.25">
      <c r="A267" t="s">
        <v>3</v>
      </c>
      <c r="B267" s="1">
        <v>44985</v>
      </c>
      <c r="C267">
        <v>9.9443520000000003</v>
      </c>
    </row>
    <row r="268" spans="1:3" x14ac:dyDescent="0.25">
      <c r="A268" t="s">
        <v>3</v>
      </c>
      <c r="B268" s="1">
        <v>44986</v>
      </c>
      <c r="C268">
        <v>9.9443520000000003</v>
      </c>
    </row>
    <row r="269" spans="1:3" x14ac:dyDescent="0.25">
      <c r="A269" t="s">
        <v>3</v>
      </c>
      <c r="B269" s="1">
        <v>44987</v>
      </c>
      <c r="C269">
        <v>9.8298299999999994</v>
      </c>
    </row>
    <row r="270" spans="1:3" x14ac:dyDescent="0.25">
      <c r="A270" t="s">
        <v>3</v>
      </c>
      <c r="B270" s="1">
        <v>44988</v>
      </c>
      <c r="C270">
        <v>10.001613000000001</v>
      </c>
    </row>
    <row r="271" spans="1:3" x14ac:dyDescent="0.25">
      <c r="A271" t="s">
        <v>3</v>
      </c>
      <c r="B271" s="1">
        <v>44991</v>
      </c>
      <c r="C271">
        <v>9.9443520000000003</v>
      </c>
    </row>
    <row r="272" spans="1:3" x14ac:dyDescent="0.25">
      <c r="A272" t="s">
        <v>3</v>
      </c>
      <c r="B272" s="1">
        <v>44992</v>
      </c>
      <c r="C272">
        <v>9.7916559999999997</v>
      </c>
    </row>
    <row r="273" spans="1:3" x14ac:dyDescent="0.25">
      <c r="A273" t="s">
        <v>3</v>
      </c>
      <c r="B273" s="1">
        <v>44993</v>
      </c>
      <c r="C273">
        <v>9.7725690000000007</v>
      </c>
    </row>
    <row r="274" spans="1:3" x14ac:dyDescent="0.25">
      <c r="A274" t="s">
        <v>3</v>
      </c>
      <c r="B274" s="1">
        <v>44994</v>
      </c>
      <c r="C274">
        <v>9.6389600000000009</v>
      </c>
    </row>
    <row r="275" spans="1:3" x14ac:dyDescent="0.25">
      <c r="A275" t="s">
        <v>3</v>
      </c>
      <c r="B275" s="1">
        <v>44995</v>
      </c>
      <c r="C275">
        <v>9.514894</v>
      </c>
    </row>
    <row r="276" spans="1:3" x14ac:dyDescent="0.25">
      <c r="A276" t="s">
        <v>3</v>
      </c>
      <c r="B276" s="1">
        <v>44998</v>
      </c>
      <c r="C276">
        <v>9.2858490000000007</v>
      </c>
    </row>
    <row r="277" spans="1:3" x14ac:dyDescent="0.25">
      <c r="A277" t="s">
        <v>3</v>
      </c>
      <c r="B277" s="1">
        <v>44999</v>
      </c>
      <c r="C277">
        <v>9.2190449999999995</v>
      </c>
    </row>
    <row r="278" spans="1:3" x14ac:dyDescent="0.25">
      <c r="A278" t="s">
        <v>3</v>
      </c>
      <c r="B278" s="1">
        <v>45000</v>
      </c>
      <c r="C278">
        <v>8.8945650000000001</v>
      </c>
    </row>
    <row r="279" spans="1:3" x14ac:dyDescent="0.25">
      <c r="A279" t="s">
        <v>3</v>
      </c>
      <c r="B279" s="1">
        <v>45001</v>
      </c>
      <c r="C279">
        <v>8.9327380000000005</v>
      </c>
    </row>
    <row r="280" spans="1:3" x14ac:dyDescent="0.25">
      <c r="A280" t="s">
        <v>3</v>
      </c>
      <c r="B280" s="1">
        <v>45002</v>
      </c>
      <c r="C280">
        <v>8.7991290000000006</v>
      </c>
    </row>
    <row r="281" spans="1:3" x14ac:dyDescent="0.25">
      <c r="A281" t="s">
        <v>3</v>
      </c>
      <c r="B281" s="1">
        <v>45005</v>
      </c>
      <c r="C281">
        <v>8.8373039999999996</v>
      </c>
    </row>
    <row r="282" spans="1:3" x14ac:dyDescent="0.25">
      <c r="A282" t="s">
        <v>3</v>
      </c>
      <c r="B282" s="1">
        <v>45006</v>
      </c>
      <c r="C282">
        <v>9.0758910000000004</v>
      </c>
    </row>
    <row r="283" spans="1:3" x14ac:dyDescent="0.25">
      <c r="A283" t="s">
        <v>3</v>
      </c>
      <c r="B283" s="1">
        <v>45007</v>
      </c>
      <c r="C283">
        <v>8.9709129999999995</v>
      </c>
    </row>
    <row r="284" spans="1:3" x14ac:dyDescent="0.25">
      <c r="A284" t="s">
        <v>3</v>
      </c>
      <c r="B284" s="1">
        <v>45008</v>
      </c>
      <c r="C284">
        <v>8.9231960000000008</v>
      </c>
    </row>
    <row r="285" spans="1:3" x14ac:dyDescent="0.25">
      <c r="A285" t="s">
        <v>3</v>
      </c>
      <c r="B285" s="1">
        <v>45009</v>
      </c>
      <c r="C285">
        <v>8.8945650000000001</v>
      </c>
    </row>
    <row r="286" spans="1:3" x14ac:dyDescent="0.25">
      <c r="A286" t="s">
        <v>3</v>
      </c>
      <c r="B286" s="1">
        <v>45012</v>
      </c>
      <c r="C286">
        <v>8.9327380000000005</v>
      </c>
    </row>
    <row r="287" spans="1:3" x14ac:dyDescent="0.25">
      <c r="A287" t="s">
        <v>3</v>
      </c>
      <c r="B287" s="1">
        <v>45013</v>
      </c>
      <c r="C287">
        <v>8.9231960000000008</v>
      </c>
    </row>
    <row r="288" spans="1:3" x14ac:dyDescent="0.25">
      <c r="A288" t="s">
        <v>3</v>
      </c>
      <c r="B288" s="1">
        <v>45014</v>
      </c>
      <c r="C288">
        <v>8.9041080000000008</v>
      </c>
    </row>
    <row r="289" spans="1:3" x14ac:dyDescent="0.25">
      <c r="A289" t="s">
        <v>3</v>
      </c>
      <c r="B289" s="1">
        <v>45015</v>
      </c>
      <c r="C289">
        <v>9.1617840000000008</v>
      </c>
    </row>
    <row r="290" spans="1:3" x14ac:dyDescent="0.25">
      <c r="A290" t="s">
        <v>3</v>
      </c>
      <c r="B290" s="1">
        <v>45016</v>
      </c>
      <c r="C290">
        <v>9.1140659999999993</v>
      </c>
    </row>
    <row r="291" spans="1:3" x14ac:dyDescent="0.25">
      <c r="A291" t="s">
        <v>3</v>
      </c>
      <c r="B291" s="1">
        <v>45019</v>
      </c>
      <c r="C291">
        <v>9.0281739999999999</v>
      </c>
    </row>
    <row r="292" spans="1:3" x14ac:dyDescent="0.25">
      <c r="A292" t="s">
        <v>3</v>
      </c>
      <c r="B292" s="1">
        <v>45020</v>
      </c>
      <c r="C292">
        <v>9.1331530000000001</v>
      </c>
    </row>
    <row r="293" spans="1:3" x14ac:dyDescent="0.25">
      <c r="A293" t="s">
        <v>3</v>
      </c>
      <c r="B293" s="1">
        <v>45021</v>
      </c>
      <c r="C293">
        <v>8.99</v>
      </c>
    </row>
    <row r="294" spans="1:3" x14ac:dyDescent="0.25">
      <c r="A294" t="s">
        <v>3</v>
      </c>
      <c r="B294" s="1">
        <v>45022</v>
      </c>
      <c r="C294">
        <v>9.1999999999999993</v>
      </c>
    </row>
    <row r="295" spans="1:3" x14ac:dyDescent="0.25">
      <c r="A295" t="s">
        <v>3</v>
      </c>
      <c r="B295" s="1">
        <v>45027</v>
      </c>
      <c r="C295">
        <v>9.16</v>
      </c>
    </row>
    <row r="296" spans="1:3" x14ac:dyDescent="0.25">
      <c r="A296" t="s">
        <v>3</v>
      </c>
      <c r="B296" s="1">
        <v>45028</v>
      </c>
      <c r="C296">
        <v>9.11</v>
      </c>
    </row>
    <row r="297" spans="1:3" x14ac:dyDescent="0.25">
      <c r="A297" t="s">
        <v>3</v>
      </c>
      <c r="B297" s="1">
        <v>45029</v>
      </c>
      <c r="C297">
        <v>9.17</v>
      </c>
    </row>
    <row r="298" spans="1:3" x14ac:dyDescent="0.25">
      <c r="A298" t="s">
        <v>3</v>
      </c>
      <c r="B298" s="1">
        <v>45030</v>
      </c>
      <c r="C298">
        <v>9.1999999999999993</v>
      </c>
    </row>
    <row r="299" spans="1:3" x14ac:dyDescent="0.25">
      <c r="A299" t="s">
        <v>3</v>
      </c>
      <c r="B299" s="1">
        <v>45033</v>
      </c>
      <c r="C299">
        <v>9.18</v>
      </c>
    </row>
    <row r="300" spans="1:3" x14ac:dyDescent="0.25">
      <c r="A300" t="s">
        <v>3</v>
      </c>
      <c r="B300" s="1">
        <v>45034</v>
      </c>
      <c r="C300">
        <v>9.11</v>
      </c>
    </row>
    <row r="301" spans="1:3" x14ac:dyDescent="0.25">
      <c r="A301" t="s">
        <v>3</v>
      </c>
      <c r="B301" s="1">
        <v>45035</v>
      </c>
      <c r="C301">
        <v>9.2100000000000009</v>
      </c>
    </row>
    <row r="302" spans="1:3" x14ac:dyDescent="0.25">
      <c r="A302" t="s">
        <v>3</v>
      </c>
      <c r="B302" s="1">
        <v>45036</v>
      </c>
      <c r="C302">
        <v>9.1300000000000008</v>
      </c>
    </row>
    <row r="303" spans="1:3" x14ac:dyDescent="0.25">
      <c r="A303" t="s">
        <v>3</v>
      </c>
      <c r="B303" s="1">
        <v>45037</v>
      </c>
      <c r="C303">
        <v>9.1199999999999992</v>
      </c>
    </row>
    <row r="304" spans="1:3" x14ac:dyDescent="0.25">
      <c r="A304" t="s">
        <v>3</v>
      </c>
      <c r="B304" s="1">
        <v>45040</v>
      </c>
      <c r="C304">
        <v>9.08</v>
      </c>
    </row>
    <row r="305" spans="1:3" x14ac:dyDescent="0.25">
      <c r="A305" t="s">
        <v>3</v>
      </c>
      <c r="B305" s="1">
        <v>45041</v>
      </c>
      <c r="C305">
        <v>9.0500000000000007</v>
      </c>
    </row>
    <row r="306" spans="1:3" x14ac:dyDescent="0.25">
      <c r="A306" t="s">
        <v>3</v>
      </c>
      <c r="B306" s="1">
        <v>45042</v>
      </c>
      <c r="C306">
        <v>9.14</v>
      </c>
    </row>
    <row r="307" spans="1:3" x14ac:dyDescent="0.25">
      <c r="A307" t="s">
        <v>3</v>
      </c>
      <c r="B307" s="1">
        <v>45043</v>
      </c>
      <c r="C307">
        <v>9.17</v>
      </c>
    </row>
    <row r="308" spans="1:3" x14ac:dyDescent="0.25">
      <c r="A308" t="s">
        <v>3</v>
      </c>
      <c r="B308" s="1">
        <v>45044</v>
      </c>
      <c r="C308">
        <v>9.1300000000000008</v>
      </c>
    </row>
    <row r="309" spans="1:3" x14ac:dyDescent="0.25">
      <c r="A309" t="s">
        <v>3</v>
      </c>
      <c r="B309" s="1">
        <v>45048</v>
      </c>
      <c r="C309">
        <v>9.1999999999999993</v>
      </c>
    </row>
    <row r="310" spans="1:3" x14ac:dyDescent="0.25">
      <c r="A310" t="s">
        <v>3</v>
      </c>
      <c r="B310" s="1">
        <v>45049</v>
      </c>
      <c r="C310">
        <v>9.17</v>
      </c>
    </row>
    <row r="311" spans="1:3" x14ac:dyDescent="0.25">
      <c r="A311" t="s">
        <v>3</v>
      </c>
      <c r="B311" s="1">
        <v>45050</v>
      </c>
      <c r="C311">
        <v>9.15</v>
      </c>
    </row>
    <row r="312" spans="1:3" x14ac:dyDescent="0.25">
      <c r="A312" t="s">
        <v>3</v>
      </c>
      <c r="B312" s="1">
        <v>45051</v>
      </c>
      <c r="C312">
        <v>9.2100000000000009</v>
      </c>
    </row>
    <row r="313" spans="1:3" x14ac:dyDescent="0.25">
      <c r="A313" t="s">
        <v>3</v>
      </c>
      <c r="B313" s="1">
        <v>45054</v>
      </c>
      <c r="C313">
        <v>9.44</v>
      </c>
    </row>
    <row r="314" spans="1:3" x14ac:dyDescent="0.25">
      <c r="A314" t="s">
        <v>3</v>
      </c>
      <c r="B314" s="1">
        <v>45055</v>
      </c>
      <c r="C314">
        <v>9.31</v>
      </c>
    </row>
    <row r="315" spans="1:3" x14ac:dyDescent="0.25">
      <c r="A315" t="s">
        <v>3</v>
      </c>
      <c r="B315" s="1">
        <v>45056</v>
      </c>
      <c r="C315">
        <v>9.34</v>
      </c>
    </row>
    <row r="316" spans="1:3" x14ac:dyDescent="0.25">
      <c r="A316" t="s">
        <v>3</v>
      </c>
      <c r="B316" s="1">
        <v>45057</v>
      </c>
      <c r="C316">
        <v>9.6199999999999992</v>
      </c>
    </row>
    <row r="317" spans="1:3" x14ac:dyDescent="0.25">
      <c r="A317" t="s">
        <v>3</v>
      </c>
      <c r="B317" s="1">
        <v>45058</v>
      </c>
      <c r="C317">
        <v>9.25</v>
      </c>
    </row>
    <row r="318" spans="1:3" x14ac:dyDescent="0.25">
      <c r="A318" t="s">
        <v>3</v>
      </c>
      <c r="B318" s="1">
        <v>45061</v>
      </c>
      <c r="C318">
        <v>9.27</v>
      </c>
    </row>
    <row r="319" spans="1:3" x14ac:dyDescent="0.25">
      <c r="A319" t="s">
        <v>3</v>
      </c>
      <c r="B319" s="1">
        <v>45062</v>
      </c>
      <c r="C319">
        <v>9.31</v>
      </c>
    </row>
    <row r="320" spans="1:3" x14ac:dyDescent="0.25">
      <c r="A320" t="s">
        <v>3</v>
      </c>
      <c r="B320" s="1">
        <v>45063</v>
      </c>
      <c r="C320">
        <v>9.4</v>
      </c>
    </row>
    <row r="321" spans="1:3" x14ac:dyDescent="0.25">
      <c r="A321" t="s">
        <v>3</v>
      </c>
      <c r="B321" s="1">
        <v>45065</v>
      </c>
      <c r="C321">
        <v>9.42</v>
      </c>
    </row>
    <row r="322" spans="1:3" x14ac:dyDescent="0.25">
      <c r="A322" t="s">
        <v>3</v>
      </c>
      <c r="B322" s="1">
        <v>45068</v>
      </c>
      <c r="C322">
        <v>9.25</v>
      </c>
    </row>
    <row r="323" spans="1:3" x14ac:dyDescent="0.25">
      <c r="A323" t="s">
        <v>3</v>
      </c>
      <c r="B323" s="1">
        <v>45069</v>
      </c>
      <c r="C323">
        <v>9.3699999999999992</v>
      </c>
    </row>
    <row r="324" spans="1:3" x14ac:dyDescent="0.25">
      <c r="A324" t="s">
        <v>3</v>
      </c>
      <c r="B324" s="1">
        <v>45070</v>
      </c>
      <c r="C324">
        <v>9.25</v>
      </c>
    </row>
    <row r="325" spans="1:3" x14ac:dyDescent="0.25">
      <c r="A325" t="s">
        <v>3</v>
      </c>
      <c r="B325" s="1">
        <v>45071</v>
      </c>
      <c r="C325">
        <v>9.2100000000000009</v>
      </c>
    </row>
    <row r="326" spans="1:3" x14ac:dyDescent="0.25">
      <c r="A326" t="s">
        <v>3</v>
      </c>
      <c r="B326" s="1">
        <v>45072</v>
      </c>
      <c r="C326">
        <v>9.1999999999999993</v>
      </c>
    </row>
    <row r="327" spans="1:3" x14ac:dyDescent="0.25">
      <c r="A327" t="s">
        <v>3</v>
      </c>
      <c r="B327" s="1">
        <v>45075</v>
      </c>
      <c r="C327">
        <v>9.14</v>
      </c>
    </row>
    <row r="328" spans="1:3" x14ac:dyDescent="0.25">
      <c r="A328" t="s">
        <v>3</v>
      </c>
      <c r="B328" s="1">
        <v>45076</v>
      </c>
      <c r="C328">
        <v>9.25</v>
      </c>
    </row>
    <row r="329" spans="1:3" x14ac:dyDescent="0.25">
      <c r="A329" t="s">
        <v>3</v>
      </c>
      <c r="B329" s="1">
        <v>45077</v>
      </c>
      <c r="C329">
        <v>9.15</v>
      </c>
    </row>
    <row r="330" spans="1:3" x14ac:dyDescent="0.25">
      <c r="A330" t="s">
        <v>3</v>
      </c>
      <c r="B330" s="1">
        <v>45078</v>
      </c>
      <c r="C330">
        <v>9.32</v>
      </c>
    </row>
    <row r="331" spans="1:3" x14ac:dyDescent="0.25">
      <c r="A331" t="s">
        <v>3</v>
      </c>
      <c r="B331" s="1">
        <v>45079</v>
      </c>
      <c r="C331">
        <v>9.48</v>
      </c>
    </row>
    <row r="332" spans="1:3" x14ac:dyDescent="0.25">
      <c r="A332" t="s">
        <v>3</v>
      </c>
      <c r="B332" s="1">
        <v>45082</v>
      </c>
      <c r="C332">
        <v>9.6300000000000008</v>
      </c>
    </row>
    <row r="333" spans="1:3" x14ac:dyDescent="0.25">
      <c r="A333" t="s">
        <v>3</v>
      </c>
      <c r="B333" s="1">
        <v>45083</v>
      </c>
      <c r="C333">
        <v>9.65</v>
      </c>
    </row>
    <row r="334" spans="1:3" x14ac:dyDescent="0.25">
      <c r="A334" t="s">
        <v>3</v>
      </c>
      <c r="B334" s="1">
        <v>45084</v>
      </c>
      <c r="C334">
        <v>9.7100000000000009</v>
      </c>
    </row>
    <row r="335" spans="1:3" x14ac:dyDescent="0.25">
      <c r="A335" t="s">
        <v>3</v>
      </c>
      <c r="B335" s="1">
        <v>45085</v>
      </c>
      <c r="C335">
        <v>9.65</v>
      </c>
    </row>
    <row r="336" spans="1:3" x14ac:dyDescent="0.25">
      <c r="A336" t="s">
        <v>3</v>
      </c>
      <c r="B336" s="1">
        <v>45086</v>
      </c>
      <c r="C336">
        <v>9.7100000000000009</v>
      </c>
    </row>
    <row r="337" spans="1:3" x14ac:dyDescent="0.25">
      <c r="A337" t="s">
        <v>3</v>
      </c>
      <c r="B337" s="1">
        <v>45089</v>
      </c>
      <c r="C337">
        <v>9.66</v>
      </c>
    </row>
    <row r="338" spans="1:3" x14ac:dyDescent="0.25">
      <c r="A338" t="s">
        <v>3</v>
      </c>
      <c r="B338" s="1">
        <v>45090</v>
      </c>
      <c r="C338">
        <v>9.7100000000000009</v>
      </c>
    </row>
    <row r="339" spans="1:3" x14ac:dyDescent="0.25">
      <c r="A339" t="s">
        <v>3</v>
      </c>
      <c r="B339" s="1">
        <v>45091</v>
      </c>
      <c r="C339">
        <v>9.75</v>
      </c>
    </row>
    <row r="340" spans="1:3" x14ac:dyDescent="0.25">
      <c r="A340" t="s">
        <v>3</v>
      </c>
      <c r="B340" s="1">
        <v>45092</v>
      </c>
      <c r="C340">
        <v>9.75</v>
      </c>
    </row>
    <row r="341" spans="1:3" x14ac:dyDescent="0.25">
      <c r="A341" t="s">
        <v>3</v>
      </c>
      <c r="B341" s="1">
        <v>45093</v>
      </c>
      <c r="C341">
        <v>9.7799999999999994</v>
      </c>
    </row>
    <row r="342" spans="1:3" x14ac:dyDescent="0.25">
      <c r="A342" t="s">
        <v>3</v>
      </c>
      <c r="B342" s="1">
        <v>45096</v>
      </c>
      <c r="C342">
        <v>9.64</v>
      </c>
    </row>
    <row r="343" spans="1:3" x14ac:dyDescent="0.25">
      <c r="A343" t="s">
        <v>3</v>
      </c>
      <c r="B343" s="1">
        <v>45097</v>
      </c>
      <c r="C343">
        <v>9.49</v>
      </c>
    </row>
    <row r="344" spans="1:3" x14ac:dyDescent="0.25">
      <c r="A344" t="s">
        <v>3</v>
      </c>
      <c r="B344" s="1">
        <v>45098</v>
      </c>
      <c r="C344">
        <v>9.4499999999999993</v>
      </c>
    </row>
    <row r="345" spans="1:3" x14ac:dyDescent="0.25">
      <c r="A345" t="s">
        <v>3</v>
      </c>
      <c r="B345" s="1">
        <v>45099</v>
      </c>
      <c r="C345">
        <v>9.25</v>
      </c>
    </row>
    <row r="346" spans="1:3" x14ac:dyDescent="0.25">
      <c r="A346" t="s">
        <v>3</v>
      </c>
      <c r="B346" s="1">
        <v>45103</v>
      </c>
      <c r="C346">
        <v>9.15</v>
      </c>
    </row>
    <row r="347" spans="1:3" x14ac:dyDescent="0.25">
      <c r="A347" t="s">
        <v>3</v>
      </c>
      <c r="B347" s="1">
        <v>45104</v>
      </c>
      <c r="C347">
        <v>9.14</v>
      </c>
    </row>
    <row r="348" spans="1:3" x14ac:dyDescent="0.25">
      <c r="A348" t="s">
        <v>3</v>
      </c>
      <c r="B348" s="1">
        <v>45105</v>
      </c>
      <c r="C348">
        <v>9.17</v>
      </c>
    </row>
    <row r="349" spans="1:3" x14ac:dyDescent="0.25">
      <c r="A349" t="s">
        <v>3</v>
      </c>
      <c r="B349" s="1">
        <v>45106</v>
      </c>
      <c r="C349">
        <v>9.24</v>
      </c>
    </row>
    <row r="350" spans="1:3" x14ac:dyDescent="0.25">
      <c r="A350" t="s">
        <v>3</v>
      </c>
      <c r="B350" s="1">
        <v>45107</v>
      </c>
      <c r="C350">
        <v>9.3000000000000007</v>
      </c>
    </row>
    <row r="351" spans="1:3" x14ac:dyDescent="0.25">
      <c r="A351" t="s">
        <v>3</v>
      </c>
      <c r="B351" s="1">
        <v>45110</v>
      </c>
      <c r="C351">
        <v>9.4</v>
      </c>
    </row>
    <row r="352" spans="1:3" x14ac:dyDescent="0.25">
      <c r="A352" t="s">
        <v>3</v>
      </c>
      <c r="B352" s="1">
        <v>45111</v>
      </c>
      <c r="C352">
        <v>9.3800000000000008</v>
      </c>
    </row>
    <row r="353" spans="1:3" x14ac:dyDescent="0.25">
      <c r="A353" t="s">
        <v>3</v>
      </c>
      <c r="B353" s="1">
        <v>45112</v>
      </c>
      <c r="C353">
        <v>9.36</v>
      </c>
    </row>
    <row r="354" spans="1:3" x14ac:dyDescent="0.25">
      <c r="A354" t="s">
        <v>3</v>
      </c>
      <c r="B354" s="1">
        <v>45113</v>
      </c>
      <c r="C354">
        <v>9.2200000000000006</v>
      </c>
    </row>
    <row r="355" spans="1:3" x14ac:dyDescent="0.25">
      <c r="A355" t="s">
        <v>3</v>
      </c>
      <c r="B355" s="1">
        <v>45114</v>
      </c>
      <c r="C355">
        <v>9.27</v>
      </c>
    </row>
    <row r="356" spans="1:3" x14ac:dyDescent="0.25">
      <c r="A356" t="s">
        <v>3</v>
      </c>
      <c r="B356" s="1">
        <v>45117</v>
      </c>
      <c r="C356">
        <v>9.14</v>
      </c>
    </row>
    <row r="357" spans="1:3" x14ac:dyDescent="0.25">
      <c r="A357" t="s">
        <v>3</v>
      </c>
      <c r="B357" s="1">
        <v>45118</v>
      </c>
      <c r="C357">
        <v>9.23</v>
      </c>
    </row>
    <row r="358" spans="1:3" x14ac:dyDescent="0.25">
      <c r="A358" t="s">
        <v>3</v>
      </c>
      <c r="B358" s="1">
        <v>45119</v>
      </c>
      <c r="C358">
        <v>9.3699999999999992</v>
      </c>
    </row>
    <row r="359" spans="1:3" x14ac:dyDescent="0.25">
      <c r="A359" t="s">
        <v>3</v>
      </c>
      <c r="B359" s="1">
        <v>45120</v>
      </c>
      <c r="C359">
        <v>9.4700000000000006</v>
      </c>
    </row>
    <row r="360" spans="1:3" x14ac:dyDescent="0.25">
      <c r="A360" t="s">
        <v>3</v>
      </c>
      <c r="B360" s="1">
        <v>45121</v>
      </c>
      <c r="C360">
        <v>9.39</v>
      </c>
    </row>
    <row r="361" spans="1:3" x14ac:dyDescent="0.25">
      <c r="A361" t="s">
        <v>3</v>
      </c>
      <c r="B361" s="1">
        <v>45124</v>
      </c>
      <c r="C361">
        <v>9.4600000000000009</v>
      </c>
    </row>
    <row r="362" spans="1:3" x14ac:dyDescent="0.25">
      <c r="A362" t="s">
        <v>3</v>
      </c>
      <c r="B362" s="1">
        <v>45125</v>
      </c>
      <c r="C362">
        <v>9.2799999999999994</v>
      </c>
    </row>
    <row r="363" spans="1:3" x14ac:dyDescent="0.25">
      <c r="A363" t="s">
        <v>3</v>
      </c>
      <c r="B363" s="1">
        <v>45126</v>
      </c>
      <c r="C363">
        <v>9.3699999999999992</v>
      </c>
    </row>
    <row r="364" spans="1:3" x14ac:dyDescent="0.25">
      <c r="A364" t="s">
        <v>3</v>
      </c>
      <c r="B364" s="1">
        <v>45127</v>
      </c>
      <c r="C364">
        <v>9.4</v>
      </c>
    </row>
    <row r="365" spans="1:3" x14ac:dyDescent="0.25">
      <c r="A365" t="s">
        <v>3</v>
      </c>
      <c r="B365" s="1">
        <v>45128</v>
      </c>
      <c r="C365">
        <v>9.41</v>
      </c>
    </row>
    <row r="366" spans="1:3" x14ac:dyDescent="0.25">
      <c r="A366" t="s">
        <v>3</v>
      </c>
      <c r="B366" s="1">
        <v>45131</v>
      </c>
      <c r="C366">
        <v>9.3800000000000008</v>
      </c>
    </row>
    <row r="367" spans="1:3" x14ac:dyDescent="0.25">
      <c r="A367" t="s">
        <v>3</v>
      </c>
      <c r="B367" s="1">
        <v>45132</v>
      </c>
      <c r="C367">
        <v>9.48</v>
      </c>
    </row>
    <row r="368" spans="1:3" x14ac:dyDescent="0.25">
      <c r="A368" t="s">
        <v>3</v>
      </c>
      <c r="B368" s="1">
        <v>45133</v>
      </c>
      <c r="C368">
        <v>9.5399999999999991</v>
      </c>
    </row>
    <row r="369" spans="1:3" x14ac:dyDescent="0.25">
      <c r="A369" t="s">
        <v>3</v>
      </c>
      <c r="B369" s="1">
        <v>45134</v>
      </c>
      <c r="C369">
        <v>9.51</v>
      </c>
    </row>
    <row r="370" spans="1:3" x14ac:dyDescent="0.25">
      <c r="A370" t="s">
        <v>3</v>
      </c>
      <c r="B370" s="1">
        <v>45135</v>
      </c>
      <c r="C370">
        <v>9.4</v>
      </c>
    </row>
    <row r="371" spans="1:3" x14ac:dyDescent="0.25">
      <c r="A371" t="s">
        <v>3</v>
      </c>
      <c r="B371" s="1">
        <v>45138</v>
      </c>
      <c r="C371">
        <v>9.4</v>
      </c>
    </row>
    <row r="372" spans="1:3" x14ac:dyDescent="0.25">
      <c r="A372" t="s">
        <v>3</v>
      </c>
      <c r="B372" s="1">
        <v>45139</v>
      </c>
      <c r="C372">
        <v>9.4499999999999993</v>
      </c>
    </row>
    <row r="373" spans="1:3" x14ac:dyDescent="0.25">
      <c r="A373" t="s">
        <v>3</v>
      </c>
      <c r="B373" s="1">
        <v>45140</v>
      </c>
      <c r="C373">
        <v>9.35</v>
      </c>
    </row>
    <row r="374" spans="1:3" x14ac:dyDescent="0.25">
      <c r="A374" t="s">
        <v>3</v>
      </c>
      <c r="B374" s="1">
        <v>45141</v>
      </c>
      <c r="C374">
        <v>9.36</v>
      </c>
    </row>
    <row r="375" spans="1:3" x14ac:dyDescent="0.25">
      <c r="A375" t="s">
        <v>3</v>
      </c>
      <c r="B375" s="1">
        <v>45142</v>
      </c>
      <c r="C375">
        <v>9.4499999999999993</v>
      </c>
    </row>
    <row r="376" spans="1:3" x14ac:dyDescent="0.25">
      <c r="A376" t="s">
        <v>3</v>
      </c>
      <c r="B376" s="1">
        <v>45145</v>
      </c>
      <c r="C376">
        <v>9.48</v>
      </c>
    </row>
    <row r="377" spans="1:3" x14ac:dyDescent="0.25">
      <c r="A377" t="s">
        <v>3</v>
      </c>
      <c r="B377" s="1">
        <v>45146</v>
      </c>
      <c r="C377">
        <v>9.5500000000000007</v>
      </c>
    </row>
    <row r="378" spans="1:3" x14ac:dyDescent="0.25">
      <c r="A378" t="s">
        <v>3</v>
      </c>
      <c r="B378" s="1">
        <v>45147</v>
      </c>
      <c r="C378">
        <v>9.4</v>
      </c>
    </row>
    <row r="379" spans="1:3" x14ac:dyDescent="0.25">
      <c r="A379" t="s">
        <v>3</v>
      </c>
      <c r="B379" s="1">
        <v>45148</v>
      </c>
      <c r="C379">
        <v>9.4499999999999993</v>
      </c>
    </row>
    <row r="380" spans="1:3" x14ac:dyDescent="0.25">
      <c r="A380" t="s">
        <v>3</v>
      </c>
      <c r="B380" s="1">
        <v>45149</v>
      </c>
      <c r="C380">
        <v>9.24</v>
      </c>
    </row>
    <row r="381" spans="1:3" x14ac:dyDescent="0.25">
      <c r="A381" t="s">
        <v>3</v>
      </c>
      <c r="B381" s="1">
        <v>45152</v>
      </c>
      <c r="C381">
        <v>9.16</v>
      </c>
    </row>
    <row r="382" spans="1:3" x14ac:dyDescent="0.25">
      <c r="A382" t="s">
        <v>3</v>
      </c>
      <c r="B382" s="1">
        <v>45153</v>
      </c>
      <c r="C382">
        <v>9.15</v>
      </c>
    </row>
    <row r="383" spans="1:3" x14ac:dyDescent="0.25">
      <c r="A383" t="s">
        <v>3</v>
      </c>
      <c r="B383" s="1">
        <v>45154</v>
      </c>
      <c r="C383">
        <v>9.16</v>
      </c>
    </row>
    <row r="384" spans="1:3" x14ac:dyDescent="0.25">
      <c r="A384" t="s">
        <v>3</v>
      </c>
      <c r="B384" s="1">
        <v>45155</v>
      </c>
      <c r="C384">
        <v>9.2100000000000009</v>
      </c>
    </row>
    <row r="385" spans="1:3" x14ac:dyDescent="0.25">
      <c r="A385" t="s">
        <v>3</v>
      </c>
      <c r="B385" s="1">
        <v>45156</v>
      </c>
      <c r="C385">
        <v>9.16</v>
      </c>
    </row>
    <row r="386" spans="1:3" x14ac:dyDescent="0.25">
      <c r="A386" t="s">
        <v>3</v>
      </c>
      <c r="B386" s="1">
        <v>45159</v>
      </c>
      <c r="C386">
        <v>9.15</v>
      </c>
    </row>
    <row r="387" spans="1:3" x14ac:dyDescent="0.25">
      <c r="A387" t="s">
        <v>3</v>
      </c>
      <c r="B387" s="1">
        <v>45160</v>
      </c>
      <c r="C387">
        <v>9.1300000000000008</v>
      </c>
    </row>
    <row r="388" spans="1:3" x14ac:dyDescent="0.25">
      <c r="A388" t="s">
        <v>3</v>
      </c>
      <c r="B388" s="1">
        <v>45161</v>
      </c>
      <c r="C388">
        <v>9.14</v>
      </c>
    </row>
    <row r="389" spans="1:3" x14ac:dyDescent="0.25">
      <c r="A389" t="s">
        <v>3</v>
      </c>
      <c r="B389" s="1">
        <v>45162</v>
      </c>
      <c r="C389">
        <v>9.17</v>
      </c>
    </row>
    <row r="390" spans="1:3" x14ac:dyDescent="0.25">
      <c r="A390" t="s">
        <v>3</v>
      </c>
      <c r="B390" s="1">
        <v>45163</v>
      </c>
      <c r="C390">
        <v>9.16</v>
      </c>
    </row>
    <row r="391" spans="1:3" x14ac:dyDescent="0.25">
      <c r="A391" t="s">
        <v>3</v>
      </c>
      <c r="B391" s="1">
        <v>45166</v>
      </c>
      <c r="C391">
        <v>9.19</v>
      </c>
    </row>
    <row r="392" spans="1:3" x14ac:dyDescent="0.25">
      <c r="A392" t="s">
        <v>3</v>
      </c>
      <c r="B392" s="1">
        <v>45167</v>
      </c>
      <c r="C392">
        <v>9.27</v>
      </c>
    </row>
    <row r="393" spans="1:3" x14ac:dyDescent="0.25">
      <c r="A393" t="s">
        <v>3</v>
      </c>
      <c r="B393" s="1">
        <v>45168</v>
      </c>
      <c r="C393">
        <v>9.3000000000000007</v>
      </c>
    </row>
    <row r="394" spans="1:3" x14ac:dyDescent="0.25">
      <c r="A394" t="s">
        <v>3</v>
      </c>
      <c r="B394" s="1">
        <v>45169</v>
      </c>
      <c r="C394">
        <v>9.5</v>
      </c>
    </row>
    <row r="395" spans="1:3" x14ac:dyDescent="0.25">
      <c r="A395" t="s">
        <v>3</v>
      </c>
      <c r="B395" s="1">
        <v>45170</v>
      </c>
      <c r="C395">
        <v>9.4499999999999993</v>
      </c>
    </row>
    <row r="396" spans="1:3" x14ac:dyDescent="0.25">
      <c r="A396" t="s">
        <v>3</v>
      </c>
      <c r="B396" s="1">
        <v>45173</v>
      </c>
      <c r="C396">
        <v>9.42</v>
      </c>
    </row>
    <row r="397" spans="1:3" x14ac:dyDescent="0.25">
      <c r="A397" t="s">
        <v>3</v>
      </c>
      <c r="B397" s="1">
        <v>45174</v>
      </c>
      <c r="C397">
        <v>9.43</v>
      </c>
    </row>
    <row r="398" spans="1:3" x14ac:dyDescent="0.25">
      <c r="A398" t="s">
        <v>3</v>
      </c>
      <c r="B398" s="1">
        <v>45175</v>
      </c>
      <c r="C398">
        <v>9.3800000000000008</v>
      </c>
    </row>
    <row r="399" spans="1:3" x14ac:dyDescent="0.25">
      <c r="A399" t="s">
        <v>3</v>
      </c>
      <c r="B399" s="1">
        <v>45176</v>
      </c>
      <c r="C399">
        <v>9.2899999999999991</v>
      </c>
    </row>
    <row r="400" spans="1:3" x14ac:dyDescent="0.25">
      <c r="A400" t="s">
        <v>3</v>
      </c>
      <c r="B400" s="1">
        <v>45177</v>
      </c>
      <c r="C400">
        <v>9.33</v>
      </c>
    </row>
    <row r="401" spans="1:3" x14ac:dyDescent="0.25">
      <c r="A401" t="s">
        <v>3</v>
      </c>
      <c r="B401" s="1">
        <v>45180</v>
      </c>
      <c r="C401">
        <v>9.34</v>
      </c>
    </row>
    <row r="402" spans="1:3" x14ac:dyDescent="0.25">
      <c r="A402" t="s">
        <v>3</v>
      </c>
      <c r="B402" s="1">
        <v>45181</v>
      </c>
      <c r="C402">
        <v>9.3800000000000008</v>
      </c>
    </row>
    <row r="403" spans="1:3" x14ac:dyDescent="0.25">
      <c r="A403" t="s">
        <v>3</v>
      </c>
      <c r="B403" s="1">
        <v>45182</v>
      </c>
      <c r="C403">
        <v>9.34</v>
      </c>
    </row>
    <row r="404" spans="1:3" x14ac:dyDescent="0.25">
      <c r="A404" t="s">
        <v>3</v>
      </c>
      <c r="B404" s="1">
        <v>45183</v>
      </c>
      <c r="C404">
        <v>9.42</v>
      </c>
    </row>
    <row r="405" spans="1:3" x14ac:dyDescent="0.25">
      <c r="A405" t="s">
        <v>3</v>
      </c>
      <c r="B405" s="1">
        <v>45184</v>
      </c>
      <c r="C405">
        <v>9.42</v>
      </c>
    </row>
    <row r="406" spans="1:3" x14ac:dyDescent="0.25">
      <c r="A406" t="s">
        <v>3</v>
      </c>
      <c r="B406" s="1">
        <v>45187</v>
      </c>
      <c r="C406">
        <v>9.3800000000000008</v>
      </c>
    </row>
    <row r="407" spans="1:3" x14ac:dyDescent="0.25">
      <c r="A407" t="s">
        <v>3</v>
      </c>
      <c r="B407" s="1">
        <v>45188</v>
      </c>
      <c r="C407">
        <v>9.39</v>
      </c>
    </row>
    <row r="408" spans="1:3" x14ac:dyDescent="0.25">
      <c r="A408" t="s">
        <v>3</v>
      </c>
      <c r="B408" s="1">
        <v>45189</v>
      </c>
      <c r="C408">
        <v>9.41</v>
      </c>
    </row>
    <row r="409" spans="1:3" x14ac:dyDescent="0.25">
      <c r="A409" t="s">
        <v>3</v>
      </c>
      <c r="B409" s="1">
        <v>45190</v>
      </c>
      <c r="C409">
        <v>9.36</v>
      </c>
    </row>
    <row r="410" spans="1:3" x14ac:dyDescent="0.25">
      <c r="A410" t="s">
        <v>3</v>
      </c>
      <c r="B410" s="1">
        <v>45191</v>
      </c>
      <c r="C410">
        <v>9.2100000000000009</v>
      </c>
    </row>
    <row r="411" spans="1:3" x14ac:dyDescent="0.25">
      <c r="A411" t="s">
        <v>3</v>
      </c>
      <c r="B411" s="1">
        <v>45194</v>
      </c>
      <c r="C411">
        <v>9.11</v>
      </c>
    </row>
    <row r="412" spans="1:3" x14ac:dyDescent="0.25">
      <c r="A412" t="s">
        <v>3</v>
      </c>
      <c r="B412" s="1">
        <v>45195</v>
      </c>
      <c r="C412">
        <v>9.0399999999999991</v>
      </c>
    </row>
    <row r="413" spans="1:3" x14ac:dyDescent="0.25">
      <c r="A413" t="s">
        <v>3</v>
      </c>
      <c r="B413" s="1">
        <v>45196</v>
      </c>
      <c r="C413">
        <v>8.9700000000000006</v>
      </c>
    </row>
    <row r="414" spans="1:3" x14ac:dyDescent="0.25">
      <c r="A414" t="s">
        <v>3</v>
      </c>
      <c r="B414" s="1">
        <v>45197</v>
      </c>
      <c r="C414">
        <v>9</v>
      </c>
    </row>
    <row r="415" spans="1:3" x14ac:dyDescent="0.25">
      <c r="A415" t="s">
        <v>3</v>
      </c>
      <c r="B415" s="1">
        <v>45198</v>
      </c>
      <c r="C415">
        <v>9.1</v>
      </c>
    </row>
    <row r="416" spans="1:3" x14ac:dyDescent="0.25">
      <c r="A416" t="s">
        <v>3</v>
      </c>
      <c r="B416" s="1">
        <v>45201</v>
      </c>
      <c r="C416">
        <v>9</v>
      </c>
    </row>
    <row r="417" spans="1:3" x14ac:dyDescent="0.25">
      <c r="A417" t="s">
        <v>3</v>
      </c>
      <c r="B417" s="1">
        <v>45202</v>
      </c>
      <c r="C417">
        <v>8.81</v>
      </c>
    </row>
    <row r="418" spans="1:3" x14ac:dyDescent="0.25">
      <c r="A418" t="s">
        <v>3</v>
      </c>
      <c r="B418" s="1">
        <v>45203</v>
      </c>
      <c r="C418">
        <v>8.81</v>
      </c>
    </row>
    <row r="419" spans="1:3" x14ac:dyDescent="0.25">
      <c r="A419" t="s">
        <v>3</v>
      </c>
      <c r="B419" s="1">
        <v>45204</v>
      </c>
      <c r="C419">
        <v>8.83</v>
      </c>
    </row>
    <row r="420" spans="1:3" x14ac:dyDescent="0.25">
      <c r="A420" t="s">
        <v>3</v>
      </c>
      <c r="B420" s="1">
        <v>45205</v>
      </c>
      <c r="C420">
        <v>8.9</v>
      </c>
    </row>
    <row r="421" spans="1:3" x14ac:dyDescent="0.25">
      <c r="A421" t="s">
        <v>3</v>
      </c>
      <c r="B421" s="1">
        <v>45208</v>
      </c>
      <c r="C421">
        <v>8.85</v>
      </c>
    </row>
    <row r="422" spans="1:3" x14ac:dyDescent="0.25">
      <c r="A422" t="s">
        <v>3</v>
      </c>
      <c r="B422" s="1">
        <v>45209</v>
      </c>
      <c r="C422">
        <v>8.94</v>
      </c>
    </row>
    <row r="423" spans="1:3" x14ac:dyDescent="0.25">
      <c r="A423" t="s">
        <v>3</v>
      </c>
      <c r="B423" s="1">
        <v>45210</v>
      </c>
      <c r="C423">
        <v>9.32</v>
      </c>
    </row>
    <row r="424" spans="1:3" x14ac:dyDescent="0.25">
      <c r="A424" t="s">
        <v>3</v>
      </c>
      <c r="B424" s="1">
        <v>45211</v>
      </c>
      <c r="C424">
        <v>9.1999999999999993</v>
      </c>
    </row>
    <row r="425" spans="1:3" x14ac:dyDescent="0.25">
      <c r="A425" t="s">
        <v>3</v>
      </c>
      <c r="B425" s="1">
        <v>45212</v>
      </c>
      <c r="C425">
        <v>9.18</v>
      </c>
    </row>
    <row r="426" spans="1:3" x14ac:dyDescent="0.25">
      <c r="A426" t="s">
        <v>3</v>
      </c>
      <c r="B426" s="1">
        <v>45215</v>
      </c>
      <c r="C426">
        <v>9.4499999999999993</v>
      </c>
    </row>
    <row r="427" spans="1:3" x14ac:dyDescent="0.25">
      <c r="A427" t="s">
        <v>3</v>
      </c>
      <c r="B427" s="1">
        <v>45216</v>
      </c>
      <c r="C427">
        <v>9.4600000000000009</v>
      </c>
    </row>
    <row r="428" spans="1:3" x14ac:dyDescent="0.25">
      <c r="A428" t="s">
        <v>3</v>
      </c>
      <c r="B428" s="1">
        <v>45217</v>
      </c>
      <c r="C428">
        <v>9.52</v>
      </c>
    </row>
    <row r="429" spans="1:3" x14ac:dyDescent="0.25">
      <c r="A429" t="s">
        <v>3</v>
      </c>
      <c r="B429" s="1">
        <v>45218</v>
      </c>
      <c r="C429">
        <v>9.27</v>
      </c>
    </row>
    <row r="430" spans="1:3" x14ac:dyDescent="0.25">
      <c r="A430" t="s">
        <v>3</v>
      </c>
      <c r="B430" s="1">
        <v>45219</v>
      </c>
      <c r="C430">
        <v>9.2100000000000009</v>
      </c>
    </row>
    <row r="431" spans="1:3" x14ac:dyDescent="0.25">
      <c r="A431" t="s">
        <v>3</v>
      </c>
      <c r="B431" s="1">
        <v>45222</v>
      </c>
      <c r="C431">
        <v>9.16</v>
      </c>
    </row>
    <row r="432" spans="1:3" x14ac:dyDescent="0.25">
      <c r="A432" t="s">
        <v>3</v>
      </c>
      <c r="B432" s="1">
        <v>45223</v>
      </c>
      <c r="C432">
        <v>9.0399999999999991</v>
      </c>
    </row>
    <row r="433" spans="1:3" x14ac:dyDescent="0.25">
      <c r="A433" t="s">
        <v>3</v>
      </c>
      <c r="B433" s="1">
        <v>45224</v>
      </c>
      <c r="C433">
        <v>8.98</v>
      </c>
    </row>
    <row r="434" spans="1:3" x14ac:dyDescent="0.25">
      <c r="A434" t="s">
        <v>3</v>
      </c>
      <c r="B434" s="1">
        <v>45225</v>
      </c>
      <c r="C434">
        <v>8.84</v>
      </c>
    </row>
    <row r="435" spans="1:3" x14ac:dyDescent="0.25">
      <c r="A435" t="s">
        <v>3</v>
      </c>
      <c r="B435" s="1">
        <v>45226</v>
      </c>
      <c r="C435">
        <v>8.7899999999999991</v>
      </c>
    </row>
    <row r="436" spans="1:3" x14ac:dyDescent="0.25">
      <c r="A436" t="s">
        <v>3</v>
      </c>
      <c r="B436" s="1">
        <v>45229</v>
      </c>
      <c r="C436">
        <v>8.85</v>
      </c>
    </row>
    <row r="437" spans="1:3" x14ac:dyDescent="0.25">
      <c r="A437" t="s">
        <v>3</v>
      </c>
      <c r="B437" s="1">
        <v>45230</v>
      </c>
      <c r="C437">
        <v>8.92</v>
      </c>
    </row>
    <row r="438" spans="1:3" x14ac:dyDescent="0.25">
      <c r="A438" t="s">
        <v>3</v>
      </c>
      <c r="B438" s="1">
        <v>45231</v>
      </c>
      <c r="C438">
        <v>9.02</v>
      </c>
    </row>
    <row r="439" spans="1:3" x14ac:dyDescent="0.25">
      <c r="A439" t="s">
        <v>3</v>
      </c>
      <c r="B439" s="1">
        <v>45232</v>
      </c>
      <c r="C439">
        <v>9.09</v>
      </c>
    </row>
    <row r="440" spans="1:3" x14ac:dyDescent="0.25">
      <c r="A440" t="s">
        <v>3</v>
      </c>
      <c r="B440" s="1">
        <v>45233</v>
      </c>
      <c r="C440">
        <v>9.33</v>
      </c>
    </row>
    <row r="441" spans="1:3" x14ac:dyDescent="0.25">
      <c r="A441" t="s">
        <v>3</v>
      </c>
      <c r="B441" s="1">
        <v>45236</v>
      </c>
      <c r="C441">
        <v>9.17</v>
      </c>
    </row>
    <row r="442" spans="1:3" x14ac:dyDescent="0.25">
      <c r="A442" t="s">
        <v>3</v>
      </c>
      <c r="B442" s="1">
        <v>45237</v>
      </c>
      <c r="C442">
        <v>9.19</v>
      </c>
    </row>
    <row r="443" spans="1:3" x14ac:dyDescent="0.25">
      <c r="A443" t="s">
        <v>3</v>
      </c>
      <c r="B443" s="1">
        <v>45238</v>
      </c>
      <c r="C443">
        <v>9.32</v>
      </c>
    </row>
    <row r="444" spans="1:3" x14ac:dyDescent="0.25">
      <c r="A444" t="s">
        <v>3</v>
      </c>
      <c r="B444" s="1">
        <v>45239</v>
      </c>
      <c r="C444">
        <v>9.09</v>
      </c>
    </row>
    <row r="445" spans="1:3" x14ac:dyDescent="0.25">
      <c r="A445" t="s">
        <v>3</v>
      </c>
      <c r="B445" s="1">
        <v>45240</v>
      </c>
      <c r="C445">
        <v>9.18</v>
      </c>
    </row>
    <row r="446" spans="1:3" x14ac:dyDescent="0.25">
      <c r="A446" t="s">
        <v>3</v>
      </c>
      <c r="B446" s="1">
        <v>45243</v>
      </c>
      <c r="C446">
        <v>9.23</v>
      </c>
    </row>
    <row r="447" spans="1:3" x14ac:dyDescent="0.25">
      <c r="A447" t="s">
        <v>3</v>
      </c>
      <c r="B447" s="1">
        <v>45244</v>
      </c>
      <c r="C447">
        <v>9.3699999999999992</v>
      </c>
    </row>
    <row r="448" spans="1:3" x14ac:dyDescent="0.25">
      <c r="A448" t="s">
        <v>3</v>
      </c>
      <c r="B448" s="1">
        <v>45245</v>
      </c>
      <c r="C448">
        <v>9.3699999999999992</v>
      </c>
    </row>
    <row r="449" spans="1:3" x14ac:dyDescent="0.25">
      <c r="A449" t="s">
        <v>3</v>
      </c>
      <c r="B449" s="1">
        <v>45246</v>
      </c>
      <c r="C449">
        <v>9.2200000000000006</v>
      </c>
    </row>
    <row r="450" spans="1:3" x14ac:dyDescent="0.25">
      <c r="A450" t="s">
        <v>3</v>
      </c>
      <c r="B450" s="1">
        <v>45247</v>
      </c>
      <c r="C450">
        <v>9.19</v>
      </c>
    </row>
    <row r="451" spans="1:3" x14ac:dyDescent="0.25">
      <c r="A451" t="s">
        <v>3</v>
      </c>
      <c r="B451" s="1">
        <v>45250</v>
      </c>
      <c r="C451">
        <v>9.17</v>
      </c>
    </row>
    <row r="452" spans="1:3" x14ac:dyDescent="0.25">
      <c r="A452" t="s">
        <v>3</v>
      </c>
      <c r="B452" s="1">
        <v>45251</v>
      </c>
      <c r="C452">
        <v>9.06</v>
      </c>
    </row>
    <row r="453" spans="1:3" x14ac:dyDescent="0.25">
      <c r="A453" t="s">
        <v>3</v>
      </c>
      <c r="B453" s="1">
        <v>45252</v>
      </c>
      <c r="C453">
        <v>9.02</v>
      </c>
    </row>
    <row r="454" spans="1:3" x14ac:dyDescent="0.25">
      <c r="A454" t="s">
        <v>3</v>
      </c>
      <c r="B454" s="1">
        <v>45253</v>
      </c>
      <c r="C454">
        <v>8.9700000000000006</v>
      </c>
    </row>
    <row r="455" spans="1:3" x14ac:dyDescent="0.25">
      <c r="A455" t="s">
        <v>3</v>
      </c>
      <c r="B455" s="1">
        <v>45254</v>
      </c>
      <c r="C455">
        <v>8.99</v>
      </c>
    </row>
    <row r="456" spans="1:3" x14ac:dyDescent="0.25">
      <c r="A456" t="s">
        <v>3</v>
      </c>
      <c r="B456" s="1">
        <v>45257</v>
      </c>
      <c r="C456">
        <v>8.9</v>
      </c>
    </row>
    <row r="457" spans="1:3" x14ac:dyDescent="0.25">
      <c r="A457" t="s">
        <v>3</v>
      </c>
      <c r="B457" s="1">
        <v>45258</v>
      </c>
      <c r="C457">
        <v>8.9600000000000009</v>
      </c>
    </row>
    <row r="458" spans="1:3" x14ac:dyDescent="0.25">
      <c r="A458" t="s">
        <v>3</v>
      </c>
      <c r="B458" s="1">
        <v>45259</v>
      </c>
      <c r="C458">
        <v>8.98</v>
      </c>
    </row>
    <row r="459" spans="1:3" x14ac:dyDescent="0.25">
      <c r="A459" t="s">
        <v>3</v>
      </c>
      <c r="B459" s="1">
        <v>45260</v>
      </c>
      <c r="C459">
        <v>8.74</v>
      </c>
    </row>
    <row r="460" spans="1:3" x14ac:dyDescent="0.25">
      <c r="A460" t="s">
        <v>3</v>
      </c>
      <c r="B460" s="1">
        <v>45261</v>
      </c>
      <c r="C460">
        <v>9.02</v>
      </c>
    </row>
    <row r="461" spans="1:3" x14ac:dyDescent="0.25">
      <c r="A461" t="s">
        <v>3</v>
      </c>
      <c r="B461" s="1">
        <v>45264</v>
      </c>
      <c r="C461">
        <v>9.06</v>
      </c>
    </row>
    <row r="462" spans="1:3" x14ac:dyDescent="0.25">
      <c r="A462" t="s">
        <v>3</v>
      </c>
      <c r="B462" s="1">
        <v>45265</v>
      </c>
      <c r="C462">
        <v>9.1</v>
      </c>
    </row>
    <row r="463" spans="1:3" x14ac:dyDescent="0.25">
      <c r="A463" t="s">
        <v>3</v>
      </c>
      <c r="B463" s="1">
        <v>45267</v>
      </c>
      <c r="C463">
        <v>9.23</v>
      </c>
    </row>
    <row r="464" spans="1:3" x14ac:dyDescent="0.25">
      <c r="A464" t="s">
        <v>3</v>
      </c>
      <c r="B464" s="1">
        <v>45268</v>
      </c>
      <c r="C464">
        <v>9.39</v>
      </c>
    </row>
    <row r="465" spans="1:3" x14ac:dyDescent="0.25">
      <c r="A465" t="s">
        <v>3</v>
      </c>
      <c r="B465" s="1">
        <v>45271</v>
      </c>
      <c r="C465">
        <v>9.42</v>
      </c>
    </row>
    <row r="466" spans="1:3" x14ac:dyDescent="0.25">
      <c r="A466" t="s">
        <v>3</v>
      </c>
      <c r="B466" s="1">
        <v>45272</v>
      </c>
      <c r="C466">
        <v>9.43</v>
      </c>
    </row>
    <row r="467" spans="1:3" x14ac:dyDescent="0.25">
      <c r="A467" t="s">
        <v>3</v>
      </c>
      <c r="B467" s="1">
        <v>45273</v>
      </c>
      <c r="C467">
        <v>9.41</v>
      </c>
    </row>
    <row r="468" spans="1:3" x14ac:dyDescent="0.25">
      <c r="A468" t="s">
        <v>3</v>
      </c>
      <c r="B468" s="1">
        <v>45274</v>
      </c>
      <c r="C468">
        <v>9.44</v>
      </c>
    </row>
    <row r="469" spans="1:3" x14ac:dyDescent="0.25">
      <c r="A469" t="s">
        <v>3</v>
      </c>
      <c r="B469" s="1">
        <v>45275</v>
      </c>
      <c r="C469">
        <v>9.36</v>
      </c>
    </row>
    <row r="470" spans="1:3" x14ac:dyDescent="0.25">
      <c r="A470" t="s">
        <v>3</v>
      </c>
      <c r="B470" s="1">
        <v>45278</v>
      </c>
      <c r="C470">
        <v>9.4</v>
      </c>
    </row>
    <row r="471" spans="1:3" x14ac:dyDescent="0.25">
      <c r="A471" t="s">
        <v>3</v>
      </c>
      <c r="B471" s="1">
        <v>45279</v>
      </c>
      <c r="C471">
        <v>9.44</v>
      </c>
    </row>
    <row r="472" spans="1:3" x14ac:dyDescent="0.25">
      <c r="A472" t="s">
        <v>3</v>
      </c>
      <c r="B472" s="1">
        <v>45280</v>
      </c>
      <c r="C472">
        <v>9.43</v>
      </c>
    </row>
    <row r="473" spans="1:3" x14ac:dyDescent="0.25">
      <c r="A473" t="s">
        <v>3</v>
      </c>
      <c r="B473" s="1">
        <v>45281</v>
      </c>
      <c r="C473">
        <v>9.36</v>
      </c>
    </row>
    <row r="474" spans="1:3" x14ac:dyDescent="0.25">
      <c r="A474" t="s">
        <v>3</v>
      </c>
      <c r="B474" s="1">
        <v>45282</v>
      </c>
      <c r="C474">
        <v>9.42</v>
      </c>
    </row>
    <row r="475" spans="1:3" x14ac:dyDescent="0.25">
      <c r="A475" t="s">
        <v>3</v>
      </c>
      <c r="B475" s="1">
        <v>45287</v>
      </c>
      <c r="C475">
        <v>9.48</v>
      </c>
    </row>
    <row r="476" spans="1:3" x14ac:dyDescent="0.25">
      <c r="A476" t="s">
        <v>3</v>
      </c>
      <c r="B476" s="1">
        <v>45288</v>
      </c>
      <c r="C476">
        <v>9.49</v>
      </c>
    </row>
    <row r="477" spans="1:3" x14ac:dyDescent="0.25">
      <c r="A477" t="s">
        <v>3</v>
      </c>
      <c r="B477" s="1">
        <v>45289</v>
      </c>
      <c r="C477">
        <v>9.43</v>
      </c>
    </row>
    <row r="478" spans="1:3" x14ac:dyDescent="0.25">
      <c r="A478" t="s">
        <v>3</v>
      </c>
      <c r="B478" s="1">
        <v>45293</v>
      </c>
      <c r="C478">
        <v>9.56</v>
      </c>
    </row>
    <row r="479" spans="1:3" x14ac:dyDescent="0.25">
      <c r="A479" t="s">
        <v>3</v>
      </c>
      <c r="B479" s="1">
        <v>45294</v>
      </c>
      <c r="C479">
        <v>9.49</v>
      </c>
    </row>
    <row r="480" spans="1:3" x14ac:dyDescent="0.25">
      <c r="A480" t="s">
        <v>3</v>
      </c>
      <c r="B480" s="1">
        <v>45295</v>
      </c>
      <c r="C480">
        <v>9.65</v>
      </c>
    </row>
    <row r="481" spans="1:3" x14ac:dyDescent="0.25">
      <c r="A481" t="s">
        <v>3</v>
      </c>
      <c r="B481" s="1">
        <v>45296</v>
      </c>
      <c r="C481">
        <v>9.85</v>
      </c>
    </row>
    <row r="482" spans="1:3" x14ac:dyDescent="0.25">
      <c r="A482" t="s">
        <v>3</v>
      </c>
      <c r="B482" s="1">
        <v>45299</v>
      </c>
      <c r="C482">
        <v>9.7799999999999994</v>
      </c>
    </row>
    <row r="483" spans="1:3" x14ac:dyDescent="0.25">
      <c r="A483" t="s">
        <v>3</v>
      </c>
      <c r="B483" s="1">
        <v>45300</v>
      </c>
      <c r="C483">
        <v>9.76</v>
      </c>
    </row>
    <row r="484" spans="1:3" x14ac:dyDescent="0.25">
      <c r="A484" t="s">
        <v>3</v>
      </c>
      <c r="B484" s="1">
        <v>45301</v>
      </c>
      <c r="C484">
        <v>9.7200000000000006</v>
      </c>
    </row>
    <row r="485" spans="1:3" x14ac:dyDescent="0.25">
      <c r="A485" t="s">
        <v>3</v>
      </c>
      <c r="B485" s="1">
        <v>45302</v>
      </c>
      <c r="C485">
        <v>9.65</v>
      </c>
    </row>
    <row r="486" spans="1:3" x14ac:dyDescent="0.25">
      <c r="A486" t="s">
        <v>3</v>
      </c>
      <c r="B486" s="1">
        <v>45303</v>
      </c>
      <c r="C486">
        <v>9.7200000000000006</v>
      </c>
    </row>
    <row r="487" spans="1:3" x14ac:dyDescent="0.25">
      <c r="A487" t="s">
        <v>3</v>
      </c>
      <c r="B487" s="1">
        <v>45306</v>
      </c>
      <c r="C487">
        <v>9.67</v>
      </c>
    </row>
    <row r="488" spans="1:3" x14ac:dyDescent="0.25">
      <c r="A488" t="s">
        <v>3</v>
      </c>
      <c r="B488" s="1">
        <v>45307</v>
      </c>
      <c r="C488">
        <v>9.6</v>
      </c>
    </row>
    <row r="489" spans="1:3" x14ac:dyDescent="0.25">
      <c r="A489" t="s">
        <v>3</v>
      </c>
      <c r="B489" s="1">
        <v>45308</v>
      </c>
      <c r="C489">
        <v>9.59</v>
      </c>
    </row>
    <row r="490" spans="1:3" x14ac:dyDescent="0.25">
      <c r="A490" t="s">
        <v>3</v>
      </c>
      <c r="B490" s="1">
        <v>45309</v>
      </c>
      <c r="C490">
        <v>9.48</v>
      </c>
    </row>
    <row r="491" spans="1:3" x14ac:dyDescent="0.25">
      <c r="A491" t="s">
        <v>3</v>
      </c>
      <c r="B491" s="1">
        <v>45310</v>
      </c>
      <c r="C491">
        <v>9.4</v>
      </c>
    </row>
    <row r="492" spans="1:3" x14ac:dyDescent="0.25">
      <c r="A492" t="s">
        <v>3</v>
      </c>
      <c r="B492" s="1">
        <v>45313</v>
      </c>
      <c r="C492">
        <v>9.4600000000000009</v>
      </c>
    </row>
    <row r="493" spans="1:3" x14ac:dyDescent="0.25">
      <c r="A493" t="s">
        <v>3</v>
      </c>
      <c r="B493" s="1">
        <v>45314</v>
      </c>
      <c r="C493">
        <v>9.43</v>
      </c>
    </row>
    <row r="494" spans="1:3" x14ac:dyDescent="0.25">
      <c r="A494" t="s">
        <v>3</v>
      </c>
      <c r="B494" s="1">
        <v>45315</v>
      </c>
      <c r="C494">
        <v>9.59</v>
      </c>
    </row>
    <row r="495" spans="1:3" x14ac:dyDescent="0.25">
      <c r="A495" t="s">
        <v>3</v>
      </c>
      <c r="B495" s="1">
        <v>45316</v>
      </c>
      <c r="C495">
        <v>9.58</v>
      </c>
    </row>
    <row r="496" spans="1:3" x14ac:dyDescent="0.25">
      <c r="A496" t="s">
        <v>3</v>
      </c>
      <c r="B496" s="1">
        <v>45317</v>
      </c>
      <c r="C496">
        <v>9.65</v>
      </c>
    </row>
    <row r="497" spans="1:3" x14ac:dyDescent="0.25">
      <c r="A497" t="s">
        <v>3</v>
      </c>
      <c r="B497" s="1">
        <v>45320</v>
      </c>
      <c r="C497">
        <v>9.5500000000000007</v>
      </c>
    </row>
    <row r="498" spans="1:3" x14ac:dyDescent="0.25">
      <c r="A498" t="s">
        <v>3</v>
      </c>
      <c r="B498" s="1">
        <v>45321</v>
      </c>
      <c r="C498">
        <v>9.76</v>
      </c>
    </row>
    <row r="499" spans="1:3" x14ac:dyDescent="0.25">
      <c r="A499" t="s">
        <v>3</v>
      </c>
      <c r="B499" s="1">
        <v>45322</v>
      </c>
      <c r="C499">
        <v>9.75</v>
      </c>
    </row>
    <row r="500" spans="1:3" x14ac:dyDescent="0.25">
      <c r="A500" t="s">
        <v>3</v>
      </c>
      <c r="B500" s="1">
        <v>45323</v>
      </c>
      <c r="C500">
        <v>9.64</v>
      </c>
    </row>
    <row r="501" spans="1:3" x14ac:dyDescent="0.25">
      <c r="A501" t="s">
        <v>3</v>
      </c>
      <c r="B501" s="1">
        <v>45324</v>
      </c>
      <c r="C501">
        <v>9.73</v>
      </c>
    </row>
    <row r="502" spans="1:3" x14ac:dyDescent="0.25">
      <c r="A502" t="s">
        <v>3</v>
      </c>
      <c r="B502" s="1">
        <v>45327</v>
      </c>
      <c r="C502">
        <v>9.42</v>
      </c>
    </row>
    <row r="503" spans="1:3" x14ac:dyDescent="0.25">
      <c r="A503" t="s">
        <v>3</v>
      </c>
      <c r="B503" s="1">
        <v>45328</v>
      </c>
      <c r="C503">
        <v>9.39</v>
      </c>
    </row>
    <row r="504" spans="1:3" x14ac:dyDescent="0.25">
      <c r="A504" t="s">
        <v>3</v>
      </c>
      <c r="B504" s="1">
        <v>45329</v>
      </c>
      <c r="C504">
        <v>9.31</v>
      </c>
    </row>
    <row r="505" spans="1:3" x14ac:dyDescent="0.25">
      <c r="A505" t="s">
        <v>3</v>
      </c>
      <c r="B505" s="1">
        <v>45330</v>
      </c>
      <c r="C505">
        <v>9.08</v>
      </c>
    </row>
    <row r="506" spans="1:3" x14ac:dyDescent="0.25">
      <c r="A506" t="s">
        <v>3</v>
      </c>
      <c r="B506" s="1">
        <v>45331</v>
      </c>
      <c r="C506">
        <v>8.93</v>
      </c>
    </row>
    <row r="507" spans="1:3" x14ac:dyDescent="0.25">
      <c r="A507" t="s">
        <v>4</v>
      </c>
      <c r="B507" s="1">
        <v>44603</v>
      </c>
      <c r="C507">
        <v>9.1313560000000003</v>
      </c>
    </row>
    <row r="508" spans="1:3" x14ac:dyDescent="0.25">
      <c r="A508" t="s">
        <v>4</v>
      </c>
      <c r="B508" s="1">
        <v>44606</v>
      </c>
      <c r="C508">
        <v>8.8305170000000004</v>
      </c>
    </row>
    <row r="509" spans="1:3" x14ac:dyDescent="0.25">
      <c r="A509" t="s">
        <v>4</v>
      </c>
      <c r="B509" s="1">
        <v>44607</v>
      </c>
      <c r="C509">
        <v>9.0251780000000004</v>
      </c>
    </row>
    <row r="510" spans="1:3" x14ac:dyDescent="0.25">
      <c r="A510" t="s">
        <v>4</v>
      </c>
      <c r="B510" s="1">
        <v>44608</v>
      </c>
      <c r="C510">
        <v>9.1490539999999996</v>
      </c>
    </row>
    <row r="511" spans="1:3" x14ac:dyDescent="0.25">
      <c r="A511" t="s">
        <v>4</v>
      </c>
      <c r="B511" s="1">
        <v>44609</v>
      </c>
      <c r="C511">
        <v>8.8836069999999996</v>
      </c>
    </row>
    <row r="512" spans="1:3" x14ac:dyDescent="0.25">
      <c r="A512" t="s">
        <v>4</v>
      </c>
      <c r="B512" s="1">
        <v>44610</v>
      </c>
      <c r="C512">
        <v>8.6712500000000006</v>
      </c>
    </row>
    <row r="513" spans="1:3" x14ac:dyDescent="0.25">
      <c r="A513" t="s">
        <v>4</v>
      </c>
      <c r="B513" s="1">
        <v>44613</v>
      </c>
      <c r="C513">
        <v>8.2730809999999995</v>
      </c>
    </row>
    <row r="514" spans="1:3" x14ac:dyDescent="0.25">
      <c r="A514" t="s">
        <v>4</v>
      </c>
      <c r="B514" s="1">
        <v>44614</v>
      </c>
      <c r="C514">
        <v>8.0518750000000008</v>
      </c>
    </row>
    <row r="515" spans="1:3" x14ac:dyDescent="0.25">
      <c r="A515" t="s">
        <v>4</v>
      </c>
      <c r="B515" s="1">
        <v>44615</v>
      </c>
      <c r="C515">
        <v>7.9899380000000004</v>
      </c>
    </row>
    <row r="516" spans="1:3" x14ac:dyDescent="0.25">
      <c r="A516" t="s">
        <v>4</v>
      </c>
      <c r="B516" s="1">
        <v>44616</v>
      </c>
      <c r="C516">
        <v>7.5563739999999999</v>
      </c>
    </row>
    <row r="517" spans="1:3" x14ac:dyDescent="0.25">
      <c r="A517" t="s">
        <v>4</v>
      </c>
      <c r="B517" s="1">
        <v>44617</v>
      </c>
      <c r="C517">
        <v>7.9545440000000003</v>
      </c>
    </row>
    <row r="518" spans="1:3" x14ac:dyDescent="0.25">
      <c r="A518" t="s">
        <v>4</v>
      </c>
      <c r="B518" s="1">
        <v>44620</v>
      </c>
      <c r="C518">
        <v>7.0254820000000002</v>
      </c>
    </row>
    <row r="519" spans="1:3" x14ac:dyDescent="0.25">
      <c r="A519" t="s">
        <v>4</v>
      </c>
      <c r="B519" s="1">
        <v>44621</v>
      </c>
      <c r="C519">
        <v>6.414955</v>
      </c>
    </row>
    <row r="520" spans="1:3" x14ac:dyDescent="0.25">
      <c r="A520" t="s">
        <v>4</v>
      </c>
      <c r="B520" s="1">
        <v>44622</v>
      </c>
      <c r="C520">
        <v>6.4238030000000004</v>
      </c>
    </row>
    <row r="521" spans="1:3" x14ac:dyDescent="0.25">
      <c r="A521" t="s">
        <v>4</v>
      </c>
      <c r="B521" s="1">
        <v>44623</v>
      </c>
      <c r="C521">
        <v>6.2114459999999996</v>
      </c>
    </row>
    <row r="522" spans="1:3" x14ac:dyDescent="0.25">
      <c r="A522" t="s">
        <v>4</v>
      </c>
      <c r="B522" s="1">
        <v>44624</v>
      </c>
      <c r="C522">
        <v>5.9017590000000002</v>
      </c>
    </row>
    <row r="523" spans="1:3" x14ac:dyDescent="0.25">
      <c r="A523" t="s">
        <v>4</v>
      </c>
      <c r="B523" s="1">
        <v>44627</v>
      </c>
      <c r="C523">
        <v>5.7778840000000002</v>
      </c>
    </row>
    <row r="524" spans="1:3" x14ac:dyDescent="0.25">
      <c r="A524" t="s">
        <v>4</v>
      </c>
      <c r="B524" s="1">
        <v>44628</v>
      </c>
      <c r="C524">
        <v>5.9813929999999997</v>
      </c>
    </row>
    <row r="525" spans="1:3" x14ac:dyDescent="0.25">
      <c r="A525" t="s">
        <v>4</v>
      </c>
      <c r="B525" s="1">
        <v>44629</v>
      </c>
      <c r="C525">
        <v>6.149508</v>
      </c>
    </row>
    <row r="526" spans="1:3" x14ac:dyDescent="0.25">
      <c r="A526" t="s">
        <v>4</v>
      </c>
      <c r="B526" s="1">
        <v>44630</v>
      </c>
      <c r="C526">
        <v>6.149508</v>
      </c>
    </row>
    <row r="527" spans="1:3" x14ac:dyDescent="0.25">
      <c r="A527" t="s">
        <v>4</v>
      </c>
      <c r="B527" s="1">
        <v>44631</v>
      </c>
      <c r="C527">
        <v>6.2822319999999996</v>
      </c>
    </row>
    <row r="528" spans="1:3" x14ac:dyDescent="0.25">
      <c r="A528" t="s">
        <v>4</v>
      </c>
      <c r="B528" s="1">
        <v>44634</v>
      </c>
      <c r="C528">
        <v>6.4238030000000004</v>
      </c>
    </row>
    <row r="529" spans="1:3" x14ac:dyDescent="0.25">
      <c r="A529" t="s">
        <v>4</v>
      </c>
      <c r="B529" s="1">
        <v>44635</v>
      </c>
      <c r="C529">
        <v>6.096419</v>
      </c>
    </row>
    <row r="530" spans="1:3" x14ac:dyDescent="0.25">
      <c r="A530" t="s">
        <v>4</v>
      </c>
      <c r="B530" s="1">
        <v>44636</v>
      </c>
      <c r="C530">
        <v>6.3176249999999996</v>
      </c>
    </row>
    <row r="531" spans="1:3" x14ac:dyDescent="0.25">
      <c r="A531" t="s">
        <v>4</v>
      </c>
      <c r="B531" s="1">
        <v>44637</v>
      </c>
      <c r="C531">
        <v>6.2291429999999997</v>
      </c>
    </row>
    <row r="532" spans="1:3" x14ac:dyDescent="0.25">
      <c r="A532" t="s">
        <v>4</v>
      </c>
      <c r="B532" s="1">
        <v>44638</v>
      </c>
      <c r="C532">
        <v>6.29108</v>
      </c>
    </row>
    <row r="533" spans="1:3" x14ac:dyDescent="0.25">
      <c r="A533" t="s">
        <v>4</v>
      </c>
      <c r="B533" s="1">
        <v>44641</v>
      </c>
      <c r="C533">
        <v>6.061026</v>
      </c>
    </row>
    <row r="534" spans="1:3" x14ac:dyDescent="0.25">
      <c r="A534" t="s">
        <v>4</v>
      </c>
      <c r="B534" s="1">
        <v>44642</v>
      </c>
      <c r="C534">
        <v>6.0787230000000001</v>
      </c>
    </row>
    <row r="535" spans="1:3" x14ac:dyDescent="0.25">
      <c r="A535" t="s">
        <v>4</v>
      </c>
      <c r="B535" s="1">
        <v>44643</v>
      </c>
      <c r="C535">
        <v>5.9283029999999997</v>
      </c>
    </row>
    <row r="536" spans="1:3" x14ac:dyDescent="0.25">
      <c r="A536" t="s">
        <v>4</v>
      </c>
      <c r="B536" s="1">
        <v>44644</v>
      </c>
      <c r="C536">
        <v>6.167205</v>
      </c>
    </row>
    <row r="537" spans="1:3" x14ac:dyDescent="0.25">
      <c r="A537" t="s">
        <v>4</v>
      </c>
      <c r="B537" s="1">
        <v>44645</v>
      </c>
      <c r="C537">
        <v>5.9902410000000001</v>
      </c>
    </row>
    <row r="538" spans="1:3" x14ac:dyDescent="0.25">
      <c r="A538" t="s">
        <v>4</v>
      </c>
      <c r="B538" s="1">
        <v>44648</v>
      </c>
      <c r="C538">
        <v>6.1849020000000001</v>
      </c>
    </row>
    <row r="539" spans="1:3" x14ac:dyDescent="0.25">
      <c r="A539" t="s">
        <v>4</v>
      </c>
      <c r="B539" s="1">
        <v>44649</v>
      </c>
      <c r="C539">
        <v>6.2822319999999996</v>
      </c>
    </row>
    <row r="540" spans="1:3" x14ac:dyDescent="0.25">
      <c r="A540" t="s">
        <v>4</v>
      </c>
      <c r="B540" s="1">
        <v>44650</v>
      </c>
      <c r="C540">
        <v>6.2733840000000001</v>
      </c>
    </row>
    <row r="541" spans="1:3" x14ac:dyDescent="0.25">
      <c r="A541" t="s">
        <v>4</v>
      </c>
      <c r="B541" s="1">
        <v>44651</v>
      </c>
      <c r="C541">
        <v>6.2645350000000004</v>
      </c>
    </row>
    <row r="542" spans="1:3" x14ac:dyDescent="0.25">
      <c r="A542" t="s">
        <v>4</v>
      </c>
      <c r="B542" s="1">
        <v>44652</v>
      </c>
      <c r="C542">
        <v>6.3441689999999999</v>
      </c>
    </row>
    <row r="543" spans="1:3" x14ac:dyDescent="0.25">
      <c r="A543" t="s">
        <v>4</v>
      </c>
      <c r="B543" s="1">
        <v>44655</v>
      </c>
      <c r="C543">
        <v>6.5830719999999996</v>
      </c>
    </row>
    <row r="544" spans="1:3" x14ac:dyDescent="0.25">
      <c r="A544" t="s">
        <v>4</v>
      </c>
      <c r="B544" s="1">
        <v>44656</v>
      </c>
      <c r="C544">
        <v>6.6361600000000003</v>
      </c>
    </row>
    <row r="545" spans="1:3" x14ac:dyDescent="0.25">
      <c r="A545" t="s">
        <v>4</v>
      </c>
      <c r="B545" s="1">
        <v>44657</v>
      </c>
      <c r="C545">
        <v>6.6980979999999999</v>
      </c>
    </row>
    <row r="546" spans="1:3" x14ac:dyDescent="0.25">
      <c r="A546" t="s">
        <v>4</v>
      </c>
      <c r="B546" s="1">
        <v>44658</v>
      </c>
      <c r="C546">
        <v>6.2418240000000003</v>
      </c>
    </row>
    <row r="547" spans="1:3" x14ac:dyDescent="0.25">
      <c r="A547" t="s">
        <v>4</v>
      </c>
      <c r="B547" s="1">
        <v>44659</v>
      </c>
      <c r="C547">
        <v>6.2692009999999998</v>
      </c>
    </row>
    <row r="548" spans="1:3" x14ac:dyDescent="0.25">
      <c r="A548" t="s">
        <v>4</v>
      </c>
      <c r="B548" s="1">
        <v>44662</v>
      </c>
      <c r="C548">
        <v>6.1414439999999999</v>
      </c>
    </row>
    <row r="549" spans="1:3" x14ac:dyDescent="0.25">
      <c r="A549" t="s">
        <v>4</v>
      </c>
      <c r="B549" s="1">
        <v>44663</v>
      </c>
      <c r="C549">
        <v>6.2692009999999998</v>
      </c>
    </row>
    <row r="550" spans="1:3" x14ac:dyDescent="0.25">
      <c r="A550" t="s">
        <v>4</v>
      </c>
      <c r="B550" s="1">
        <v>44664</v>
      </c>
      <c r="C550">
        <v>6.1870719999999997</v>
      </c>
    </row>
    <row r="551" spans="1:3" x14ac:dyDescent="0.25">
      <c r="A551" t="s">
        <v>4</v>
      </c>
      <c r="B551" s="1">
        <v>44665</v>
      </c>
      <c r="C551">
        <v>6.3695810000000002</v>
      </c>
    </row>
    <row r="552" spans="1:3" x14ac:dyDescent="0.25">
      <c r="A552" t="s">
        <v>4</v>
      </c>
      <c r="B552" s="1">
        <v>44670</v>
      </c>
      <c r="C552">
        <v>6.3330789999999997</v>
      </c>
    </row>
    <row r="553" spans="1:3" x14ac:dyDescent="0.25">
      <c r="A553" t="s">
        <v>4</v>
      </c>
      <c r="B553" s="1">
        <v>44671</v>
      </c>
      <c r="C553">
        <v>6.3330789999999997</v>
      </c>
    </row>
    <row r="554" spans="1:3" x14ac:dyDescent="0.25">
      <c r="A554" t="s">
        <v>4</v>
      </c>
      <c r="B554" s="1">
        <v>44672</v>
      </c>
      <c r="C554">
        <v>6.4699619999999998</v>
      </c>
    </row>
    <row r="555" spans="1:3" x14ac:dyDescent="0.25">
      <c r="A555" t="s">
        <v>4</v>
      </c>
      <c r="B555" s="1">
        <v>44673</v>
      </c>
      <c r="C555">
        <v>6.5429649999999997</v>
      </c>
    </row>
    <row r="556" spans="1:3" x14ac:dyDescent="0.25">
      <c r="A556" t="s">
        <v>4</v>
      </c>
      <c r="B556" s="1">
        <v>44676</v>
      </c>
      <c r="C556">
        <v>6.3604560000000001</v>
      </c>
    </row>
    <row r="557" spans="1:3" x14ac:dyDescent="0.25">
      <c r="A557" t="s">
        <v>4</v>
      </c>
      <c r="B557" s="1">
        <v>44677</v>
      </c>
      <c r="C557">
        <v>6.2965770000000001</v>
      </c>
    </row>
    <row r="558" spans="1:3" x14ac:dyDescent="0.25">
      <c r="A558" t="s">
        <v>4</v>
      </c>
      <c r="B558" s="1">
        <v>44678</v>
      </c>
      <c r="C558">
        <v>6.2235740000000002</v>
      </c>
    </row>
    <row r="559" spans="1:3" x14ac:dyDescent="0.25">
      <c r="A559" t="s">
        <v>4</v>
      </c>
      <c r="B559" s="1">
        <v>44679</v>
      </c>
      <c r="C559">
        <v>6.3513299999999999</v>
      </c>
    </row>
    <row r="560" spans="1:3" x14ac:dyDescent="0.25">
      <c r="A560" t="s">
        <v>4</v>
      </c>
      <c r="B560" s="1">
        <v>44680</v>
      </c>
      <c r="C560">
        <v>6.4790869999999998</v>
      </c>
    </row>
    <row r="561" spans="1:3" x14ac:dyDescent="0.25">
      <c r="A561" t="s">
        <v>4</v>
      </c>
      <c r="B561" s="1">
        <v>44683</v>
      </c>
      <c r="C561">
        <v>6.2692009999999998</v>
      </c>
    </row>
    <row r="562" spans="1:3" x14ac:dyDescent="0.25">
      <c r="A562" t="s">
        <v>4</v>
      </c>
      <c r="B562" s="1">
        <v>44684</v>
      </c>
      <c r="C562">
        <v>6.424334</v>
      </c>
    </row>
    <row r="563" spans="1:3" x14ac:dyDescent="0.25">
      <c r="A563" t="s">
        <v>4</v>
      </c>
      <c r="B563" s="1">
        <v>44685</v>
      </c>
      <c r="C563">
        <v>6.5977180000000004</v>
      </c>
    </row>
    <row r="564" spans="1:3" x14ac:dyDescent="0.25">
      <c r="A564" t="s">
        <v>4</v>
      </c>
      <c r="B564" s="1">
        <v>44686</v>
      </c>
      <c r="C564">
        <v>6.3148280000000003</v>
      </c>
    </row>
    <row r="565" spans="1:3" x14ac:dyDescent="0.25">
      <c r="A565" t="s">
        <v>4</v>
      </c>
      <c r="B565" s="1">
        <v>44687</v>
      </c>
      <c r="C565">
        <v>6.3787060000000002</v>
      </c>
    </row>
    <row r="566" spans="1:3" x14ac:dyDescent="0.25">
      <c r="A566" t="s">
        <v>4</v>
      </c>
      <c r="B566" s="1">
        <v>44690</v>
      </c>
      <c r="C566">
        <v>6.2692009999999998</v>
      </c>
    </row>
    <row r="567" spans="1:3" x14ac:dyDescent="0.25">
      <c r="A567" t="s">
        <v>4</v>
      </c>
      <c r="B567" s="1">
        <v>44691</v>
      </c>
      <c r="C567">
        <v>6.2874509999999999</v>
      </c>
    </row>
    <row r="568" spans="1:3" x14ac:dyDescent="0.25">
      <c r="A568" t="s">
        <v>4</v>
      </c>
      <c r="B568" s="1">
        <v>44692</v>
      </c>
      <c r="C568">
        <v>6.4060829999999997</v>
      </c>
    </row>
    <row r="569" spans="1:3" x14ac:dyDescent="0.25">
      <c r="A569" t="s">
        <v>4</v>
      </c>
      <c r="B569" s="1">
        <v>44693</v>
      </c>
      <c r="C569">
        <v>6.5064640000000002</v>
      </c>
    </row>
    <row r="570" spans="1:3" x14ac:dyDescent="0.25">
      <c r="A570" t="s">
        <v>4</v>
      </c>
      <c r="B570" s="1">
        <v>44694</v>
      </c>
      <c r="C570">
        <v>6.5794670000000002</v>
      </c>
    </row>
    <row r="571" spans="1:3" x14ac:dyDescent="0.25">
      <c r="A571" t="s">
        <v>4</v>
      </c>
      <c r="B571" s="1">
        <v>44697</v>
      </c>
      <c r="C571">
        <v>6.5885920000000002</v>
      </c>
    </row>
    <row r="572" spans="1:3" x14ac:dyDescent="0.25">
      <c r="A572" t="s">
        <v>4</v>
      </c>
      <c r="B572" s="1">
        <v>44698</v>
      </c>
      <c r="C572">
        <v>6.5247140000000003</v>
      </c>
    </row>
    <row r="573" spans="1:3" x14ac:dyDescent="0.25">
      <c r="A573" t="s">
        <v>4</v>
      </c>
      <c r="B573" s="1">
        <v>44699</v>
      </c>
      <c r="C573">
        <v>6.3878320000000004</v>
      </c>
    </row>
    <row r="574" spans="1:3" x14ac:dyDescent="0.25">
      <c r="A574" t="s">
        <v>4</v>
      </c>
      <c r="B574" s="1">
        <v>44700</v>
      </c>
      <c r="C574">
        <v>6.5977180000000004</v>
      </c>
    </row>
    <row r="575" spans="1:3" x14ac:dyDescent="0.25">
      <c r="A575" t="s">
        <v>4</v>
      </c>
      <c r="B575" s="1">
        <v>44701</v>
      </c>
      <c r="C575">
        <v>6.5429649999999997</v>
      </c>
    </row>
    <row r="576" spans="1:3" x14ac:dyDescent="0.25">
      <c r="A576" t="s">
        <v>4</v>
      </c>
      <c r="B576" s="1">
        <v>44704</v>
      </c>
      <c r="C576">
        <v>6.6068429999999996</v>
      </c>
    </row>
    <row r="577" spans="1:3" x14ac:dyDescent="0.25">
      <c r="A577" t="s">
        <v>4</v>
      </c>
      <c r="B577" s="1">
        <v>44705</v>
      </c>
      <c r="C577">
        <v>6.4973369999999999</v>
      </c>
    </row>
    <row r="578" spans="1:3" x14ac:dyDescent="0.25">
      <c r="A578" t="s">
        <v>4</v>
      </c>
      <c r="B578" s="1">
        <v>44706</v>
      </c>
      <c r="C578">
        <v>6.7163490000000001</v>
      </c>
    </row>
    <row r="579" spans="1:3" x14ac:dyDescent="0.25">
      <c r="A579" t="s">
        <v>4</v>
      </c>
      <c r="B579" s="1">
        <v>44708</v>
      </c>
      <c r="C579">
        <v>6.6889719999999997</v>
      </c>
    </row>
    <row r="580" spans="1:3" x14ac:dyDescent="0.25">
      <c r="A580" t="s">
        <v>4</v>
      </c>
      <c r="B580" s="1">
        <v>44711</v>
      </c>
      <c r="C580">
        <v>6.8258549999999998</v>
      </c>
    </row>
    <row r="581" spans="1:3" x14ac:dyDescent="0.25">
      <c r="A581" t="s">
        <v>4</v>
      </c>
      <c r="B581" s="1">
        <v>44712</v>
      </c>
      <c r="C581">
        <v>6.6159689999999998</v>
      </c>
    </row>
    <row r="582" spans="1:3" x14ac:dyDescent="0.25">
      <c r="A582" t="s">
        <v>4</v>
      </c>
      <c r="B582" s="1">
        <v>44713</v>
      </c>
      <c r="C582">
        <v>6.7072229999999999</v>
      </c>
    </row>
    <row r="583" spans="1:3" x14ac:dyDescent="0.25">
      <c r="A583" t="s">
        <v>4</v>
      </c>
      <c r="B583" s="1">
        <v>44714</v>
      </c>
      <c r="C583">
        <v>6.8167289999999996</v>
      </c>
    </row>
    <row r="584" spans="1:3" x14ac:dyDescent="0.25">
      <c r="A584" t="s">
        <v>4</v>
      </c>
      <c r="B584" s="1">
        <v>44715</v>
      </c>
      <c r="C584">
        <v>6.780227</v>
      </c>
    </row>
    <row r="585" spans="1:3" x14ac:dyDescent="0.25">
      <c r="A585" t="s">
        <v>4</v>
      </c>
      <c r="B585" s="1">
        <v>44718</v>
      </c>
      <c r="C585">
        <v>6.917109</v>
      </c>
    </row>
    <row r="586" spans="1:3" x14ac:dyDescent="0.25">
      <c r="A586" t="s">
        <v>4</v>
      </c>
      <c r="B586" s="1">
        <v>44719</v>
      </c>
      <c r="C586">
        <v>6.917109</v>
      </c>
    </row>
    <row r="587" spans="1:3" x14ac:dyDescent="0.25">
      <c r="A587" t="s">
        <v>4</v>
      </c>
      <c r="B587" s="1">
        <v>44720</v>
      </c>
      <c r="C587">
        <v>6.7984780000000002</v>
      </c>
    </row>
    <row r="588" spans="1:3" x14ac:dyDescent="0.25">
      <c r="A588" t="s">
        <v>4</v>
      </c>
      <c r="B588" s="1">
        <v>44721</v>
      </c>
      <c r="C588">
        <v>6.7528509999999997</v>
      </c>
    </row>
    <row r="589" spans="1:3" x14ac:dyDescent="0.25">
      <c r="A589" t="s">
        <v>4</v>
      </c>
      <c r="B589" s="1">
        <v>44722</v>
      </c>
      <c r="C589">
        <v>6.7437259999999997</v>
      </c>
    </row>
    <row r="590" spans="1:3" x14ac:dyDescent="0.25">
      <c r="A590" t="s">
        <v>4</v>
      </c>
      <c r="B590" s="1">
        <v>44725</v>
      </c>
      <c r="C590">
        <v>6.6707219999999996</v>
      </c>
    </row>
    <row r="591" spans="1:3" x14ac:dyDescent="0.25">
      <c r="A591" t="s">
        <v>4</v>
      </c>
      <c r="B591" s="1">
        <v>44726</v>
      </c>
      <c r="C591">
        <v>7.1452470000000003</v>
      </c>
    </row>
    <row r="592" spans="1:3" x14ac:dyDescent="0.25">
      <c r="A592" t="s">
        <v>4</v>
      </c>
      <c r="B592" s="1">
        <v>44727</v>
      </c>
      <c r="C592">
        <v>6.9353600000000002</v>
      </c>
    </row>
    <row r="593" spans="1:3" x14ac:dyDescent="0.25">
      <c r="A593" t="s">
        <v>4</v>
      </c>
      <c r="B593" s="1">
        <v>44728</v>
      </c>
      <c r="C593">
        <v>6.990113</v>
      </c>
    </row>
    <row r="594" spans="1:3" x14ac:dyDescent="0.25">
      <c r="A594" t="s">
        <v>4</v>
      </c>
      <c r="B594" s="1">
        <v>44729</v>
      </c>
      <c r="C594">
        <v>6.9353600000000002</v>
      </c>
    </row>
    <row r="595" spans="1:3" x14ac:dyDescent="0.25">
      <c r="A595" t="s">
        <v>4</v>
      </c>
      <c r="B595" s="1">
        <v>44732</v>
      </c>
      <c r="C595">
        <v>7.2273759999999996</v>
      </c>
    </row>
    <row r="596" spans="1:3" x14ac:dyDescent="0.25">
      <c r="A596" t="s">
        <v>4</v>
      </c>
      <c r="B596" s="1">
        <v>44733</v>
      </c>
      <c r="C596">
        <v>7.3551330000000004</v>
      </c>
    </row>
    <row r="597" spans="1:3" x14ac:dyDescent="0.25">
      <c r="A597" t="s">
        <v>4</v>
      </c>
      <c r="B597" s="1">
        <v>44734</v>
      </c>
      <c r="C597">
        <v>7.1452470000000003</v>
      </c>
    </row>
    <row r="598" spans="1:3" x14ac:dyDescent="0.25">
      <c r="A598" t="s">
        <v>4</v>
      </c>
      <c r="B598" s="1">
        <v>44735</v>
      </c>
      <c r="C598">
        <v>7.0813680000000003</v>
      </c>
    </row>
    <row r="599" spans="1:3" x14ac:dyDescent="0.25">
      <c r="A599" t="s">
        <v>4</v>
      </c>
      <c r="B599" s="1">
        <v>44739</v>
      </c>
      <c r="C599">
        <v>7.0266149999999996</v>
      </c>
    </row>
    <row r="600" spans="1:3" x14ac:dyDescent="0.25">
      <c r="A600" t="s">
        <v>4</v>
      </c>
      <c r="B600" s="1">
        <v>44740</v>
      </c>
      <c r="C600">
        <v>7.1178699999999999</v>
      </c>
    </row>
    <row r="601" spans="1:3" x14ac:dyDescent="0.25">
      <c r="A601" t="s">
        <v>4</v>
      </c>
      <c r="B601" s="1">
        <v>44741</v>
      </c>
      <c r="C601">
        <v>7.2547519999999999</v>
      </c>
    </row>
    <row r="602" spans="1:3" x14ac:dyDescent="0.25">
      <c r="A602" t="s">
        <v>4</v>
      </c>
      <c r="B602" s="1">
        <v>44742</v>
      </c>
      <c r="C602">
        <v>7.0266149999999996</v>
      </c>
    </row>
    <row r="603" spans="1:3" x14ac:dyDescent="0.25">
      <c r="A603" t="s">
        <v>4</v>
      </c>
      <c r="B603" s="1">
        <v>44743</v>
      </c>
      <c r="C603">
        <v>7.1178699999999999</v>
      </c>
    </row>
    <row r="604" spans="1:3" x14ac:dyDescent="0.25">
      <c r="A604" t="s">
        <v>4</v>
      </c>
      <c r="B604" s="1">
        <v>44746</v>
      </c>
      <c r="C604">
        <v>7.1178699999999999</v>
      </c>
    </row>
    <row r="605" spans="1:3" x14ac:dyDescent="0.25">
      <c r="A605" t="s">
        <v>4</v>
      </c>
      <c r="B605" s="1">
        <v>44747</v>
      </c>
      <c r="C605">
        <v>6.8897329999999997</v>
      </c>
    </row>
    <row r="606" spans="1:3" x14ac:dyDescent="0.25">
      <c r="A606" t="s">
        <v>4</v>
      </c>
      <c r="B606" s="1">
        <v>44748</v>
      </c>
      <c r="C606">
        <v>6.8988589999999999</v>
      </c>
    </row>
    <row r="607" spans="1:3" x14ac:dyDescent="0.25">
      <c r="A607" t="s">
        <v>4</v>
      </c>
      <c r="B607" s="1">
        <v>44749</v>
      </c>
      <c r="C607">
        <v>7.1178699999999999</v>
      </c>
    </row>
    <row r="608" spans="1:3" x14ac:dyDescent="0.25">
      <c r="A608" t="s">
        <v>4</v>
      </c>
      <c r="B608" s="1">
        <v>44750</v>
      </c>
      <c r="C608">
        <v>7.1817479999999998</v>
      </c>
    </row>
    <row r="609" spans="1:3" x14ac:dyDescent="0.25">
      <c r="A609" t="s">
        <v>4</v>
      </c>
      <c r="B609" s="1">
        <v>44753</v>
      </c>
      <c r="C609">
        <v>6.980988</v>
      </c>
    </row>
    <row r="610" spans="1:3" x14ac:dyDescent="0.25">
      <c r="A610" t="s">
        <v>4</v>
      </c>
      <c r="B610" s="1">
        <v>44754</v>
      </c>
      <c r="C610">
        <v>6.8806079999999996</v>
      </c>
    </row>
    <row r="611" spans="1:3" x14ac:dyDescent="0.25">
      <c r="A611" t="s">
        <v>4</v>
      </c>
      <c r="B611" s="1">
        <v>44755</v>
      </c>
      <c r="C611">
        <v>6.9992380000000001</v>
      </c>
    </row>
    <row r="612" spans="1:3" x14ac:dyDescent="0.25">
      <c r="A612" t="s">
        <v>4</v>
      </c>
      <c r="B612" s="1">
        <v>44756</v>
      </c>
      <c r="C612">
        <v>6.8076040000000004</v>
      </c>
    </row>
    <row r="613" spans="1:3" x14ac:dyDescent="0.25">
      <c r="A613" t="s">
        <v>4</v>
      </c>
      <c r="B613" s="1">
        <v>44757</v>
      </c>
      <c r="C613">
        <v>6.8076040000000004</v>
      </c>
    </row>
    <row r="614" spans="1:3" x14ac:dyDescent="0.25">
      <c r="A614" t="s">
        <v>4</v>
      </c>
      <c r="B614" s="1">
        <v>44760</v>
      </c>
      <c r="C614">
        <v>6.9536110000000004</v>
      </c>
    </row>
    <row r="615" spans="1:3" x14ac:dyDescent="0.25">
      <c r="A615" t="s">
        <v>4</v>
      </c>
      <c r="B615" s="1">
        <v>44761</v>
      </c>
      <c r="C615">
        <v>6.9536110000000004</v>
      </c>
    </row>
    <row r="616" spans="1:3" x14ac:dyDescent="0.25">
      <c r="A616" t="s">
        <v>4</v>
      </c>
      <c r="B616" s="1">
        <v>44762</v>
      </c>
      <c r="C616">
        <v>6.844106</v>
      </c>
    </row>
    <row r="617" spans="1:3" x14ac:dyDescent="0.25">
      <c r="A617" t="s">
        <v>4</v>
      </c>
      <c r="B617" s="1">
        <v>44763</v>
      </c>
      <c r="C617">
        <v>6.9444860000000004</v>
      </c>
    </row>
    <row r="618" spans="1:3" x14ac:dyDescent="0.25">
      <c r="A618" t="s">
        <v>4</v>
      </c>
      <c r="B618" s="1">
        <v>44764</v>
      </c>
      <c r="C618">
        <v>6.8076040000000004</v>
      </c>
    </row>
    <row r="619" spans="1:3" x14ac:dyDescent="0.25">
      <c r="A619" t="s">
        <v>4</v>
      </c>
      <c r="B619" s="1">
        <v>44767</v>
      </c>
      <c r="C619">
        <v>6.917109</v>
      </c>
    </row>
    <row r="620" spans="1:3" x14ac:dyDescent="0.25">
      <c r="A620" t="s">
        <v>4</v>
      </c>
      <c r="B620" s="1">
        <v>44768</v>
      </c>
      <c r="C620">
        <v>6.8349799999999998</v>
      </c>
    </row>
    <row r="621" spans="1:3" x14ac:dyDescent="0.25">
      <c r="A621" t="s">
        <v>4</v>
      </c>
      <c r="B621" s="1">
        <v>44769</v>
      </c>
      <c r="C621">
        <v>7.0083640000000003</v>
      </c>
    </row>
    <row r="622" spans="1:3" x14ac:dyDescent="0.25">
      <c r="A622" t="s">
        <v>4</v>
      </c>
      <c r="B622" s="1">
        <v>44770</v>
      </c>
      <c r="C622">
        <v>6.8532310000000001</v>
      </c>
    </row>
    <row r="623" spans="1:3" x14ac:dyDescent="0.25">
      <c r="A623" t="s">
        <v>4</v>
      </c>
      <c r="B623" s="1">
        <v>44771</v>
      </c>
      <c r="C623">
        <v>6.8714820000000003</v>
      </c>
    </row>
    <row r="624" spans="1:3" x14ac:dyDescent="0.25">
      <c r="A624" t="s">
        <v>4</v>
      </c>
      <c r="B624" s="1">
        <v>44774</v>
      </c>
      <c r="C624">
        <v>6.8532310000000001</v>
      </c>
    </row>
    <row r="625" spans="1:3" x14ac:dyDescent="0.25">
      <c r="A625" t="s">
        <v>4</v>
      </c>
      <c r="B625" s="1">
        <v>44775</v>
      </c>
      <c r="C625">
        <v>6.844106</v>
      </c>
    </row>
    <row r="626" spans="1:3" x14ac:dyDescent="0.25">
      <c r="A626" t="s">
        <v>4</v>
      </c>
      <c r="B626" s="1">
        <v>44776</v>
      </c>
      <c r="C626">
        <v>6.980988</v>
      </c>
    </row>
    <row r="627" spans="1:3" x14ac:dyDescent="0.25">
      <c r="A627" t="s">
        <v>4</v>
      </c>
      <c r="B627" s="1">
        <v>44777</v>
      </c>
      <c r="C627">
        <v>7.0174890000000003</v>
      </c>
    </row>
    <row r="628" spans="1:3" x14ac:dyDescent="0.25">
      <c r="A628" t="s">
        <v>4</v>
      </c>
      <c r="B628" s="1">
        <v>44778</v>
      </c>
      <c r="C628">
        <v>6.9353600000000002</v>
      </c>
    </row>
    <row r="629" spans="1:3" x14ac:dyDescent="0.25">
      <c r="A629" t="s">
        <v>4</v>
      </c>
      <c r="B629" s="1">
        <v>44781</v>
      </c>
      <c r="C629">
        <v>7.0174890000000003</v>
      </c>
    </row>
    <row r="630" spans="1:3" x14ac:dyDescent="0.25">
      <c r="A630" t="s">
        <v>4</v>
      </c>
      <c r="B630" s="1">
        <v>44782</v>
      </c>
      <c r="C630">
        <v>7.3003790000000004</v>
      </c>
    </row>
    <row r="631" spans="1:3" x14ac:dyDescent="0.25">
      <c r="A631" t="s">
        <v>4</v>
      </c>
      <c r="B631" s="1">
        <v>44783</v>
      </c>
      <c r="C631">
        <v>7.6653979999999997</v>
      </c>
    </row>
    <row r="632" spans="1:3" x14ac:dyDescent="0.25">
      <c r="A632" t="s">
        <v>4</v>
      </c>
      <c r="B632" s="1">
        <v>44784</v>
      </c>
      <c r="C632">
        <v>7.6197710000000001</v>
      </c>
    </row>
    <row r="633" spans="1:3" x14ac:dyDescent="0.25">
      <c r="A633" t="s">
        <v>4</v>
      </c>
      <c r="B633" s="1">
        <v>44785</v>
      </c>
      <c r="C633">
        <v>7.6197710000000001</v>
      </c>
    </row>
    <row r="634" spans="1:3" x14ac:dyDescent="0.25">
      <c r="A634" t="s">
        <v>4</v>
      </c>
      <c r="B634" s="1">
        <v>44788</v>
      </c>
      <c r="C634">
        <v>7.4555129999999998</v>
      </c>
    </row>
    <row r="635" spans="1:3" x14ac:dyDescent="0.25">
      <c r="A635" t="s">
        <v>4</v>
      </c>
      <c r="B635" s="1">
        <v>44789</v>
      </c>
      <c r="C635">
        <v>7.4737629999999999</v>
      </c>
    </row>
    <row r="636" spans="1:3" x14ac:dyDescent="0.25">
      <c r="A636" t="s">
        <v>4</v>
      </c>
      <c r="B636" s="1">
        <v>44790</v>
      </c>
      <c r="C636">
        <v>7.3003790000000004</v>
      </c>
    </row>
    <row r="637" spans="1:3" x14ac:dyDescent="0.25">
      <c r="A637" t="s">
        <v>4</v>
      </c>
      <c r="B637" s="1">
        <v>44791</v>
      </c>
      <c r="C637">
        <v>7.3277549999999998</v>
      </c>
    </row>
    <row r="638" spans="1:3" x14ac:dyDescent="0.25">
      <c r="A638" t="s">
        <v>4</v>
      </c>
      <c r="B638" s="1">
        <v>44792</v>
      </c>
      <c r="C638">
        <v>7.4007589999999999</v>
      </c>
    </row>
    <row r="639" spans="1:3" x14ac:dyDescent="0.25">
      <c r="A639" t="s">
        <v>4</v>
      </c>
      <c r="B639" s="1">
        <v>44795</v>
      </c>
      <c r="C639">
        <v>7.2912540000000003</v>
      </c>
    </row>
    <row r="640" spans="1:3" x14ac:dyDescent="0.25">
      <c r="A640" t="s">
        <v>4</v>
      </c>
      <c r="B640" s="1">
        <v>44796</v>
      </c>
      <c r="C640">
        <v>7.2091250000000002</v>
      </c>
    </row>
    <row r="641" spans="1:3" x14ac:dyDescent="0.25">
      <c r="A641" t="s">
        <v>4</v>
      </c>
      <c r="B641" s="1">
        <v>44797</v>
      </c>
      <c r="C641">
        <v>7.1817479999999998</v>
      </c>
    </row>
    <row r="642" spans="1:3" x14ac:dyDescent="0.25">
      <c r="A642" t="s">
        <v>4</v>
      </c>
      <c r="B642" s="1">
        <v>44798</v>
      </c>
      <c r="C642">
        <v>7.1726229999999997</v>
      </c>
    </row>
    <row r="643" spans="1:3" x14ac:dyDescent="0.25">
      <c r="A643" t="s">
        <v>4</v>
      </c>
      <c r="B643" s="1">
        <v>44799</v>
      </c>
      <c r="C643">
        <v>7.1817479999999998</v>
      </c>
    </row>
    <row r="644" spans="1:3" x14ac:dyDescent="0.25">
      <c r="A644" t="s">
        <v>4</v>
      </c>
      <c r="B644" s="1">
        <v>44802</v>
      </c>
      <c r="C644">
        <v>6.8897329999999997</v>
      </c>
    </row>
    <row r="645" spans="1:3" x14ac:dyDescent="0.25">
      <c r="A645" t="s">
        <v>4</v>
      </c>
      <c r="B645" s="1">
        <v>44803</v>
      </c>
      <c r="C645">
        <v>6.9353600000000002</v>
      </c>
    </row>
    <row r="646" spans="1:3" x14ac:dyDescent="0.25">
      <c r="A646" t="s">
        <v>4</v>
      </c>
      <c r="B646" s="1">
        <v>44804</v>
      </c>
      <c r="C646">
        <v>7.0266149999999996</v>
      </c>
    </row>
    <row r="647" spans="1:3" x14ac:dyDescent="0.25">
      <c r="A647" t="s">
        <v>4</v>
      </c>
      <c r="B647" s="1">
        <v>44805</v>
      </c>
      <c r="C647">
        <v>7.0996189999999997</v>
      </c>
    </row>
    <row r="648" spans="1:3" x14ac:dyDescent="0.25">
      <c r="A648" t="s">
        <v>4</v>
      </c>
      <c r="B648" s="1">
        <v>44806</v>
      </c>
      <c r="C648">
        <v>6.8623570000000003</v>
      </c>
    </row>
    <row r="649" spans="1:3" x14ac:dyDescent="0.25">
      <c r="A649" t="s">
        <v>4</v>
      </c>
      <c r="B649" s="1">
        <v>44809</v>
      </c>
      <c r="C649">
        <v>6.6798469999999996</v>
      </c>
    </row>
    <row r="650" spans="1:3" x14ac:dyDescent="0.25">
      <c r="A650" t="s">
        <v>4</v>
      </c>
      <c r="B650" s="1">
        <v>44810</v>
      </c>
      <c r="C650">
        <v>6.7619759999999998</v>
      </c>
    </row>
    <row r="651" spans="1:3" x14ac:dyDescent="0.25">
      <c r="A651" t="s">
        <v>4</v>
      </c>
      <c r="B651" s="1">
        <v>44811</v>
      </c>
      <c r="C651">
        <v>6.8349799999999998</v>
      </c>
    </row>
    <row r="652" spans="1:3" x14ac:dyDescent="0.25">
      <c r="A652" t="s">
        <v>4</v>
      </c>
      <c r="B652" s="1">
        <v>44812</v>
      </c>
      <c r="C652">
        <v>6.8623570000000003</v>
      </c>
    </row>
    <row r="653" spans="1:3" x14ac:dyDescent="0.25">
      <c r="A653" t="s">
        <v>4</v>
      </c>
      <c r="B653" s="1">
        <v>44813</v>
      </c>
      <c r="C653">
        <v>6.9444860000000004</v>
      </c>
    </row>
    <row r="654" spans="1:3" x14ac:dyDescent="0.25">
      <c r="A654" t="s">
        <v>4</v>
      </c>
      <c r="B654" s="1">
        <v>44816</v>
      </c>
      <c r="C654">
        <v>7.482888</v>
      </c>
    </row>
    <row r="655" spans="1:3" x14ac:dyDescent="0.25">
      <c r="A655" t="s">
        <v>4</v>
      </c>
      <c r="B655" s="1">
        <v>44817</v>
      </c>
      <c r="C655">
        <v>7.0539909999999999</v>
      </c>
    </row>
    <row r="656" spans="1:3" x14ac:dyDescent="0.25">
      <c r="A656" t="s">
        <v>4</v>
      </c>
      <c r="B656" s="1">
        <v>44818</v>
      </c>
      <c r="C656">
        <v>7.2912540000000003</v>
      </c>
    </row>
    <row r="657" spans="1:3" x14ac:dyDescent="0.25">
      <c r="A657" t="s">
        <v>4</v>
      </c>
      <c r="B657" s="1">
        <v>44819</v>
      </c>
      <c r="C657">
        <v>7.2638780000000001</v>
      </c>
    </row>
    <row r="658" spans="1:3" x14ac:dyDescent="0.25">
      <c r="A658" t="s">
        <v>4</v>
      </c>
      <c r="B658" s="1">
        <v>44820</v>
      </c>
      <c r="C658">
        <v>7.3460070000000002</v>
      </c>
    </row>
    <row r="659" spans="1:3" x14ac:dyDescent="0.25">
      <c r="A659" t="s">
        <v>4</v>
      </c>
      <c r="B659" s="1">
        <v>44823</v>
      </c>
      <c r="C659">
        <v>7.0996189999999997</v>
      </c>
    </row>
    <row r="660" spans="1:3" x14ac:dyDescent="0.25">
      <c r="A660" t="s">
        <v>4</v>
      </c>
      <c r="B660" s="1">
        <v>44824</v>
      </c>
      <c r="C660">
        <v>7.0813680000000003</v>
      </c>
    </row>
    <row r="661" spans="1:3" x14ac:dyDescent="0.25">
      <c r="A661" t="s">
        <v>4</v>
      </c>
      <c r="B661" s="1">
        <v>44825</v>
      </c>
      <c r="C661">
        <v>7.0813680000000003</v>
      </c>
    </row>
    <row r="662" spans="1:3" x14ac:dyDescent="0.25">
      <c r="A662" t="s">
        <v>4</v>
      </c>
      <c r="B662" s="1">
        <v>44826</v>
      </c>
      <c r="C662">
        <v>6.9353600000000002</v>
      </c>
    </row>
    <row r="663" spans="1:3" x14ac:dyDescent="0.25">
      <c r="A663" t="s">
        <v>4</v>
      </c>
      <c r="B663" s="1">
        <v>44827</v>
      </c>
      <c r="C663">
        <v>6.9079839999999999</v>
      </c>
    </row>
    <row r="664" spans="1:3" x14ac:dyDescent="0.25">
      <c r="A664" t="s">
        <v>4</v>
      </c>
      <c r="B664" s="1">
        <v>44830</v>
      </c>
      <c r="C664">
        <v>6.8258549999999998</v>
      </c>
    </row>
    <row r="665" spans="1:3" x14ac:dyDescent="0.25">
      <c r="A665" t="s">
        <v>4</v>
      </c>
      <c r="B665" s="1">
        <v>44831</v>
      </c>
      <c r="C665">
        <v>6.8076040000000004</v>
      </c>
    </row>
    <row r="666" spans="1:3" x14ac:dyDescent="0.25">
      <c r="A666" t="s">
        <v>4</v>
      </c>
      <c r="B666" s="1">
        <v>44832</v>
      </c>
      <c r="C666">
        <v>6.7072229999999999</v>
      </c>
    </row>
    <row r="667" spans="1:3" x14ac:dyDescent="0.25">
      <c r="A667" t="s">
        <v>4</v>
      </c>
      <c r="B667" s="1">
        <v>44833</v>
      </c>
      <c r="C667">
        <v>6.6980979999999999</v>
      </c>
    </row>
    <row r="668" spans="1:3" x14ac:dyDescent="0.25">
      <c r="A668" t="s">
        <v>4</v>
      </c>
      <c r="B668" s="1">
        <v>44834</v>
      </c>
      <c r="C668">
        <v>6.7254740000000002</v>
      </c>
    </row>
    <row r="669" spans="1:3" x14ac:dyDescent="0.25">
      <c r="A669" t="s">
        <v>4</v>
      </c>
      <c r="B669" s="1">
        <v>44837</v>
      </c>
      <c r="C669">
        <v>6.9536110000000004</v>
      </c>
    </row>
    <row r="670" spans="1:3" x14ac:dyDescent="0.25">
      <c r="A670" t="s">
        <v>4</v>
      </c>
      <c r="B670" s="1">
        <v>44838</v>
      </c>
      <c r="C670">
        <v>7.1178699999999999</v>
      </c>
    </row>
    <row r="671" spans="1:3" x14ac:dyDescent="0.25">
      <c r="A671" t="s">
        <v>4</v>
      </c>
      <c r="B671" s="1">
        <v>44839</v>
      </c>
      <c r="C671">
        <v>7.1087449999999999</v>
      </c>
    </row>
    <row r="672" spans="1:3" x14ac:dyDescent="0.25">
      <c r="A672" t="s">
        <v>4</v>
      </c>
      <c r="B672" s="1">
        <v>44840</v>
      </c>
      <c r="C672">
        <v>6.990113</v>
      </c>
    </row>
    <row r="673" spans="1:3" x14ac:dyDescent="0.25">
      <c r="A673" t="s">
        <v>4</v>
      </c>
      <c r="B673" s="1">
        <v>44841</v>
      </c>
      <c r="C673">
        <v>6.8258549999999998</v>
      </c>
    </row>
    <row r="674" spans="1:3" x14ac:dyDescent="0.25">
      <c r="A674" t="s">
        <v>4</v>
      </c>
      <c r="B674" s="1">
        <v>44844</v>
      </c>
      <c r="C674">
        <v>6.9262350000000001</v>
      </c>
    </row>
    <row r="675" spans="1:3" x14ac:dyDescent="0.25">
      <c r="A675" t="s">
        <v>4</v>
      </c>
      <c r="B675" s="1">
        <v>44845</v>
      </c>
      <c r="C675">
        <v>6.8076040000000004</v>
      </c>
    </row>
    <row r="676" spans="1:3" x14ac:dyDescent="0.25">
      <c r="A676" t="s">
        <v>4</v>
      </c>
      <c r="B676" s="1">
        <v>44846</v>
      </c>
      <c r="C676">
        <v>6.9079839999999999</v>
      </c>
    </row>
    <row r="677" spans="1:3" x14ac:dyDescent="0.25">
      <c r="A677" t="s">
        <v>4</v>
      </c>
      <c r="B677" s="1">
        <v>44847</v>
      </c>
      <c r="C677">
        <v>6.8897329999999997</v>
      </c>
    </row>
    <row r="678" spans="1:3" x14ac:dyDescent="0.25">
      <c r="A678" t="s">
        <v>4</v>
      </c>
      <c r="B678" s="1">
        <v>44848</v>
      </c>
      <c r="C678">
        <v>6.9444860000000004</v>
      </c>
    </row>
    <row r="679" spans="1:3" x14ac:dyDescent="0.25">
      <c r="A679" t="s">
        <v>4</v>
      </c>
      <c r="B679" s="1">
        <v>44851</v>
      </c>
      <c r="C679">
        <v>7.190874</v>
      </c>
    </row>
    <row r="680" spans="1:3" x14ac:dyDescent="0.25">
      <c r="A680" t="s">
        <v>4</v>
      </c>
      <c r="B680" s="1">
        <v>44852</v>
      </c>
      <c r="C680">
        <v>7.2638780000000001</v>
      </c>
    </row>
    <row r="681" spans="1:3" x14ac:dyDescent="0.25">
      <c r="A681" t="s">
        <v>4</v>
      </c>
      <c r="B681" s="1">
        <v>44853</v>
      </c>
      <c r="C681">
        <v>7.3003790000000004</v>
      </c>
    </row>
    <row r="682" spans="1:3" x14ac:dyDescent="0.25">
      <c r="A682" t="s">
        <v>4</v>
      </c>
      <c r="B682" s="1">
        <v>44854</v>
      </c>
      <c r="C682">
        <v>7.2365009999999996</v>
      </c>
    </row>
    <row r="683" spans="1:3" x14ac:dyDescent="0.25">
      <c r="A683" t="s">
        <v>4</v>
      </c>
      <c r="B683" s="1">
        <v>44855</v>
      </c>
      <c r="C683">
        <v>7.1634969999999996</v>
      </c>
    </row>
    <row r="684" spans="1:3" x14ac:dyDescent="0.25">
      <c r="A684" t="s">
        <v>4</v>
      </c>
      <c r="B684" s="1">
        <v>44858</v>
      </c>
      <c r="C684">
        <v>7.2365009999999996</v>
      </c>
    </row>
    <row r="685" spans="1:3" x14ac:dyDescent="0.25">
      <c r="A685" t="s">
        <v>4</v>
      </c>
      <c r="B685" s="1">
        <v>44859</v>
      </c>
      <c r="C685">
        <v>7.2365009999999996</v>
      </c>
    </row>
    <row r="686" spans="1:3" x14ac:dyDescent="0.25">
      <c r="A686" t="s">
        <v>4</v>
      </c>
      <c r="B686" s="1">
        <v>44860</v>
      </c>
      <c r="C686">
        <v>7.2912540000000003</v>
      </c>
    </row>
    <row r="687" spans="1:3" x14ac:dyDescent="0.25">
      <c r="A687" t="s">
        <v>4</v>
      </c>
      <c r="B687" s="1">
        <v>44861</v>
      </c>
      <c r="C687">
        <v>7.2273759999999996</v>
      </c>
    </row>
    <row r="688" spans="1:3" x14ac:dyDescent="0.25">
      <c r="A688" t="s">
        <v>4</v>
      </c>
      <c r="B688" s="1">
        <v>44862</v>
      </c>
      <c r="C688">
        <v>7.3186309999999999</v>
      </c>
    </row>
    <row r="689" spans="1:3" x14ac:dyDescent="0.25">
      <c r="A689" t="s">
        <v>4</v>
      </c>
      <c r="B689" s="1">
        <v>44865</v>
      </c>
      <c r="C689">
        <v>7.3003790000000004</v>
      </c>
    </row>
    <row r="690" spans="1:3" x14ac:dyDescent="0.25">
      <c r="A690" t="s">
        <v>4</v>
      </c>
      <c r="B690" s="1">
        <v>44866</v>
      </c>
      <c r="C690">
        <v>7.4372610000000003</v>
      </c>
    </row>
    <row r="691" spans="1:3" x14ac:dyDescent="0.25">
      <c r="A691" t="s">
        <v>4</v>
      </c>
      <c r="B691" s="1">
        <v>44867</v>
      </c>
      <c r="C691">
        <v>7.6288960000000001</v>
      </c>
    </row>
    <row r="692" spans="1:3" x14ac:dyDescent="0.25">
      <c r="A692" t="s">
        <v>4</v>
      </c>
      <c r="B692" s="1">
        <v>44868</v>
      </c>
      <c r="C692">
        <v>7.666385</v>
      </c>
    </row>
    <row r="693" spans="1:3" x14ac:dyDescent="0.25">
      <c r="A693" t="s">
        <v>4</v>
      </c>
      <c r="B693" s="1">
        <v>44869</v>
      </c>
      <c r="C693">
        <v>7.6476410000000001</v>
      </c>
    </row>
    <row r="694" spans="1:3" x14ac:dyDescent="0.25">
      <c r="A694" t="s">
        <v>4</v>
      </c>
      <c r="B694" s="1">
        <v>44872</v>
      </c>
      <c r="C694">
        <v>7.6851289999999999</v>
      </c>
    </row>
    <row r="695" spans="1:3" x14ac:dyDescent="0.25">
      <c r="A695" t="s">
        <v>4</v>
      </c>
      <c r="B695" s="1">
        <v>44873</v>
      </c>
      <c r="C695">
        <v>7.7975950000000003</v>
      </c>
    </row>
    <row r="696" spans="1:3" x14ac:dyDescent="0.25">
      <c r="A696" t="s">
        <v>4</v>
      </c>
      <c r="B696" s="1">
        <v>44874</v>
      </c>
      <c r="C696">
        <v>7.7601060000000004</v>
      </c>
    </row>
    <row r="697" spans="1:3" x14ac:dyDescent="0.25">
      <c r="A697" t="s">
        <v>4</v>
      </c>
      <c r="B697" s="1">
        <v>44875</v>
      </c>
      <c r="C697">
        <v>8.0131530000000009</v>
      </c>
    </row>
    <row r="698" spans="1:3" x14ac:dyDescent="0.25">
      <c r="A698" t="s">
        <v>4</v>
      </c>
      <c r="B698" s="1">
        <v>44876</v>
      </c>
      <c r="C698">
        <v>8.2005949999999999</v>
      </c>
    </row>
    <row r="699" spans="1:3" x14ac:dyDescent="0.25">
      <c r="A699" t="s">
        <v>4</v>
      </c>
      <c r="B699" s="1">
        <v>44879</v>
      </c>
      <c r="C699">
        <v>8.3036890000000003</v>
      </c>
    </row>
    <row r="700" spans="1:3" x14ac:dyDescent="0.25">
      <c r="A700" t="s">
        <v>4</v>
      </c>
      <c r="B700" s="1">
        <v>44880</v>
      </c>
      <c r="C700">
        <v>8.0881299999999996</v>
      </c>
    </row>
    <row r="701" spans="1:3" x14ac:dyDescent="0.25">
      <c r="A701" t="s">
        <v>4</v>
      </c>
      <c r="B701" s="1">
        <v>44881</v>
      </c>
      <c r="C701">
        <v>7.9944090000000001</v>
      </c>
    </row>
    <row r="702" spans="1:3" x14ac:dyDescent="0.25">
      <c r="A702" t="s">
        <v>4</v>
      </c>
      <c r="B702" s="1">
        <v>44882</v>
      </c>
      <c r="C702">
        <v>8.1068739999999995</v>
      </c>
    </row>
    <row r="703" spans="1:3" x14ac:dyDescent="0.25">
      <c r="A703" t="s">
        <v>4</v>
      </c>
      <c r="B703" s="1">
        <v>44883</v>
      </c>
      <c r="C703">
        <v>7.9756650000000002</v>
      </c>
    </row>
    <row r="704" spans="1:3" x14ac:dyDescent="0.25">
      <c r="A704" t="s">
        <v>4</v>
      </c>
      <c r="B704" s="1">
        <v>44886</v>
      </c>
      <c r="C704">
        <v>7.8257110000000001</v>
      </c>
    </row>
    <row r="705" spans="1:3" x14ac:dyDescent="0.25">
      <c r="A705" t="s">
        <v>4</v>
      </c>
      <c r="B705" s="1">
        <v>44887</v>
      </c>
      <c r="C705">
        <v>7.8163390000000001</v>
      </c>
    </row>
    <row r="706" spans="1:3" x14ac:dyDescent="0.25">
      <c r="A706" t="s">
        <v>4</v>
      </c>
      <c r="B706" s="1">
        <v>44888</v>
      </c>
      <c r="C706">
        <v>7.9194319999999996</v>
      </c>
    </row>
    <row r="707" spans="1:3" x14ac:dyDescent="0.25">
      <c r="A707" t="s">
        <v>4</v>
      </c>
      <c r="B707" s="1">
        <v>44889</v>
      </c>
      <c r="C707">
        <v>8.0318970000000007</v>
      </c>
    </row>
    <row r="708" spans="1:3" x14ac:dyDescent="0.25">
      <c r="A708" t="s">
        <v>4</v>
      </c>
      <c r="B708" s="1">
        <v>44890</v>
      </c>
      <c r="C708">
        <v>7.8913159999999998</v>
      </c>
    </row>
    <row r="709" spans="1:3" x14ac:dyDescent="0.25">
      <c r="A709" t="s">
        <v>4</v>
      </c>
      <c r="B709" s="1">
        <v>44893</v>
      </c>
      <c r="C709">
        <v>7.7788510000000004</v>
      </c>
    </row>
    <row r="710" spans="1:3" x14ac:dyDescent="0.25">
      <c r="A710" t="s">
        <v>4</v>
      </c>
      <c r="B710" s="1">
        <v>44894</v>
      </c>
      <c r="C710">
        <v>7.5539199999999997</v>
      </c>
    </row>
    <row r="711" spans="1:3" x14ac:dyDescent="0.25">
      <c r="A711" t="s">
        <v>4</v>
      </c>
      <c r="B711" s="1">
        <v>44895</v>
      </c>
      <c r="C711">
        <v>7.4601990000000002</v>
      </c>
    </row>
    <row r="712" spans="1:3" x14ac:dyDescent="0.25">
      <c r="A712" t="s">
        <v>4</v>
      </c>
      <c r="B712" s="1">
        <v>44896</v>
      </c>
      <c r="C712">
        <v>7.6195240000000002</v>
      </c>
    </row>
    <row r="713" spans="1:3" x14ac:dyDescent="0.25">
      <c r="A713" t="s">
        <v>4</v>
      </c>
      <c r="B713" s="1">
        <v>44897</v>
      </c>
      <c r="C713">
        <v>7.7226179999999998</v>
      </c>
    </row>
    <row r="714" spans="1:3" x14ac:dyDescent="0.25">
      <c r="A714" t="s">
        <v>4</v>
      </c>
      <c r="B714" s="1">
        <v>44900</v>
      </c>
      <c r="C714">
        <v>7.7038739999999999</v>
      </c>
    </row>
    <row r="715" spans="1:3" x14ac:dyDescent="0.25">
      <c r="A715" t="s">
        <v>4</v>
      </c>
      <c r="B715" s="1">
        <v>44902</v>
      </c>
      <c r="C715">
        <v>7.4508260000000002</v>
      </c>
    </row>
    <row r="716" spans="1:3" x14ac:dyDescent="0.25">
      <c r="A716" t="s">
        <v>4</v>
      </c>
      <c r="B716" s="1">
        <v>44903</v>
      </c>
      <c r="C716">
        <v>7.2165239999999997</v>
      </c>
    </row>
    <row r="717" spans="1:3" x14ac:dyDescent="0.25">
      <c r="A717" t="s">
        <v>4</v>
      </c>
      <c r="B717" s="1">
        <v>44904</v>
      </c>
      <c r="C717">
        <v>7.3102460000000002</v>
      </c>
    </row>
    <row r="718" spans="1:3" x14ac:dyDescent="0.25">
      <c r="A718" t="s">
        <v>4</v>
      </c>
      <c r="B718" s="1">
        <v>44907</v>
      </c>
      <c r="C718">
        <v>7.3383609999999999</v>
      </c>
    </row>
    <row r="719" spans="1:3" x14ac:dyDescent="0.25">
      <c r="A719" t="s">
        <v>4</v>
      </c>
      <c r="B719" s="1">
        <v>44908</v>
      </c>
      <c r="C719">
        <v>7.2821280000000002</v>
      </c>
    </row>
    <row r="720" spans="1:3" x14ac:dyDescent="0.25">
      <c r="A720" t="s">
        <v>4</v>
      </c>
      <c r="B720" s="1">
        <v>44909</v>
      </c>
      <c r="C720">
        <v>7.319617</v>
      </c>
    </row>
    <row r="721" spans="1:3" x14ac:dyDescent="0.25">
      <c r="A721" t="s">
        <v>4</v>
      </c>
      <c r="B721" s="1">
        <v>44910</v>
      </c>
      <c r="C721">
        <v>7.4039659999999996</v>
      </c>
    </row>
    <row r="722" spans="1:3" x14ac:dyDescent="0.25">
      <c r="A722" t="s">
        <v>4</v>
      </c>
      <c r="B722" s="1">
        <v>44911</v>
      </c>
      <c r="C722">
        <v>7.319617</v>
      </c>
    </row>
    <row r="723" spans="1:3" x14ac:dyDescent="0.25">
      <c r="A723" t="s">
        <v>4</v>
      </c>
      <c r="B723" s="1">
        <v>44914</v>
      </c>
      <c r="C723">
        <v>7.3945939999999997</v>
      </c>
    </row>
    <row r="724" spans="1:3" x14ac:dyDescent="0.25">
      <c r="A724" t="s">
        <v>4</v>
      </c>
      <c r="B724" s="1">
        <v>44915</v>
      </c>
      <c r="C724">
        <v>7.3852219999999997</v>
      </c>
    </row>
    <row r="725" spans="1:3" x14ac:dyDescent="0.25">
      <c r="A725" t="s">
        <v>4</v>
      </c>
      <c r="B725" s="1">
        <v>44916</v>
      </c>
      <c r="C725">
        <v>7.3945939999999997</v>
      </c>
    </row>
    <row r="726" spans="1:3" x14ac:dyDescent="0.25">
      <c r="A726" t="s">
        <v>4</v>
      </c>
      <c r="B726" s="1">
        <v>44917</v>
      </c>
      <c r="C726">
        <v>7.4508260000000002</v>
      </c>
    </row>
    <row r="727" spans="1:3" x14ac:dyDescent="0.25">
      <c r="A727" t="s">
        <v>4</v>
      </c>
      <c r="B727" s="1">
        <v>44918</v>
      </c>
      <c r="C727">
        <v>7.5445479999999998</v>
      </c>
    </row>
    <row r="728" spans="1:3" x14ac:dyDescent="0.25">
      <c r="A728" t="s">
        <v>4</v>
      </c>
      <c r="B728" s="1">
        <v>44922</v>
      </c>
      <c r="C728">
        <v>7.5445479999999998</v>
      </c>
    </row>
    <row r="729" spans="1:3" x14ac:dyDescent="0.25">
      <c r="A729" t="s">
        <v>4</v>
      </c>
      <c r="B729" s="1">
        <v>44923</v>
      </c>
      <c r="C729">
        <v>7.5445479999999998</v>
      </c>
    </row>
    <row r="730" spans="1:3" x14ac:dyDescent="0.25">
      <c r="A730" t="s">
        <v>4</v>
      </c>
      <c r="B730" s="1">
        <v>44924</v>
      </c>
      <c r="C730">
        <v>7.6382680000000001</v>
      </c>
    </row>
    <row r="731" spans="1:3" x14ac:dyDescent="0.25">
      <c r="A731" t="s">
        <v>4</v>
      </c>
      <c r="B731" s="1">
        <v>44925</v>
      </c>
      <c r="C731">
        <v>7.6851289999999999</v>
      </c>
    </row>
    <row r="732" spans="1:3" x14ac:dyDescent="0.25">
      <c r="A732" t="s">
        <v>4</v>
      </c>
      <c r="B732" s="1">
        <v>44928</v>
      </c>
      <c r="C732">
        <v>7.8257110000000001</v>
      </c>
    </row>
    <row r="733" spans="1:3" x14ac:dyDescent="0.25">
      <c r="A733" t="s">
        <v>4</v>
      </c>
      <c r="B733" s="1">
        <v>44929</v>
      </c>
      <c r="C733">
        <v>7.8257110000000001</v>
      </c>
    </row>
    <row r="734" spans="1:3" x14ac:dyDescent="0.25">
      <c r="A734" t="s">
        <v>4</v>
      </c>
      <c r="B734" s="1">
        <v>44930</v>
      </c>
      <c r="C734">
        <v>7.8069670000000002</v>
      </c>
    </row>
    <row r="735" spans="1:3" x14ac:dyDescent="0.25">
      <c r="A735" t="s">
        <v>4</v>
      </c>
      <c r="B735" s="1">
        <v>44931</v>
      </c>
      <c r="C735">
        <v>7.7601060000000004</v>
      </c>
    </row>
    <row r="736" spans="1:3" x14ac:dyDescent="0.25">
      <c r="A736" t="s">
        <v>4</v>
      </c>
      <c r="B736" s="1">
        <v>44935</v>
      </c>
      <c r="C736">
        <v>7.8632</v>
      </c>
    </row>
    <row r="737" spans="1:3" x14ac:dyDescent="0.25">
      <c r="A737" t="s">
        <v>4</v>
      </c>
      <c r="B737" s="1">
        <v>44936</v>
      </c>
      <c r="C737">
        <v>7.7975950000000003</v>
      </c>
    </row>
    <row r="738" spans="1:3" x14ac:dyDescent="0.25">
      <c r="A738" t="s">
        <v>4</v>
      </c>
      <c r="B738" s="1">
        <v>44937</v>
      </c>
      <c r="C738">
        <v>7.7319899999999997</v>
      </c>
    </row>
    <row r="739" spans="1:3" x14ac:dyDescent="0.25">
      <c r="A739" t="s">
        <v>4</v>
      </c>
      <c r="B739" s="1">
        <v>44938</v>
      </c>
      <c r="C739">
        <v>7.6851289999999999</v>
      </c>
    </row>
    <row r="740" spans="1:3" x14ac:dyDescent="0.25">
      <c r="A740" t="s">
        <v>4</v>
      </c>
      <c r="B740" s="1">
        <v>44939</v>
      </c>
      <c r="C740">
        <v>7.7319899999999997</v>
      </c>
    </row>
    <row r="741" spans="1:3" x14ac:dyDescent="0.25">
      <c r="A741" t="s">
        <v>4</v>
      </c>
      <c r="B741" s="1">
        <v>44942</v>
      </c>
      <c r="C741">
        <v>7.7694780000000003</v>
      </c>
    </row>
    <row r="742" spans="1:3" x14ac:dyDescent="0.25">
      <c r="A742" t="s">
        <v>4</v>
      </c>
      <c r="B742" s="1">
        <v>44943</v>
      </c>
      <c r="C742">
        <v>7.8538269999999999</v>
      </c>
    </row>
    <row r="743" spans="1:3" x14ac:dyDescent="0.25">
      <c r="A743" t="s">
        <v>4</v>
      </c>
      <c r="B743" s="1">
        <v>44944</v>
      </c>
      <c r="C743">
        <v>7.8725709999999998</v>
      </c>
    </row>
    <row r="744" spans="1:3" x14ac:dyDescent="0.25">
      <c r="A744" t="s">
        <v>4</v>
      </c>
      <c r="B744" s="1">
        <v>44945</v>
      </c>
      <c r="C744">
        <v>7.7788510000000004</v>
      </c>
    </row>
    <row r="745" spans="1:3" x14ac:dyDescent="0.25">
      <c r="A745" t="s">
        <v>4</v>
      </c>
      <c r="B745" s="1">
        <v>44946</v>
      </c>
      <c r="C745">
        <v>7.8538269999999999</v>
      </c>
    </row>
    <row r="746" spans="1:3" x14ac:dyDescent="0.25">
      <c r="A746" t="s">
        <v>4</v>
      </c>
      <c r="B746" s="1">
        <v>44949</v>
      </c>
      <c r="C746">
        <v>7.8632</v>
      </c>
    </row>
    <row r="747" spans="1:3" x14ac:dyDescent="0.25">
      <c r="A747" t="s">
        <v>4</v>
      </c>
      <c r="B747" s="1">
        <v>44950</v>
      </c>
      <c r="C747">
        <v>7.844455</v>
      </c>
    </row>
    <row r="748" spans="1:3" x14ac:dyDescent="0.25">
      <c r="A748" t="s">
        <v>4</v>
      </c>
      <c r="B748" s="1">
        <v>44951</v>
      </c>
      <c r="C748">
        <v>7.844455</v>
      </c>
    </row>
    <row r="749" spans="1:3" x14ac:dyDescent="0.25">
      <c r="A749" t="s">
        <v>4</v>
      </c>
      <c r="B749" s="1">
        <v>44952</v>
      </c>
      <c r="C749">
        <v>7.9194319999999996</v>
      </c>
    </row>
    <row r="750" spans="1:3" x14ac:dyDescent="0.25">
      <c r="A750" t="s">
        <v>4</v>
      </c>
      <c r="B750" s="1">
        <v>44953</v>
      </c>
      <c r="C750">
        <v>7.8819429999999997</v>
      </c>
    </row>
    <row r="751" spans="1:3" x14ac:dyDescent="0.25">
      <c r="A751" t="s">
        <v>4</v>
      </c>
      <c r="B751" s="1">
        <v>44956</v>
      </c>
      <c r="C751">
        <v>7.8257110000000001</v>
      </c>
    </row>
    <row r="752" spans="1:3" x14ac:dyDescent="0.25">
      <c r="A752" t="s">
        <v>4</v>
      </c>
      <c r="B752" s="1">
        <v>44957</v>
      </c>
      <c r="C752">
        <v>7.8069670000000002</v>
      </c>
    </row>
    <row r="753" spans="1:3" x14ac:dyDescent="0.25">
      <c r="A753" t="s">
        <v>4</v>
      </c>
      <c r="B753" s="1">
        <v>44958</v>
      </c>
      <c r="C753">
        <v>7.835083</v>
      </c>
    </row>
    <row r="754" spans="1:3" x14ac:dyDescent="0.25">
      <c r="A754" t="s">
        <v>4</v>
      </c>
      <c r="B754" s="1">
        <v>44959</v>
      </c>
      <c r="C754">
        <v>7.8257110000000001</v>
      </c>
    </row>
    <row r="755" spans="1:3" x14ac:dyDescent="0.25">
      <c r="A755" t="s">
        <v>4</v>
      </c>
      <c r="B755" s="1">
        <v>44960</v>
      </c>
      <c r="C755">
        <v>7.8069670000000002</v>
      </c>
    </row>
    <row r="756" spans="1:3" x14ac:dyDescent="0.25">
      <c r="A756" t="s">
        <v>4</v>
      </c>
      <c r="B756" s="1">
        <v>44963</v>
      </c>
      <c r="C756">
        <v>7.9006879999999997</v>
      </c>
    </row>
    <row r="757" spans="1:3" x14ac:dyDescent="0.25">
      <c r="A757" t="s">
        <v>4</v>
      </c>
      <c r="B757" s="1">
        <v>44964</v>
      </c>
      <c r="C757">
        <v>7.8257110000000001</v>
      </c>
    </row>
    <row r="758" spans="1:3" x14ac:dyDescent="0.25">
      <c r="A758" t="s">
        <v>4</v>
      </c>
      <c r="B758" s="1">
        <v>44965</v>
      </c>
      <c r="C758">
        <v>7.8725709999999998</v>
      </c>
    </row>
    <row r="759" spans="1:3" x14ac:dyDescent="0.25">
      <c r="A759" t="s">
        <v>4</v>
      </c>
      <c r="B759" s="1">
        <v>44966</v>
      </c>
      <c r="C759">
        <v>7.8632</v>
      </c>
    </row>
    <row r="760" spans="1:3" x14ac:dyDescent="0.25">
      <c r="A760" t="s">
        <v>4</v>
      </c>
      <c r="B760" s="1">
        <v>44967</v>
      </c>
      <c r="C760">
        <v>7.9194319999999996</v>
      </c>
    </row>
    <row r="761" spans="1:3" x14ac:dyDescent="0.25">
      <c r="A761" t="s">
        <v>4</v>
      </c>
      <c r="B761" s="1">
        <v>44970</v>
      </c>
      <c r="C761">
        <v>7.9194319999999996</v>
      </c>
    </row>
    <row r="762" spans="1:3" x14ac:dyDescent="0.25">
      <c r="A762" t="s">
        <v>4</v>
      </c>
      <c r="B762" s="1">
        <v>44971</v>
      </c>
      <c r="C762">
        <v>7.9288040000000004</v>
      </c>
    </row>
    <row r="763" spans="1:3" x14ac:dyDescent="0.25">
      <c r="A763" t="s">
        <v>4</v>
      </c>
      <c r="B763" s="1">
        <v>44972</v>
      </c>
      <c r="C763">
        <v>7.8632</v>
      </c>
    </row>
    <row r="764" spans="1:3" x14ac:dyDescent="0.25">
      <c r="A764" t="s">
        <v>4</v>
      </c>
      <c r="B764" s="1">
        <v>44973</v>
      </c>
      <c r="C764">
        <v>7.8257110000000001</v>
      </c>
    </row>
    <row r="765" spans="1:3" x14ac:dyDescent="0.25">
      <c r="A765" t="s">
        <v>4</v>
      </c>
      <c r="B765" s="1">
        <v>44974</v>
      </c>
      <c r="C765">
        <v>7.7788510000000004</v>
      </c>
    </row>
    <row r="766" spans="1:3" x14ac:dyDescent="0.25">
      <c r="A766" t="s">
        <v>4</v>
      </c>
      <c r="B766" s="1">
        <v>44977</v>
      </c>
      <c r="C766">
        <v>7.7788510000000004</v>
      </c>
    </row>
    <row r="767" spans="1:3" x14ac:dyDescent="0.25">
      <c r="A767" t="s">
        <v>4</v>
      </c>
      <c r="B767" s="1">
        <v>44978</v>
      </c>
      <c r="C767">
        <v>7.7413619999999996</v>
      </c>
    </row>
    <row r="768" spans="1:3" x14ac:dyDescent="0.25">
      <c r="A768" t="s">
        <v>4</v>
      </c>
      <c r="B768" s="1">
        <v>44979</v>
      </c>
      <c r="C768">
        <v>7.7132449999999997</v>
      </c>
    </row>
    <row r="769" spans="1:3" x14ac:dyDescent="0.25">
      <c r="A769" t="s">
        <v>4</v>
      </c>
      <c r="B769" s="1">
        <v>44980</v>
      </c>
      <c r="C769">
        <v>7.7413619999999996</v>
      </c>
    </row>
    <row r="770" spans="1:3" x14ac:dyDescent="0.25">
      <c r="A770" t="s">
        <v>4</v>
      </c>
      <c r="B770" s="1">
        <v>44981</v>
      </c>
      <c r="C770">
        <v>7.6757559999999998</v>
      </c>
    </row>
    <row r="771" spans="1:3" x14ac:dyDescent="0.25">
      <c r="A771" t="s">
        <v>4</v>
      </c>
      <c r="B771" s="1">
        <v>44984</v>
      </c>
      <c r="C771">
        <v>7.7601060000000004</v>
      </c>
    </row>
    <row r="772" spans="1:3" x14ac:dyDescent="0.25">
      <c r="A772" t="s">
        <v>4</v>
      </c>
      <c r="B772" s="1">
        <v>44985</v>
      </c>
      <c r="C772">
        <v>7.7319899999999997</v>
      </c>
    </row>
    <row r="773" spans="1:3" x14ac:dyDescent="0.25">
      <c r="A773" t="s">
        <v>4</v>
      </c>
      <c r="B773" s="1">
        <v>44986</v>
      </c>
      <c r="C773">
        <v>7.6195240000000002</v>
      </c>
    </row>
    <row r="774" spans="1:3" x14ac:dyDescent="0.25">
      <c r="A774" t="s">
        <v>4</v>
      </c>
      <c r="B774" s="1">
        <v>44987</v>
      </c>
      <c r="C774">
        <v>7.5445479999999998</v>
      </c>
    </row>
    <row r="775" spans="1:3" x14ac:dyDescent="0.25">
      <c r="A775" t="s">
        <v>4</v>
      </c>
      <c r="B775" s="1">
        <v>44988</v>
      </c>
      <c r="C775">
        <v>7.6851289999999999</v>
      </c>
    </row>
    <row r="776" spans="1:3" x14ac:dyDescent="0.25">
      <c r="A776" t="s">
        <v>4</v>
      </c>
      <c r="B776" s="1">
        <v>44991</v>
      </c>
      <c r="C776">
        <v>7.6570130000000001</v>
      </c>
    </row>
    <row r="777" spans="1:3" x14ac:dyDescent="0.25">
      <c r="A777" t="s">
        <v>4</v>
      </c>
      <c r="B777" s="1">
        <v>44992</v>
      </c>
      <c r="C777">
        <v>7.8913159999999998</v>
      </c>
    </row>
    <row r="778" spans="1:3" x14ac:dyDescent="0.25">
      <c r="A778" t="s">
        <v>4</v>
      </c>
      <c r="B778" s="1">
        <v>44993</v>
      </c>
      <c r="C778">
        <v>7.8257110000000001</v>
      </c>
    </row>
    <row r="779" spans="1:3" x14ac:dyDescent="0.25">
      <c r="A779" t="s">
        <v>4</v>
      </c>
      <c r="B779" s="1">
        <v>44994</v>
      </c>
      <c r="C779">
        <v>7.7694780000000003</v>
      </c>
    </row>
    <row r="780" spans="1:3" x14ac:dyDescent="0.25">
      <c r="A780" t="s">
        <v>4</v>
      </c>
      <c r="B780" s="1">
        <v>44995</v>
      </c>
      <c r="C780">
        <v>7.6570130000000001</v>
      </c>
    </row>
    <row r="781" spans="1:3" x14ac:dyDescent="0.25">
      <c r="A781" t="s">
        <v>4</v>
      </c>
      <c r="B781" s="1">
        <v>44998</v>
      </c>
      <c r="C781">
        <v>7.5914080000000004</v>
      </c>
    </row>
    <row r="782" spans="1:3" x14ac:dyDescent="0.25">
      <c r="A782" t="s">
        <v>4</v>
      </c>
      <c r="B782" s="1">
        <v>44999</v>
      </c>
      <c r="C782">
        <v>7.7694780000000003</v>
      </c>
    </row>
    <row r="783" spans="1:3" x14ac:dyDescent="0.25">
      <c r="A783" t="s">
        <v>4</v>
      </c>
      <c r="B783" s="1">
        <v>45000</v>
      </c>
      <c r="C783">
        <v>7.6476410000000001</v>
      </c>
    </row>
    <row r="784" spans="1:3" x14ac:dyDescent="0.25">
      <c r="A784" t="s">
        <v>4</v>
      </c>
      <c r="B784" s="1">
        <v>45001</v>
      </c>
      <c r="C784">
        <v>7.6382680000000001</v>
      </c>
    </row>
    <row r="785" spans="1:3" x14ac:dyDescent="0.25">
      <c r="A785" t="s">
        <v>4</v>
      </c>
      <c r="B785" s="1">
        <v>45002</v>
      </c>
      <c r="C785">
        <v>7.6570130000000001</v>
      </c>
    </row>
    <row r="786" spans="1:3" x14ac:dyDescent="0.25">
      <c r="A786" t="s">
        <v>4</v>
      </c>
      <c r="B786" s="1">
        <v>45005</v>
      </c>
      <c r="C786">
        <v>7.7319899999999997</v>
      </c>
    </row>
    <row r="787" spans="1:3" x14ac:dyDescent="0.25">
      <c r="A787" t="s">
        <v>4</v>
      </c>
      <c r="B787" s="1">
        <v>45006</v>
      </c>
      <c r="C787">
        <v>7.835083</v>
      </c>
    </row>
    <row r="788" spans="1:3" x14ac:dyDescent="0.25">
      <c r="A788" t="s">
        <v>4</v>
      </c>
      <c r="B788" s="1">
        <v>45007</v>
      </c>
      <c r="C788">
        <v>7.8069670000000002</v>
      </c>
    </row>
    <row r="789" spans="1:3" x14ac:dyDescent="0.25">
      <c r="A789" t="s">
        <v>4</v>
      </c>
      <c r="B789" s="1">
        <v>45008</v>
      </c>
      <c r="C789">
        <v>7.8819429999999997</v>
      </c>
    </row>
    <row r="790" spans="1:3" x14ac:dyDescent="0.25">
      <c r="A790" t="s">
        <v>4</v>
      </c>
      <c r="B790" s="1">
        <v>45009</v>
      </c>
      <c r="C790">
        <v>7.8632</v>
      </c>
    </row>
    <row r="791" spans="1:3" x14ac:dyDescent="0.25">
      <c r="A791" t="s">
        <v>4</v>
      </c>
      <c r="B791" s="1">
        <v>45012</v>
      </c>
      <c r="C791">
        <v>7.9475480000000003</v>
      </c>
    </row>
    <row r="792" spans="1:3" x14ac:dyDescent="0.25">
      <c r="A792" t="s">
        <v>4</v>
      </c>
      <c r="B792" s="1">
        <v>45013</v>
      </c>
      <c r="C792">
        <v>7.835083</v>
      </c>
    </row>
    <row r="793" spans="1:3" x14ac:dyDescent="0.25">
      <c r="A793" t="s">
        <v>4</v>
      </c>
      <c r="B793" s="1">
        <v>45014</v>
      </c>
      <c r="C793">
        <v>7.9006879999999997</v>
      </c>
    </row>
    <row r="794" spans="1:3" x14ac:dyDescent="0.25">
      <c r="A794" t="s">
        <v>4</v>
      </c>
      <c r="B794" s="1">
        <v>45015</v>
      </c>
      <c r="C794">
        <v>7.9662920000000002</v>
      </c>
    </row>
    <row r="795" spans="1:3" x14ac:dyDescent="0.25">
      <c r="A795" t="s">
        <v>4</v>
      </c>
      <c r="B795" s="1">
        <v>45016</v>
      </c>
      <c r="C795">
        <v>8.0225259999999992</v>
      </c>
    </row>
    <row r="796" spans="1:3" x14ac:dyDescent="0.25">
      <c r="A796" t="s">
        <v>4</v>
      </c>
      <c r="B796" s="1">
        <v>45019</v>
      </c>
      <c r="C796">
        <v>8.0600140000000007</v>
      </c>
    </row>
    <row r="797" spans="1:3" x14ac:dyDescent="0.25">
      <c r="A797" t="s">
        <v>4</v>
      </c>
      <c r="B797" s="1">
        <v>45020</v>
      </c>
      <c r="C797">
        <v>8.0787569999999995</v>
      </c>
    </row>
    <row r="798" spans="1:3" x14ac:dyDescent="0.25">
      <c r="A798" t="s">
        <v>4</v>
      </c>
      <c r="B798" s="1">
        <v>45021</v>
      </c>
      <c r="C798">
        <v>8.1557899999999997</v>
      </c>
    </row>
    <row r="799" spans="1:3" x14ac:dyDescent="0.25">
      <c r="A799" t="s">
        <v>4</v>
      </c>
      <c r="B799" s="1">
        <v>45022</v>
      </c>
      <c r="C799">
        <v>8.1557899999999997</v>
      </c>
    </row>
    <row r="800" spans="1:3" x14ac:dyDescent="0.25">
      <c r="A800" t="s">
        <v>4</v>
      </c>
      <c r="B800" s="1">
        <v>45027</v>
      </c>
      <c r="C800">
        <v>8.0883870000000009</v>
      </c>
    </row>
    <row r="801" spans="1:3" x14ac:dyDescent="0.25">
      <c r="A801" t="s">
        <v>4</v>
      </c>
      <c r="B801" s="1">
        <v>45028</v>
      </c>
      <c r="C801">
        <v>7.9632100000000001</v>
      </c>
    </row>
    <row r="802" spans="1:3" x14ac:dyDescent="0.25">
      <c r="A802" t="s">
        <v>4</v>
      </c>
      <c r="B802" s="1">
        <v>45029</v>
      </c>
      <c r="C802">
        <v>7.9632100000000001</v>
      </c>
    </row>
    <row r="803" spans="1:3" x14ac:dyDescent="0.25">
      <c r="A803" t="s">
        <v>4</v>
      </c>
      <c r="B803" s="1">
        <v>45030</v>
      </c>
      <c r="C803">
        <v>8.0691290000000002</v>
      </c>
    </row>
    <row r="804" spans="1:3" x14ac:dyDescent="0.25">
      <c r="A804" t="s">
        <v>4</v>
      </c>
      <c r="B804" s="1">
        <v>45033</v>
      </c>
      <c r="C804">
        <v>8.0883870000000009</v>
      </c>
    </row>
    <row r="805" spans="1:3" x14ac:dyDescent="0.25">
      <c r="A805" t="s">
        <v>4</v>
      </c>
      <c r="B805" s="1">
        <v>45034</v>
      </c>
      <c r="C805">
        <v>8.1269030000000004</v>
      </c>
    </row>
    <row r="806" spans="1:3" x14ac:dyDescent="0.25">
      <c r="A806" t="s">
        <v>4</v>
      </c>
      <c r="B806" s="1">
        <v>45035</v>
      </c>
      <c r="C806">
        <v>8.0787580000000005</v>
      </c>
    </row>
    <row r="807" spans="1:3" x14ac:dyDescent="0.25">
      <c r="A807" t="s">
        <v>4</v>
      </c>
      <c r="B807" s="1">
        <v>45036</v>
      </c>
      <c r="C807">
        <v>7.9054349999999998</v>
      </c>
    </row>
    <row r="808" spans="1:3" x14ac:dyDescent="0.25">
      <c r="A808" t="s">
        <v>4</v>
      </c>
      <c r="B808" s="1">
        <v>45037</v>
      </c>
      <c r="C808">
        <v>7.8765479999999997</v>
      </c>
    </row>
    <row r="809" spans="1:3" x14ac:dyDescent="0.25">
      <c r="A809" t="s">
        <v>4</v>
      </c>
      <c r="B809" s="1">
        <v>45040</v>
      </c>
      <c r="C809">
        <v>7.7802579999999999</v>
      </c>
    </row>
    <row r="810" spans="1:3" x14ac:dyDescent="0.25">
      <c r="A810" t="s">
        <v>4</v>
      </c>
      <c r="B810" s="1">
        <v>45041</v>
      </c>
      <c r="C810">
        <v>7.7995159999999997</v>
      </c>
    </row>
    <row r="811" spans="1:3" x14ac:dyDescent="0.25">
      <c r="A811" t="s">
        <v>4</v>
      </c>
      <c r="B811" s="1">
        <v>45042</v>
      </c>
      <c r="C811">
        <v>7.7995159999999997</v>
      </c>
    </row>
    <row r="812" spans="1:3" x14ac:dyDescent="0.25">
      <c r="A812" t="s">
        <v>4</v>
      </c>
      <c r="B812" s="1">
        <v>45043</v>
      </c>
      <c r="C812">
        <v>7.8284029999999998</v>
      </c>
    </row>
    <row r="813" spans="1:3" x14ac:dyDescent="0.25">
      <c r="A813" t="s">
        <v>4</v>
      </c>
      <c r="B813" s="1">
        <v>45044</v>
      </c>
      <c r="C813">
        <v>7.8476610000000004</v>
      </c>
    </row>
    <row r="814" spans="1:3" x14ac:dyDescent="0.25">
      <c r="A814" t="s">
        <v>4</v>
      </c>
      <c r="B814" s="1">
        <v>45048</v>
      </c>
      <c r="C814">
        <v>7.8476610000000004</v>
      </c>
    </row>
    <row r="815" spans="1:3" x14ac:dyDescent="0.25">
      <c r="A815" t="s">
        <v>4</v>
      </c>
      <c r="B815" s="1">
        <v>45049</v>
      </c>
      <c r="C815">
        <v>7.7706280000000003</v>
      </c>
    </row>
    <row r="816" spans="1:3" x14ac:dyDescent="0.25">
      <c r="A816" t="s">
        <v>4</v>
      </c>
      <c r="B816" s="1">
        <v>45050</v>
      </c>
      <c r="C816">
        <v>7.886177</v>
      </c>
    </row>
    <row r="817" spans="1:3" x14ac:dyDescent="0.25">
      <c r="A817" t="s">
        <v>4</v>
      </c>
      <c r="B817" s="1">
        <v>45051</v>
      </c>
      <c r="C817">
        <v>7.7995159999999997</v>
      </c>
    </row>
    <row r="818" spans="1:3" x14ac:dyDescent="0.25">
      <c r="A818" t="s">
        <v>4</v>
      </c>
      <c r="B818" s="1">
        <v>45054</v>
      </c>
      <c r="C818">
        <v>7.7417420000000003</v>
      </c>
    </row>
    <row r="819" spans="1:3" x14ac:dyDescent="0.25">
      <c r="A819" t="s">
        <v>4</v>
      </c>
      <c r="B819" s="1">
        <v>45055</v>
      </c>
      <c r="C819">
        <v>7.7417420000000003</v>
      </c>
    </row>
    <row r="820" spans="1:3" x14ac:dyDescent="0.25">
      <c r="A820" t="s">
        <v>4</v>
      </c>
      <c r="B820" s="1">
        <v>45056</v>
      </c>
      <c r="C820">
        <v>7.7513709999999998</v>
      </c>
    </row>
    <row r="821" spans="1:3" x14ac:dyDescent="0.25">
      <c r="A821" t="s">
        <v>4</v>
      </c>
      <c r="B821" s="1">
        <v>45057</v>
      </c>
      <c r="C821">
        <v>7.7513709999999998</v>
      </c>
    </row>
    <row r="822" spans="1:3" x14ac:dyDescent="0.25">
      <c r="A822" t="s">
        <v>4</v>
      </c>
      <c r="B822" s="1">
        <v>45058</v>
      </c>
      <c r="C822">
        <v>7.4625000000000004</v>
      </c>
    </row>
    <row r="823" spans="1:3" x14ac:dyDescent="0.25">
      <c r="A823" t="s">
        <v>4</v>
      </c>
      <c r="B823" s="1">
        <v>45061</v>
      </c>
      <c r="C823">
        <v>7.1832580000000004</v>
      </c>
    </row>
    <row r="824" spans="1:3" x14ac:dyDescent="0.25">
      <c r="A824" t="s">
        <v>4</v>
      </c>
      <c r="B824" s="1">
        <v>45062</v>
      </c>
      <c r="C824">
        <v>7.1447419999999999</v>
      </c>
    </row>
    <row r="825" spans="1:3" x14ac:dyDescent="0.25">
      <c r="A825" t="s">
        <v>4</v>
      </c>
      <c r="B825" s="1">
        <v>45063</v>
      </c>
      <c r="C825">
        <v>7.2121449999999996</v>
      </c>
    </row>
    <row r="826" spans="1:3" x14ac:dyDescent="0.25">
      <c r="A826" t="s">
        <v>4</v>
      </c>
      <c r="B826" s="1">
        <v>45065</v>
      </c>
      <c r="C826">
        <v>7.1543710000000003</v>
      </c>
    </row>
    <row r="827" spans="1:3" x14ac:dyDescent="0.25">
      <c r="A827" t="s">
        <v>4</v>
      </c>
      <c r="B827" s="1">
        <v>45068</v>
      </c>
      <c r="C827">
        <v>7.0099349999999996</v>
      </c>
    </row>
    <row r="828" spans="1:3" x14ac:dyDescent="0.25">
      <c r="A828" t="s">
        <v>4</v>
      </c>
      <c r="B828" s="1">
        <v>45069</v>
      </c>
      <c r="C828">
        <v>7.0388219999999997</v>
      </c>
    </row>
    <row r="829" spans="1:3" x14ac:dyDescent="0.25">
      <c r="A829" t="s">
        <v>4</v>
      </c>
      <c r="B829" s="1">
        <v>45070</v>
      </c>
      <c r="C829">
        <v>7.0003060000000001</v>
      </c>
    </row>
    <row r="830" spans="1:3" x14ac:dyDescent="0.25">
      <c r="A830" t="s">
        <v>4</v>
      </c>
      <c r="B830" s="1">
        <v>45071</v>
      </c>
      <c r="C830">
        <v>6.9329029999999996</v>
      </c>
    </row>
    <row r="831" spans="1:3" x14ac:dyDescent="0.25">
      <c r="A831" t="s">
        <v>4</v>
      </c>
      <c r="B831" s="1">
        <v>45072</v>
      </c>
      <c r="C831">
        <v>6.8366129999999998</v>
      </c>
    </row>
    <row r="832" spans="1:3" x14ac:dyDescent="0.25">
      <c r="A832" t="s">
        <v>4</v>
      </c>
      <c r="B832" s="1">
        <v>45075</v>
      </c>
      <c r="C832">
        <v>6.7114349999999998</v>
      </c>
    </row>
    <row r="833" spans="1:3" x14ac:dyDescent="0.25">
      <c r="A833" t="s">
        <v>4</v>
      </c>
      <c r="B833" s="1">
        <v>45076</v>
      </c>
      <c r="C833">
        <v>6.8366129999999998</v>
      </c>
    </row>
    <row r="834" spans="1:3" x14ac:dyDescent="0.25">
      <c r="A834" t="s">
        <v>4</v>
      </c>
      <c r="B834" s="1">
        <v>45077</v>
      </c>
      <c r="C834">
        <v>6.7403230000000001</v>
      </c>
    </row>
    <row r="835" spans="1:3" x14ac:dyDescent="0.25">
      <c r="A835" t="s">
        <v>4</v>
      </c>
      <c r="B835" s="1">
        <v>45078</v>
      </c>
      <c r="C835">
        <v>6.7499520000000004</v>
      </c>
    </row>
    <row r="836" spans="1:3" x14ac:dyDescent="0.25">
      <c r="A836" t="s">
        <v>4</v>
      </c>
      <c r="B836" s="1">
        <v>45079</v>
      </c>
      <c r="C836">
        <v>6.8173550000000001</v>
      </c>
    </row>
    <row r="837" spans="1:3" x14ac:dyDescent="0.25">
      <c r="A837" t="s">
        <v>4</v>
      </c>
      <c r="B837" s="1">
        <v>45082</v>
      </c>
      <c r="C837">
        <v>6.7210650000000003</v>
      </c>
    </row>
    <row r="838" spans="1:3" x14ac:dyDescent="0.25">
      <c r="A838" t="s">
        <v>4</v>
      </c>
      <c r="B838" s="1">
        <v>45083</v>
      </c>
      <c r="C838">
        <v>6.692177</v>
      </c>
    </row>
    <row r="839" spans="1:3" x14ac:dyDescent="0.25">
      <c r="A839" t="s">
        <v>4</v>
      </c>
      <c r="B839" s="1">
        <v>45084</v>
      </c>
      <c r="C839">
        <v>6.7788389999999996</v>
      </c>
    </row>
    <row r="840" spans="1:3" x14ac:dyDescent="0.25">
      <c r="A840" t="s">
        <v>4</v>
      </c>
      <c r="B840" s="1">
        <v>45085</v>
      </c>
      <c r="C840">
        <v>6.7692100000000002</v>
      </c>
    </row>
    <row r="841" spans="1:3" x14ac:dyDescent="0.25">
      <c r="A841" t="s">
        <v>4</v>
      </c>
      <c r="B841" s="1">
        <v>45086</v>
      </c>
      <c r="C841">
        <v>6.7210650000000003</v>
      </c>
    </row>
    <row r="842" spans="1:3" x14ac:dyDescent="0.25">
      <c r="A842" t="s">
        <v>4</v>
      </c>
      <c r="B842" s="1">
        <v>45089</v>
      </c>
      <c r="C842">
        <v>6.6632899999999999</v>
      </c>
    </row>
    <row r="843" spans="1:3" x14ac:dyDescent="0.25">
      <c r="A843" t="s">
        <v>4</v>
      </c>
      <c r="B843" s="1">
        <v>45090</v>
      </c>
      <c r="C843">
        <v>6.7980970000000003</v>
      </c>
    </row>
    <row r="844" spans="1:3" x14ac:dyDescent="0.25">
      <c r="A844" t="s">
        <v>4</v>
      </c>
      <c r="B844" s="1">
        <v>45091</v>
      </c>
      <c r="C844">
        <v>6.8654999999999999</v>
      </c>
    </row>
    <row r="845" spans="1:3" x14ac:dyDescent="0.25">
      <c r="A845" t="s">
        <v>4</v>
      </c>
      <c r="B845" s="1">
        <v>45092</v>
      </c>
      <c r="C845">
        <v>6.7210650000000003</v>
      </c>
    </row>
    <row r="846" spans="1:3" x14ac:dyDescent="0.25">
      <c r="A846" t="s">
        <v>4</v>
      </c>
      <c r="B846" s="1">
        <v>45093</v>
      </c>
      <c r="C846">
        <v>6.7210650000000003</v>
      </c>
    </row>
    <row r="847" spans="1:3" x14ac:dyDescent="0.25">
      <c r="A847" t="s">
        <v>4</v>
      </c>
      <c r="B847" s="1">
        <v>45096</v>
      </c>
      <c r="C847">
        <v>6.8847579999999997</v>
      </c>
    </row>
    <row r="848" spans="1:3" x14ac:dyDescent="0.25">
      <c r="A848" t="s">
        <v>4</v>
      </c>
      <c r="B848" s="1">
        <v>45097</v>
      </c>
      <c r="C848">
        <v>6.8462420000000002</v>
      </c>
    </row>
    <row r="849" spans="1:3" x14ac:dyDescent="0.25">
      <c r="A849" t="s">
        <v>4</v>
      </c>
      <c r="B849" s="1">
        <v>45098</v>
      </c>
      <c r="C849">
        <v>6.692177</v>
      </c>
    </row>
    <row r="850" spans="1:3" x14ac:dyDescent="0.25">
      <c r="A850" t="s">
        <v>4</v>
      </c>
      <c r="B850" s="1">
        <v>45099</v>
      </c>
      <c r="C850">
        <v>6.8462420000000002</v>
      </c>
    </row>
    <row r="851" spans="1:3" x14ac:dyDescent="0.25">
      <c r="A851" t="s">
        <v>4</v>
      </c>
      <c r="B851" s="1">
        <v>45103</v>
      </c>
      <c r="C851">
        <v>6.7884679999999999</v>
      </c>
    </row>
    <row r="852" spans="1:3" x14ac:dyDescent="0.25">
      <c r="A852" t="s">
        <v>4</v>
      </c>
      <c r="B852" s="1">
        <v>45104</v>
      </c>
      <c r="C852">
        <v>6.7788389999999996</v>
      </c>
    </row>
    <row r="853" spans="1:3" x14ac:dyDescent="0.25">
      <c r="A853" t="s">
        <v>4</v>
      </c>
      <c r="B853" s="1">
        <v>45105</v>
      </c>
      <c r="C853">
        <v>6.7403230000000001</v>
      </c>
    </row>
    <row r="854" spans="1:3" x14ac:dyDescent="0.25">
      <c r="A854" t="s">
        <v>4</v>
      </c>
      <c r="B854" s="1">
        <v>45106</v>
      </c>
      <c r="C854">
        <v>6.7306929999999996</v>
      </c>
    </row>
    <row r="855" spans="1:3" x14ac:dyDescent="0.25">
      <c r="A855" t="s">
        <v>4</v>
      </c>
      <c r="B855" s="1">
        <v>45107</v>
      </c>
      <c r="C855">
        <v>6.7210650000000003</v>
      </c>
    </row>
    <row r="856" spans="1:3" x14ac:dyDescent="0.25">
      <c r="A856" t="s">
        <v>4</v>
      </c>
      <c r="B856" s="1">
        <v>45110</v>
      </c>
      <c r="C856">
        <v>6.7018069999999996</v>
      </c>
    </row>
    <row r="857" spans="1:3" x14ac:dyDescent="0.25">
      <c r="A857" t="s">
        <v>4</v>
      </c>
      <c r="B857" s="1">
        <v>45111</v>
      </c>
      <c r="C857">
        <v>6.692177</v>
      </c>
    </row>
    <row r="858" spans="1:3" x14ac:dyDescent="0.25">
      <c r="A858" t="s">
        <v>4</v>
      </c>
      <c r="B858" s="1">
        <v>45112</v>
      </c>
      <c r="C858">
        <v>6.6825479999999997</v>
      </c>
    </row>
    <row r="859" spans="1:3" x14ac:dyDescent="0.25">
      <c r="A859" t="s">
        <v>4</v>
      </c>
      <c r="B859" s="1">
        <v>45113</v>
      </c>
      <c r="C859">
        <v>6.6055159999999997</v>
      </c>
    </row>
    <row r="860" spans="1:3" x14ac:dyDescent="0.25">
      <c r="A860" t="s">
        <v>4</v>
      </c>
      <c r="B860" s="1">
        <v>45114</v>
      </c>
      <c r="C860">
        <v>6.6055159999999997</v>
      </c>
    </row>
    <row r="861" spans="1:3" x14ac:dyDescent="0.25">
      <c r="A861" t="s">
        <v>4</v>
      </c>
      <c r="B861" s="1">
        <v>45117</v>
      </c>
      <c r="C861">
        <v>6.6247740000000004</v>
      </c>
    </row>
    <row r="862" spans="1:3" x14ac:dyDescent="0.25">
      <c r="A862" t="s">
        <v>4</v>
      </c>
      <c r="B862" s="1">
        <v>45118</v>
      </c>
      <c r="C862">
        <v>6.5670000000000002</v>
      </c>
    </row>
    <row r="863" spans="1:3" x14ac:dyDescent="0.25">
      <c r="A863" t="s">
        <v>4</v>
      </c>
      <c r="B863" s="1">
        <v>45119</v>
      </c>
      <c r="C863">
        <v>6.5766289999999996</v>
      </c>
    </row>
    <row r="864" spans="1:3" x14ac:dyDescent="0.25">
      <c r="A864" t="s">
        <v>4</v>
      </c>
      <c r="B864" s="1">
        <v>45120</v>
      </c>
      <c r="C864">
        <v>6.5670000000000002</v>
      </c>
    </row>
    <row r="865" spans="1:3" x14ac:dyDescent="0.25">
      <c r="A865" t="s">
        <v>4</v>
      </c>
      <c r="B865" s="1">
        <v>45121</v>
      </c>
      <c r="C865">
        <v>6.5188550000000003</v>
      </c>
    </row>
    <row r="866" spans="1:3" x14ac:dyDescent="0.25">
      <c r="A866" t="s">
        <v>4</v>
      </c>
      <c r="B866" s="1">
        <v>45124</v>
      </c>
      <c r="C866">
        <v>6.4803389999999998</v>
      </c>
    </row>
    <row r="867" spans="1:3" x14ac:dyDescent="0.25">
      <c r="A867" t="s">
        <v>4</v>
      </c>
      <c r="B867" s="1">
        <v>45125</v>
      </c>
      <c r="C867">
        <v>6.5188550000000003</v>
      </c>
    </row>
    <row r="868" spans="1:3" x14ac:dyDescent="0.25">
      <c r="A868" t="s">
        <v>4</v>
      </c>
      <c r="B868" s="1">
        <v>45126</v>
      </c>
      <c r="C868">
        <v>6.4995969999999996</v>
      </c>
    </row>
    <row r="869" spans="1:3" x14ac:dyDescent="0.25">
      <c r="A869" t="s">
        <v>4</v>
      </c>
      <c r="B869" s="1">
        <v>45127</v>
      </c>
      <c r="C869">
        <v>6.4610810000000001</v>
      </c>
    </row>
    <row r="870" spans="1:3" x14ac:dyDescent="0.25">
      <c r="A870" t="s">
        <v>4</v>
      </c>
      <c r="B870" s="1">
        <v>45128</v>
      </c>
      <c r="C870">
        <v>6.4707090000000003</v>
      </c>
    </row>
    <row r="871" spans="1:3" x14ac:dyDescent="0.25">
      <c r="A871" t="s">
        <v>4</v>
      </c>
      <c r="B871" s="1">
        <v>45131</v>
      </c>
      <c r="C871">
        <v>6.5670000000000002</v>
      </c>
    </row>
    <row r="872" spans="1:3" x14ac:dyDescent="0.25">
      <c r="A872" t="s">
        <v>4</v>
      </c>
      <c r="B872" s="1">
        <v>45132</v>
      </c>
      <c r="C872">
        <v>6.5766289999999996</v>
      </c>
    </row>
    <row r="873" spans="1:3" x14ac:dyDescent="0.25">
      <c r="A873" t="s">
        <v>4</v>
      </c>
      <c r="B873" s="1">
        <v>45133</v>
      </c>
      <c r="C873">
        <v>6.6055159999999997</v>
      </c>
    </row>
    <row r="874" spans="1:3" x14ac:dyDescent="0.25">
      <c r="A874" t="s">
        <v>4</v>
      </c>
      <c r="B874" s="1">
        <v>45134</v>
      </c>
      <c r="C874">
        <v>6.4995969999999996</v>
      </c>
    </row>
    <row r="875" spans="1:3" x14ac:dyDescent="0.25">
      <c r="A875" t="s">
        <v>4</v>
      </c>
      <c r="B875" s="1">
        <v>45135</v>
      </c>
      <c r="C875">
        <v>6.5573709999999998</v>
      </c>
    </row>
    <row r="876" spans="1:3" x14ac:dyDescent="0.25">
      <c r="A876" t="s">
        <v>4</v>
      </c>
      <c r="B876" s="1">
        <v>45138</v>
      </c>
      <c r="C876">
        <v>6.6151450000000001</v>
      </c>
    </row>
    <row r="877" spans="1:3" x14ac:dyDescent="0.25">
      <c r="A877" t="s">
        <v>4</v>
      </c>
      <c r="B877" s="1">
        <v>45139</v>
      </c>
      <c r="C877">
        <v>6.6440320000000002</v>
      </c>
    </row>
    <row r="878" spans="1:3" x14ac:dyDescent="0.25">
      <c r="A878" t="s">
        <v>4</v>
      </c>
      <c r="B878" s="1">
        <v>45140</v>
      </c>
      <c r="C878">
        <v>6.5958870000000003</v>
      </c>
    </row>
    <row r="879" spans="1:3" x14ac:dyDescent="0.25">
      <c r="A879" t="s">
        <v>4</v>
      </c>
      <c r="B879" s="1">
        <v>45141</v>
      </c>
      <c r="C879">
        <v>6.509226</v>
      </c>
    </row>
    <row r="880" spans="1:3" x14ac:dyDescent="0.25">
      <c r="A880" t="s">
        <v>4</v>
      </c>
      <c r="B880" s="1">
        <v>45142</v>
      </c>
      <c r="C880">
        <v>6.5766289999999996</v>
      </c>
    </row>
    <row r="881" spans="1:3" x14ac:dyDescent="0.25">
      <c r="A881" t="s">
        <v>4</v>
      </c>
      <c r="B881" s="1">
        <v>45145</v>
      </c>
      <c r="C881">
        <v>6.4995969999999996</v>
      </c>
    </row>
    <row r="882" spans="1:3" x14ac:dyDescent="0.25">
      <c r="A882" t="s">
        <v>4</v>
      </c>
      <c r="B882" s="1">
        <v>45146</v>
      </c>
      <c r="C882">
        <v>6.4803389999999998</v>
      </c>
    </row>
    <row r="883" spans="1:3" x14ac:dyDescent="0.25">
      <c r="A883" t="s">
        <v>4</v>
      </c>
      <c r="B883" s="1">
        <v>45147</v>
      </c>
      <c r="C883">
        <v>6.5188550000000003</v>
      </c>
    </row>
    <row r="884" spans="1:3" x14ac:dyDescent="0.25">
      <c r="A884" t="s">
        <v>4</v>
      </c>
      <c r="B884" s="1">
        <v>45148</v>
      </c>
      <c r="C884">
        <v>6.4321929999999998</v>
      </c>
    </row>
    <row r="885" spans="1:3" x14ac:dyDescent="0.25">
      <c r="A885" t="s">
        <v>4</v>
      </c>
      <c r="B885" s="1">
        <v>45149</v>
      </c>
      <c r="C885">
        <v>6.3359030000000001</v>
      </c>
    </row>
    <row r="886" spans="1:3" x14ac:dyDescent="0.25">
      <c r="A886" t="s">
        <v>4</v>
      </c>
      <c r="B886" s="1">
        <v>45152</v>
      </c>
      <c r="C886">
        <v>6.2396130000000003</v>
      </c>
    </row>
    <row r="887" spans="1:3" x14ac:dyDescent="0.25">
      <c r="A887" t="s">
        <v>4</v>
      </c>
      <c r="B887" s="1">
        <v>45153</v>
      </c>
      <c r="C887">
        <v>6.1144350000000003</v>
      </c>
    </row>
    <row r="888" spans="1:3" x14ac:dyDescent="0.25">
      <c r="A888" t="s">
        <v>4</v>
      </c>
      <c r="B888" s="1">
        <v>45154</v>
      </c>
      <c r="C888">
        <v>6.1240639999999997</v>
      </c>
    </row>
    <row r="889" spans="1:3" x14ac:dyDescent="0.25">
      <c r="A889" t="s">
        <v>4</v>
      </c>
      <c r="B889" s="1">
        <v>45155</v>
      </c>
      <c r="C889">
        <v>6.0470319999999997</v>
      </c>
    </row>
    <row r="890" spans="1:3" x14ac:dyDescent="0.25">
      <c r="A890" t="s">
        <v>4</v>
      </c>
      <c r="B890" s="1">
        <v>45156</v>
      </c>
      <c r="C890">
        <v>6.0085160000000002</v>
      </c>
    </row>
    <row r="891" spans="1:3" x14ac:dyDescent="0.25">
      <c r="A891" t="s">
        <v>4</v>
      </c>
      <c r="B891" s="1">
        <v>45159</v>
      </c>
      <c r="C891">
        <v>5.950742</v>
      </c>
    </row>
    <row r="892" spans="1:3" x14ac:dyDescent="0.25">
      <c r="A892" t="s">
        <v>4</v>
      </c>
      <c r="B892" s="1">
        <v>45160</v>
      </c>
      <c r="C892">
        <v>5.9603710000000003</v>
      </c>
    </row>
    <row r="893" spans="1:3" x14ac:dyDescent="0.25">
      <c r="A893" t="s">
        <v>4</v>
      </c>
      <c r="B893" s="1">
        <v>45161</v>
      </c>
      <c r="C893">
        <v>5.9411129999999996</v>
      </c>
    </row>
    <row r="894" spans="1:3" x14ac:dyDescent="0.25">
      <c r="A894" t="s">
        <v>4</v>
      </c>
      <c r="B894" s="1">
        <v>45162</v>
      </c>
      <c r="C894">
        <v>5.8929679999999998</v>
      </c>
    </row>
    <row r="895" spans="1:3" x14ac:dyDescent="0.25">
      <c r="A895" t="s">
        <v>4</v>
      </c>
      <c r="B895" s="1">
        <v>45163</v>
      </c>
      <c r="C895">
        <v>5.8640800000000004</v>
      </c>
    </row>
    <row r="896" spans="1:3" x14ac:dyDescent="0.25">
      <c r="A896" t="s">
        <v>4</v>
      </c>
      <c r="B896" s="1">
        <v>45166</v>
      </c>
      <c r="C896">
        <v>5.825564</v>
      </c>
    </row>
    <row r="897" spans="1:3" x14ac:dyDescent="0.25">
      <c r="A897" t="s">
        <v>4</v>
      </c>
      <c r="B897" s="1">
        <v>45167</v>
      </c>
      <c r="C897">
        <v>5.8159349999999996</v>
      </c>
    </row>
    <row r="898" spans="1:3" x14ac:dyDescent="0.25">
      <c r="A898" t="s">
        <v>4</v>
      </c>
      <c r="B898" s="1">
        <v>45168</v>
      </c>
      <c r="C898">
        <v>5.8159349999999996</v>
      </c>
    </row>
    <row r="899" spans="1:3" x14ac:dyDescent="0.25">
      <c r="A899" t="s">
        <v>4</v>
      </c>
      <c r="B899" s="1">
        <v>45169</v>
      </c>
      <c r="C899">
        <v>5.8737089999999998</v>
      </c>
    </row>
    <row r="900" spans="1:3" x14ac:dyDescent="0.25">
      <c r="A900" t="s">
        <v>4</v>
      </c>
      <c r="B900" s="1">
        <v>45170</v>
      </c>
      <c r="C900">
        <v>5.8640800000000004</v>
      </c>
    </row>
    <row r="901" spans="1:3" x14ac:dyDescent="0.25">
      <c r="A901" t="s">
        <v>4</v>
      </c>
      <c r="B901" s="1">
        <v>45173</v>
      </c>
      <c r="C901">
        <v>5.8544510000000001</v>
      </c>
    </row>
    <row r="902" spans="1:3" x14ac:dyDescent="0.25">
      <c r="A902" t="s">
        <v>4</v>
      </c>
      <c r="B902" s="1">
        <v>45174</v>
      </c>
      <c r="C902">
        <v>5.9314840000000002</v>
      </c>
    </row>
    <row r="903" spans="1:3" x14ac:dyDescent="0.25">
      <c r="A903" t="s">
        <v>4</v>
      </c>
      <c r="B903" s="1">
        <v>45175</v>
      </c>
      <c r="C903">
        <v>5.8929679999999998</v>
      </c>
    </row>
    <row r="904" spans="1:3" x14ac:dyDescent="0.25">
      <c r="A904" t="s">
        <v>4</v>
      </c>
      <c r="B904" s="1">
        <v>45176</v>
      </c>
      <c r="C904">
        <v>5.9218549999999999</v>
      </c>
    </row>
    <row r="905" spans="1:3" x14ac:dyDescent="0.25">
      <c r="A905" t="s">
        <v>4</v>
      </c>
      <c r="B905" s="1">
        <v>45177</v>
      </c>
      <c r="C905">
        <v>5.9122260000000004</v>
      </c>
    </row>
    <row r="906" spans="1:3" x14ac:dyDescent="0.25">
      <c r="A906" t="s">
        <v>4</v>
      </c>
      <c r="B906" s="1">
        <v>45180</v>
      </c>
      <c r="C906">
        <v>5.9218549999999999</v>
      </c>
    </row>
    <row r="907" spans="1:3" x14ac:dyDescent="0.25">
      <c r="A907" t="s">
        <v>4</v>
      </c>
      <c r="B907" s="1">
        <v>45181</v>
      </c>
      <c r="C907">
        <v>5.8544510000000001</v>
      </c>
    </row>
    <row r="908" spans="1:3" x14ac:dyDescent="0.25">
      <c r="A908" t="s">
        <v>4</v>
      </c>
      <c r="B908" s="1">
        <v>45182</v>
      </c>
      <c r="C908">
        <v>5.8448219999999997</v>
      </c>
    </row>
    <row r="909" spans="1:3" x14ac:dyDescent="0.25">
      <c r="A909" t="s">
        <v>4</v>
      </c>
      <c r="B909" s="1">
        <v>45183</v>
      </c>
      <c r="C909">
        <v>5.7870480000000004</v>
      </c>
    </row>
    <row r="910" spans="1:3" x14ac:dyDescent="0.25">
      <c r="A910" t="s">
        <v>4</v>
      </c>
      <c r="B910" s="1">
        <v>45184</v>
      </c>
      <c r="C910">
        <v>5.7581610000000003</v>
      </c>
    </row>
    <row r="911" spans="1:3" x14ac:dyDescent="0.25">
      <c r="A911" t="s">
        <v>4</v>
      </c>
      <c r="B911" s="1">
        <v>45187</v>
      </c>
      <c r="C911">
        <v>5.7870480000000004</v>
      </c>
    </row>
    <row r="912" spans="1:3" x14ac:dyDescent="0.25">
      <c r="A912" t="s">
        <v>4</v>
      </c>
      <c r="B912" s="1">
        <v>45188</v>
      </c>
      <c r="C912">
        <v>5.8351930000000003</v>
      </c>
    </row>
    <row r="913" spans="1:3" x14ac:dyDescent="0.25">
      <c r="A913" t="s">
        <v>4</v>
      </c>
      <c r="B913" s="1">
        <v>45189</v>
      </c>
      <c r="C913">
        <v>5.8737089999999998</v>
      </c>
    </row>
    <row r="914" spans="1:3" x14ac:dyDescent="0.25">
      <c r="A914" t="s">
        <v>4</v>
      </c>
      <c r="B914" s="1">
        <v>45190</v>
      </c>
      <c r="C914">
        <v>5.8640800000000004</v>
      </c>
    </row>
    <row r="915" spans="1:3" x14ac:dyDescent="0.25">
      <c r="A915" t="s">
        <v>4</v>
      </c>
      <c r="B915" s="1">
        <v>45191</v>
      </c>
      <c r="C915">
        <v>5.7966769999999999</v>
      </c>
    </row>
    <row r="916" spans="1:3" x14ac:dyDescent="0.25">
      <c r="A916" t="s">
        <v>4</v>
      </c>
      <c r="B916" s="1">
        <v>45194</v>
      </c>
      <c r="C916">
        <v>5.825564</v>
      </c>
    </row>
    <row r="917" spans="1:3" x14ac:dyDescent="0.25">
      <c r="A917" t="s">
        <v>4</v>
      </c>
      <c r="B917" s="1">
        <v>45195</v>
      </c>
      <c r="C917">
        <v>5.8063060000000002</v>
      </c>
    </row>
    <row r="918" spans="1:3" x14ac:dyDescent="0.25">
      <c r="A918" t="s">
        <v>4</v>
      </c>
      <c r="B918" s="1">
        <v>45196</v>
      </c>
      <c r="C918">
        <v>5.748532</v>
      </c>
    </row>
    <row r="919" spans="1:3" x14ac:dyDescent="0.25">
      <c r="A919" t="s">
        <v>4</v>
      </c>
      <c r="B919" s="1">
        <v>45197</v>
      </c>
      <c r="C919">
        <v>5.7196449999999999</v>
      </c>
    </row>
    <row r="920" spans="1:3" x14ac:dyDescent="0.25">
      <c r="A920" t="s">
        <v>4</v>
      </c>
      <c r="B920" s="1">
        <v>45198</v>
      </c>
      <c r="C920">
        <v>5.748532</v>
      </c>
    </row>
    <row r="921" spans="1:3" x14ac:dyDescent="0.25">
      <c r="A921" t="s">
        <v>4</v>
      </c>
      <c r="B921" s="1">
        <v>45201</v>
      </c>
      <c r="C921">
        <v>5.7196449999999999</v>
      </c>
    </row>
    <row r="922" spans="1:3" x14ac:dyDescent="0.25">
      <c r="A922" t="s">
        <v>4</v>
      </c>
      <c r="B922" s="1">
        <v>45202</v>
      </c>
      <c r="C922">
        <v>5.7292740000000002</v>
      </c>
    </row>
    <row r="923" spans="1:3" x14ac:dyDescent="0.25">
      <c r="A923" t="s">
        <v>4</v>
      </c>
      <c r="B923" s="1">
        <v>45203</v>
      </c>
      <c r="C923">
        <v>5.6715</v>
      </c>
    </row>
    <row r="924" spans="1:3" x14ac:dyDescent="0.25">
      <c r="A924" t="s">
        <v>4</v>
      </c>
      <c r="B924" s="1">
        <v>45204</v>
      </c>
      <c r="C924">
        <v>5.6137259999999998</v>
      </c>
    </row>
    <row r="925" spans="1:3" x14ac:dyDescent="0.25">
      <c r="A925" t="s">
        <v>4</v>
      </c>
      <c r="B925" s="1">
        <v>45205</v>
      </c>
      <c r="C925">
        <v>5.4981780000000002</v>
      </c>
    </row>
    <row r="926" spans="1:3" x14ac:dyDescent="0.25">
      <c r="A926" t="s">
        <v>4</v>
      </c>
      <c r="B926" s="1">
        <v>45208</v>
      </c>
      <c r="C926">
        <v>5.392258</v>
      </c>
    </row>
    <row r="927" spans="1:3" x14ac:dyDescent="0.25">
      <c r="A927" t="s">
        <v>4</v>
      </c>
      <c r="B927" s="1">
        <v>45209</v>
      </c>
      <c r="C927">
        <v>5.5848389999999997</v>
      </c>
    </row>
    <row r="928" spans="1:3" x14ac:dyDescent="0.25">
      <c r="A928" t="s">
        <v>4</v>
      </c>
      <c r="B928" s="1">
        <v>45210</v>
      </c>
      <c r="C928">
        <v>5.6811290000000003</v>
      </c>
    </row>
    <row r="929" spans="1:3" x14ac:dyDescent="0.25">
      <c r="A929" t="s">
        <v>4</v>
      </c>
      <c r="B929" s="1">
        <v>45211</v>
      </c>
      <c r="C929">
        <v>5.6715</v>
      </c>
    </row>
    <row r="930" spans="1:3" x14ac:dyDescent="0.25">
      <c r="A930" t="s">
        <v>4</v>
      </c>
      <c r="B930" s="1">
        <v>45212</v>
      </c>
      <c r="C930">
        <v>5.7003870000000001</v>
      </c>
    </row>
    <row r="931" spans="1:3" x14ac:dyDescent="0.25">
      <c r="A931" t="s">
        <v>4</v>
      </c>
      <c r="B931" s="1">
        <v>45215</v>
      </c>
      <c r="C931">
        <v>5.6715</v>
      </c>
    </row>
    <row r="932" spans="1:3" x14ac:dyDescent="0.25">
      <c r="A932" t="s">
        <v>4</v>
      </c>
      <c r="B932" s="1">
        <v>45216</v>
      </c>
      <c r="C932">
        <v>5.4018870000000003</v>
      </c>
    </row>
    <row r="933" spans="1:3" x14ac:dyDescent="0.25">
      <c r="A933" t="s">
        <v>4</v>
      </c>
      <c r="B933" s="1">
        <v>45217</v>
      </c>
      <c r="C933">
        <v>5.3730000000000002</v>
      </c>
    </row>
    <row r="934" spans="1:3" x14ac:dyDescent="0.25">
      <c r="A934" t="s">
        <v>4</v>
      </c>
      <c r="B934" s="1">
        <v>45218</v>
      </c>
      <c r="C934">
        <v>5.392258</v>
      </c>
    </row>
    <row r="935" spans="1:3" x14ac:dyDescent="0.25">
      <c r="A935" t="s">
        <v>4</v>
      </c>
      <c r="B935" s="1">
        <v>45219</v>
      </c>
      <c r="C935">
        <v>5.5366939999999998</v>
      </c>
    </row>
    <row r="936" spans="1:3" x14ac:dyDescent="0.25">
      <c r="A936" t="s">
        <v>4</v>
      </c>
      <c r="B936" s="1">
        <v>45222</v>
      </c>
      <c r="C936">
        <v>5.3730000000000002</v>
      </c>
    </row>
    <row r="937" spans="1:3" x14ac:dyDescent="0.25">
      <c r="A937" t="s">
        <v>4</v>
      </c>
      <c r="B937" s="1">
        <v>45223</v>
      </c>
      <c r="C937">
        <v>5.5463230000000001</v>
      </c>
    </row>
    <row r="938" spans="1:3" x14ac:dyDescent="0.25">
      <c r="A938" t="s">
        <v>4</v>
      </c>
      <c r="B938" s="1">
        <v>45224</v>
      </c>
      <c r="C938">
        <v>5.5270640000000002</v>
      </c>
    </row>
    <row r="939" spans="1:3" x14ac:dyDescent="0.25">
      <c r="A939" t="s">
        <v>4</v>
      </c>
      <c r="B939" s="1">
        <v>45225</v>
      </c>
      <c r="C939">
        <v>5.4789199999999996</v>
      </c>
    </row>
    <row r="940" spans="1:3" x14ac:dyDescent="0.25">
      <c r="A940" t="s">
        <v>4</v>
      </c>
      <c r="B940" s="1">
        <v>45226</v>
      </c>
      <c r="C940">
        <v>5.5848389999999997</v>
      </c>
    </row>
    <row r="941" spans="1:3" x14ac:dyDescent="0.25">
      <c r="A941" t="s">
        <v>4</v>
      </c>
      <c r="B941" s="1">
        <v>45229</v>
      </c>
      <c r="C941">
        <v>5.6522420000000002</v>
      </c>
    </row>
    <row r="942" spans="1:3" x14ac:dyDescent="0.25">
      <c r="A942" t="s">
        <v>4</v>
      </c>
      <c r="B942" s="1">
        <v>45230</v>
      </c>
      <c r="C942">
        <v>5.6811290000000003</v>
      </c>
    </row>
    <row r="943" spans="1:3" x14ac:dyDescent="0.25">
      <c r="A943" t="s">
        <v>4</v>
      </c>
      <c r="B943" s="1">
        <v>45231</v>
      </c>
      <c r="C943">
        <v>5.97</v>
      </c>
    </row>
    <row r="944" spans="1:3" x14ac:dyDescent="0.25">
      <c r="A944" t="s">
        <v>4</v>
      </c>
      <c r="B944" s="1">
        <v>45232</v>
      </c>
      <c r="C944">
        <v>6.06</v>
      </c>
    </row>
    <row r="945" spans="1:3" x14ac:dyDescent="0.25">
      <c r="A945" t="s">
        <v>4</v>
      </c>
      <c r="B945" s="1">
        <v>45233</v>
      </c>
      <c r="C945">
        <v>6</v>
      </c>
    </row>
    <row r="946" spans="1:3" x14ac:dyDescent="0.25">
      <c r="A946" t="s">
        <v>4</v>
      </c>
      <c r="B946" s="1">
        <v>45236</v>
      </c>
      <c r="C946">
        <v>5.9</v>
      </c>
    </row>
    <row r="947" spans="1:3" x14ac:dyDescent="0.25">
      <c r="A947" t="s">
        <v>4</v>
      </c>
      <c r="B947" s="1">
        <v>45237</v>
      </c>
      <c r="C947">
        <v>5.97</v>
      </c>
    </row>
    <row r="948" spans="1:3" x14ac:dyDescent="0.25">
      <c r="A948" t="s">
        <v>4</v>
      </c>
      <c r="B948" s="1">
        <v>45238</v>
      </c>
      <c r="C948">
        <v>5.95</v>
      </c>
    </row>
    <row r="949" spans="1:3" x14ac:dyDescent="0.25">
      <c r="A949" t="s">
        <v>4</v>
      </c>
      <c r="B949" s="1">
        <v>45239</v>
      </c>
      <c r="C949">
        <v>6.1</v>
      </c>
    </row>
    <row r="950" spans="1:3" x14ac:dyDescent="0.25">
      <c r="A950" t="s">
        <v>4</v>
      </c>
      <c r="B950" s="1">
        <v>45240</v>
      </c>
      <c r="C950">
        <v>6</v>
      </c>
    </row>
    <row r="951" spans="1:3" x14ac:dyDescent="0.25">
      <c r="A951" t="s">
        <v>4</v>
      </c>
      <c r="B951" s="1">
        <v>45243</v>
      </c>
      <c r="C951">
        <v>6.05</v>
      </c>
    </row>
    <row r="952" spans="1:3" x14ac:dyDescent="0.25">
      <c r="A952" t="s">
        <v>4</v>
      </c>
      <c r="B952" s="1">
        <v>45244</v>
      </c>
      <c r="C952">
        <v>6.13</v>
      </c>
    </row>
    <row r="953" spans="1:3" x14ac:dyDescent="0.25">
      <c r="A953" t="s">
        <v>4</v>
      </c>
      <c r="B953" s="1">
        <v>45245</v>
      </c>
      <c r="C953">
        <v>6.3</v>
      </c>
    </row>
    <row r="954" spans="1:3" x14ac:dyDescent="0.25">
      <c r="A954" t="s">
        <v>4</v>
      </c>
      <c r="B954" s="1">
        <v>45246</v>
      </c>
      <c r="C954">
        <v>6.45</v>
      </c>
    </row>
    <row r="955" spans="1:3" x14ac:dyDescent="0.25">
      <c r="A955" t="s">
        <v>4</v>
      </c>
      <c r="B955" s="1">
        <v>45247</v>
      </c>
      <c r="C955">
        <v>6.69</v>
      </c>
    </row>
    <row r="956" spans="1:3" x14ac:dyDescent="0.25">
      <c r="A956" t="s">
        <v>4</v>
      </c>
      <c r="B956" s="1">
        <v>45250</v>
      </c>
      <c r="C956">
        <v>6.54</v>
      </c>
    </row>
    <row r="957" spans="1:3" x14ac:dyDescent="0.25">
      <c r="A957" t="s">
        <v>4</v>
      </c>
      <c r="B957" s="1">
        <v>45251</v>
      </c>
      <c r="C957">
        <v>6.3</v>
      </c>
    </row>
    <row r="958" spans="1:3" x14ac:dyDescent="0.25">
      <c r="A958" t="s">
        <v>4</v>
      </c>
      <c r="B958" s="1">
        <v>45252</v>
      </c>
      <c r="C958">
        <v>6.18</v>
      </c>
    </row>
    <row r="959" spans="1:3" x14ac:dyDescent="0.25">
      <c r="A959" t="s">
        <v>4</v>
      </c>
      <c r="B959" s="1">
        <v>45253</v>
      </c>
      <c r="C959">
        <v>6.2</v>
      </c>
    </row>
    <row r="960" spans="1:3" x14ac:dyDescent="0.25">
      <c r="A960" t="s">
        <v>4</v>
      </c>
      <c r="B960" s="1">
        <v>45254</v>
      </c>
      <c r="C960">
        <v>6.25</v>
      </c>
    </row>
    <row r="961" spans="1:3" x14ac:dyDescent="0.25">
      <c r="A961" t="s">
        <v>4</v>
      </c>
      <c r="B961" s="1">
        <v>45257</v>
      </c>
      <c r="C961">
        <v>6.23</v>
      </c>
    </row>
    <row r="962" spans="1:3" x14ac:dyDescent="0.25">
      <c r="A962" t="s">
        <v>4</v>
      </c>
      <c r="B962" s="1">
        <v>45258</v>
      </c>
      <c r="C962">
        <v>6.25</v>
      </c>
    </row>
    <row r="963" spans="1:3" x14ac:dyDescent="0.25">
      <c r="A963" t="s">
        <v>4</v>
      </c>
      <c r="B963" s="1">
        <v>45259</v>
      </c>
      <c r="C963">
        <v>6.2</v>
      </c>
    </row>
    <row r="964" spans="1:3" x14ac:dyDescent="0.25">
      <c r="A964" t="s">
        <v>4</v>
      </c>
      <c r="B964" s="1">
        <v>45260</v>
      </c>
      <c r="C964">
        <v>6.18</v>
      </c>
    </row>
    <row r="965" spans="1:3" x14ac:dyDescent="0.25">
      <c r="A965" t="s">
        <v>4</v>
      </c>
      <c r="B965" s="1">
        <v>45261</v>
      </c>
      <c r="C965">
        <v>6.17</v>
      </c>
    </row>
    <row r="966" spans="1:3" x14ac:dyDescent="0.25">
      <c r="A966" t="s">
        <v>4</v>
      </c>
      <c r="B966" s="1">
        <v>45264</v>
      </c>
      <c r="C966">
        <v>6.23</v>
      </c>
    </row>
    <row r="967" spans="1:3" x14ac:dyDescent="0.25">
      <c r="A967" t="s">
        <v>4</v>
      </c>
      <c r="B967" s="1">
        <v>45265</v>
      </c>
      <c r="C967">
        <v>6.2</v>
      </c>
    </row>
    <row r="968" spans="1:3" x14ac:dyDescent="0.25">
      <c r="A968" t="s">
        <v>4</v>
      </c>
      <c r="B968" s="1">
        <v>45267</v>
      </c>
      <c r="C968">
        <v>6.16</v>
      </c>
    </row>
    <row r="969" spans="1:3" x14ac:dyDescent="0.25">
      <c r="A969" t="s">
        <v>4</v>
      </c>
      <c r="B969" s="1">
        <v>45268</v>
      </c>
      <c r="C969">
        <v>6.13</v>
      </c>
    </row>
    <row r="970" spans="1:3" x14ac:dyDescent="0.25">
      <c r="A970" t="s">
        <v>4</v>
      </c>
      <c r="B970" s="1">
        <v>45271</v>
      </c>
      <c r="C970">
        <v>6.11</v>
      </c>
    </row>
    <row r="971" spans="1:3" x14ac:dyDescent="0.25">
      <c r="A971" t="s">
        <v>4</v>
      </c>
      <c r="B971" s="1">
        <v>45272</v>
      </c>
      <c r="C971">
        <v>5.98</v>
      </c>
    </row>
    <row r="972" spans="1:3" x14ac:dyDescent="0.25">
      <c r="A972" t="s">
        <v>4</v>
      </c>
      <c r="B972" s="1">
        <v>45273</v>
      </c>
      <c r="C972">
        <v>6</v>
      </c>
    </row>
    <row r="973" spans="1:3" x14ac:dyDescent="0.25">
      <c r="A973" t="s">
        <v>4</v>
      </c>
      <c r="B973" s="1">
        <v>45274</v>
      </c>
      <c r="C973">
        <v>6.04</v>
      </c>
    </row>
    <row r="974" spans="1:3" x14ac:dyDescent="0.25">
      <c r="A974" t="s">
        <v>4</v>
      </c>
      <c r="B974" s="1">
        <v>45275</v>
      </c>
      <c r="C974">
        <v>6.05</v>
      </c>
    </row>
    <row r="975" spans="1:3" x14ac:dyDescent="0.25">
      <c r="A975" t="s">
        <v>4</v>
      </c>
      <c r="B975" s="1">
        <v>45278</v>
      </c>
      <c r="C975">
        <v>6</v>
      </c>
    </row>
    <row r="976" spans="1:3" x14ac:dyDescent="0.25">
      <c r="A976" t="s">
        <v>4</v>
      </c>
      <c r="B976" s="1">
        <v>45279</v>
      </c>
      <c r="C976">
        <v>5.98</v>
      </c>
    </row>
    <row r="977" spans="1:3" x14ac:dyDescent="0.25">
      <c r="A977" t="s">
        <v>4</v>
      </c>
      <c r="B977" s="1">
        <v>45280</v>
      </c>
      <c r="C977">
        <v>6.02</v>
      </c>
    </row>
    <row r="978" spans="1:3" x14ac:dyDescent="0.25">
      <c r="A978" t="s">
        <v>4</v>
      </c>
      <c r="B978" s="1">
        <v>45281</v>
      </c>
      <c r="C978">
        <v>6</v>
      </c>
    </row>
    <row r="979" spans="1:3" x14ac:dyDescent="0.25">
      <c r="A979" t="s">
        <v>4</v>
      </c>
      <c r="B979" s="1">
        <v>45282</v>
      </c>
      <c r="C979">
        <v>6.02</v>
      </c>
    </row>
    <row r="980" spans="1:3" x14ac:dyDescent="0.25">
      <c r="A980" t="s">
        <v>4</v>
      </c>
      <c r="B980" s="1">
        <v>45287</v>
      </c>
      <c r="C980">
        <v>6</v>
      </c>
    </row>
    <row r="981" spans="1:3" x14ac:dyDescent="0.25">
      <c r="A981" t="s">
        <v>4</v>
      </c>
      <c r="B981" s="1">
        <v>45288</v>
      </c>
      <c r="C981">
        <v>5.99</v>
      </c>
    </row>
    <row r="982" spans="1:3" x14ac:dyDescent="0.25">
      <c r="A982" t="s">
        <v>4</v>
      </c>
      <c r="B982" s="1">
        <v>45289</v>
      </c>
      <c r="C982">
        <v>6</v>
      </c>
    </row>
    <row r="983" spans="1:3" x14ac:dyDescent="0.25">
      <c r="A983" t="s">
        <v>4</v>
      </c>
      <c r="B983" s="1">
        <v>45293</v>
      </c>
      <c r="C983">
        <v>6.2</v>
      </c>
    </row>
    <row r="984" spans="1:3" x14ac:dyDescent="0.25">
      <c r="A984" t="s">
        <v>4</v>
      </c>
      <c r="B984" s="1">
        <v>45294</v>
      </c>
      <c r="C984">
        <v>6.15</v>
      </c>
    </row>
    <row r="985" spans="1:3" x14ac:dyDescent="0.25">
      <c r="A985" t="s">
        <v>4</v>
      </c>
      <c r="B985" s="1">
        <v>45295</v>
      </c>
      <c r="C985">
        <v>6.21</v>
      </c>
    </row>
    <row r="986" spans="1:3" x14ac:dyDescent="0.25">
      <c r="A986" t="s">
        <v>4</v>
      </c>
      <c r="B986" s="1">
        <v>45296</v>
      </c>
      <c r="C986">
        <v>6.23</v>
      </c>
    </row>
    <row r="987" spans="1:3" x14ac:dyDescent="0.25">
      <c r="A987" t="s">
        <v>4</v>
      </c>
      <c r="B987" s="1">
        <v>45299</v>
      </c>
      <c r="C987">
        <v>6.26</v>
      </c>
    </row>
    <row r="988" spans="1:3" x14ac:dyDescent="0.25">
      <c r="A988" t="s">
        <v>4</v>
      </c>
      <c r="B988" s="1">
        <v>45300</v>
      </c>
      <c r="C988">
        <v>6.26</v>
      </c>
    </row>
    <row r="989" spans="1:3" x14ac:dyDescent="0.25">
      <c r="A989" t="s">
        <v>4</v>
      </c>
      <c r="B989" s="1">
        <v>45301</v>
      </c>
      <c r="C989">
        <v>6.23</v>
      </c>
    </row>
    <row r="990" spans="1:3" x14ac:dyDescent="0.25">
      <c r="A990" t="s">
        <v>4</v>
      </c>
      <c r="B990" s="1">
        <v>45302</v>
      </c>
      <c r="C990">
        <v>6.25</v>
      </c>
    </row>
    <row r="991" spans="1:3" x14ac:dyDescent="0.25">
      <c r="A991" t="s">
        <v>4</v>
      </c>
      <c r="B991" s="1">
        <v>45303</v>
      </c>
      <c r="C991">
        <v>6.23</v>
      </c>
    </row>
    <row r="992" spans="1:3" x14ac:dyDescent="0.25">
      <c r="A992" t="s">
        <v>4</v>
      </c>
      <c r="B992" s="1">
        <v>45306</v>
      </c>
      <c r="C992">
        <v>6.21</v>
      </c>
    </row>
    <row r="993" spans="1:3" x14ac:dyDescent="0.25">
      <c r="A993" t="s">
        <v>4</v>
      </c>
      <c r="B993" s="1">
        <v>45307</v>
      </c>
      <c r="C993">
        <v>6.08</v>
      </c>
    </row>
    <row r="994" spans="1:3" x14ac:dyDescent="0.25">
      <c r="A994" t="s">
        <v>4</v>
      </c>
      <c r="B994" s="1">
        <v>45308</v>
      </c>
      <c r="C994">
        <v>6.15</v>
      </c>
    </row>
    <row r="995" spans="1:3" x14ac:dyDescent="0.25">
      <c r="A995" t="s">
        <v>4</v>
      </c>
      <c r="B995" s="1">
        <v>45309</v>
      </c>
      <c r="C995">
        <v>6.13</v>
      </c>
    </row>
    <row r="996" spans="1:3" x14ac:dyDescent="0.25">
      <c r="A996" t="s">
        <v>4</v>
      </c>
      <c r="B996" s="1">
        <v>45310</v>
      </c>
      <c r="C996">
        <v>6.14</v>
      </c>
    </row>
    <row r="997" spans="1:3" x14ac:dyDescent="0.25">
      <c r="A997" t="s">
        <v>4</v>
      </c>
      <c r="B997" s="1">
        <v>45313</v>
      </c>
      <c r="C997">
        <v>6.1</v>
      </c>
    </row>
    <row r="998" spans="1:3" x14ac:dyDescent="0.25">
      <c r="A998" t="s">
        <v>4</v>
      </c>
      <c r="B998" s="1">
        <v>45314</v>
      </c>
      <c r="C998">
        <v>6.12</v>
      </c>
    </row>
    <row r="999" spans="1:3" x14ac:dyDescent="0.25">
      <c r="A999" t="s">
        <v>4</v>
      </c>
      <c r="B999" s="1">
        <v>45315</v>
      </c>
      <c r="C999">
        <v>6.15</v>
      </c>
    </row>
    <row r="1000" spans="1:3" x14ac:dyDescent="0.25">
      <c r="A1000" t="s">
        <v>4</v>
      </c>
      <c r="B1000" s="1">
        <v>45316</v>
      </c>
      <c r="C1000">
        <v>6.18</v>
      </c>
    </row>
    <row r="1001" spans="1:3" x14ac:dyDescent="0.25">
      <c r="A1001" t="s">
        <v>4</v>
      </c>
      <c r="B1001" s="1">
        <v>45317</v>
      </c>
      <c r="C1001">
        <v>6.22</v>
      </c>
    </row>
    <row r="1002" spans="1:3" x14ac:dyDescent="0.25">
      <c r="A1002" t="s">
        <v>4</v>
      </c>
      <c r="B1002" s="1">
        <v>45320</v>
      </c>
      <c r="C1002">
        <v>6.12</v>
      </c>
    </row>
    <row r="1003" spans="1:3" x14ac:dyDescent="0.25">
      <c r="A1003" t="s">
        <v>4</v>
      </c>
      <c r="B1003" s="1">
        <v>45321</v>
      </c>
      <c r="C1003">
        <v>6.17</v>
      </c>
    </row>
    <row r="1004" spans="1:3" x14ac:dyDescent="0.25">
      <c r="A1004" t="s">
        <v>4</v>
      </c>
      <c r="B1004" s="1">
        <v>45322</v>
      </c>
      <c r="C1004">
        <v>6.17</v>
      </c>
    </row>
    <row r="1005" spans="1:3" x14ac:dyDescent="0.25">
      <c r="A1005" t="s">
        <v>4</v>
      </c>
      <c r="B1005" s="1">
        <v>45323</v>
      </c>
      <c r="C1005">
        <v>6.13</v>
      </c>
    </row>
    <row r="1006" spans="1:3" x14ac:dyDescent="0.25">
      <c r="A1006" t="s">
        <v>4</v>
      </c>
      <c r="B1006" s="1">
        <v>45324</v>
      </c>
      <c r="C1006">
        <v>6.05</v>
      </c>
    </row>
    <row r="1007" spans="1:3" x14ac:dyDescent="0.25">
      <c r="A1007" t="s">
        <v>4</v>
      </c>
      <c r="B1007" s="1">
        <v>45327</v>
      </c>
      <c r="C1007">
        <v>6.06</v>
      </c>
    </row>
    <row r="1008" spans="1:3" x14ac:dyDescent="0.25">
      <c r="A1008" t="s">
        <v>4</v>
      </c>
      <c r="B1008" s="1">
        <v>45328</v>
      </c>
      <c r="C1008">
        <v>6.13</v>
      </c>
    </row>
    <row r="1009" spans="1:3" x14ac:dyDescent="0.25">
      <c r="A1009" t="s">
        <v>4</v>
      </c>
      <c r="B1009" s="1">
        <v>45329</v>
      </c>
      <c r="C1009">
        <v>6.2</v>
      </c>
    </row>
    <row r="1010" spans="1:3" x14ac:dyDescent="0.25">
      <c r="A1010" t="s">
        <v>4</v>
      </c>
      <c r="B1010" s="1">
        <v>45330</v>
      </c>
      <c r="C1010">
        <v>6.15</v>
      </c>
    </row>
    <row r="1011" spans="1:3" x14ac:dyDescent="0.25">
      <c r="A1011" t="s">
        <v>4</v>
      </c>
      <c r="B1011" s="1">
        <v>45331</v>
      </c>
      <c r="C1011">
        <v>6.08</v>
      </c>
    </row>
    <row r="1012" spans="1:3" x14ac:dyDescent="0.25">
      <c r="A1012" t="s">
        <v>5</v>
      </c>
      <c r="B1012" s="1">
        <v>44603</v>
      </c>
      <c r="C1012">
        <v>0.106363</v>
      </c>
    </row>
    <row r="1013" spans="1:3" x14ac:dyDescent="0.25">
      <c r="A1013" t="s">
        <v>5</v>
      </c>
      <c r="B1013" s="1">
        <v>44606</v>
      </c>
      <c r="C1013">
        <v>0.103173</v>
      </c>
    </row>
    <row r="1014" spans="1:3" x14ac:dyDescent="0.25">
      <c r="A1014" t="s">
        <v>5</v>
      </c>
      <c r="B1014" s="1">
        <v>44607</v>
      </c>
      <c r="C1014">
        <v>0.106631</v>
      </c>
    </row>
    <row r="1015" spans="1:3" x14ac:dyDescent="0.25">
      <c r="A1015" t="s">
        <v>5</v>
      </c>
      <c r="B1015" s="1">
        <v>44608</v>
      </c>
      <c r="C1015">
        <v>0.10673199999999999</v>
      </c>
    </row>
    <row r="1016" spans="1:3" x14ac:dyDescent="0.25">
      <c r="A1016" t="s">
        <v>5</v>
      </c>
      <c r="B1016" s="1">
        <v>44609</v>
      </c>
      <c r="C1016">
        <v>0.103073</v>
      </c>
    </row>
    <row r="1017" spans="1:3" x14ac:dyDescent="0.25">
      <c r="A1017" t="s">
        <v>5</v>
      </c>
      <c r="B1017" s="1">
        <v>44610</v>
      </c>
      <c r="C1017">
        <v>0.102703</v>
      </c>
    </row>
    <row r="1018" spans="1:3" x14ac:dyDescent="0.25">
      <c r="A1018" t="s">
        <v>5</v>
      </c>
      <c r="B1018" s="1">
        <v>44613</v>
      </c>
      <c r="C1018">
        <v>0.100756</v>
      </c>
    </row>
    <row r="1019" spans="1:3" x14ac:dyDescent="0.25">
      <c r="A1019" t="s">
        <v>5</v>
      </c>
      <c r="B1019" s="1">
        <v>44614</v>
      </c>
      <c r="C1019">
        <v>0.101159</v>
      </c>
    </row>
    <row r="1020" spans="1:3" x14ac:dyDescent="0.25">
      <c r="A1020" t="s">
        <v>5</v>
      </c>
      <c r="B1020" s="1">
        <v>44615</v>
      </c>
      <c r="C1020">
        <v>9.9076999999999998E-2</v>
      </c>
    </row>
    <row r="1021" spans="1:3" x14ac:dyDescent="0.25">
      <c r="A1021" t="s">
        <v>5</v>
      </c>
      <c r="B1021" s="1">
        <v>44616</v>
      </c>
      <c r="C1021">
        <v>8.7998000000000007E-2</v>
      </c>
    </row>
    <row r="1022" spans="1:3" x14ac:dyDescent="0.25">
      <c r="A1022" t="s">
        <v>5</v>
      </c>
      <c r="B1022" s="1">
        <v>44617</v>
      </c>
      <c r="C1022">
        <v>9.5685999999999993E-2</v>
      </c>
    </row>
    <row r="1023" spans="1:3" x14ac:dyDescent="0.25">
      <c r="A1023" t="s">
        <v>5</v>
      </c>
      <c r="B1023" s="1">
        <v>44620</v>
      </c>
      <c r="C1023">
        <v>7.5508000000000006E-2</v>
      </c>
    </row>
    <row r="1024" spans="1:3" x14ac:dyDescent="0.25">
      <c r="A1024" t="s">
        <v>5</v>
      </c>
      <c r="B1024" s="1">
        <v>44621</v>
      </c>
      <c r="C1024">
        <v>6.5956000000000001E-2</v>
      </c>
    </row>
    <row r="1025" spans="1:3" x14ac:dyDescent="0.25">
      <c r="A1025" t="s">
        <v>5</v>
      </c>
      <c r="B1025" s="1">
        <v>44622</v>
      </c>
      <c r="C1025">
        <v>6.9330000000000003E-2</v>
      </c>
    </row>
    <row r="1026" spans="1:3" x14ac:dyDescent="0.25">
      <c r="A1026" t="s">
        <v>5</v>
      </c>
      <c r="B1026" s="1">
        <v>44623</v>
      </c>
      <c r="C1026">
        <v>7.3510000000000006E-2</v>
      </c>
    </row>
    <row r="1027" spans="1:3" x14ac:dyDescent="0.25">
      <c r="A1027" t="s">
        <v>5</v>
      </c>
      <c r="B1027" s="1">
        <v>44624</v>
      </c>
      <c r="C1027">
        <v>6.8826999999999999E-2</v>
      </c>
    </row>
    <row r="1028" spans="1:3" x14ac:dyDescent="0.25">
      <c r="A1028" t="s">
        <v>5</v>
      </c>
      <c r="B1028" s="1">
        <v>44627</v>
      </c>
      <c r="C1028">
        <v>6.7852999999999997E-2</v>
      </c>
    </row>
    <row r="1029" spans="1:3" x14ac:dyDescent="0.25">
      <c r="A1029" t="s">
        <v>5</v>
      </c>
      <c r="B1029" s="1">
        <v>44628</v>
      </c>
      <c r="C1029">
        <v>7.0572999999999997E-2</v>
      </c>
    </row>
    <row r="1030" spans="1:3" x14ac:dyDescent="0.25">
      <c r="A1030" t="s">
        <v>5</v>
      </c>
      <c r="B1030" s="1">
        <v>44629</v>
      </c>
      <c r="C1030">
        <v>7.5659000000000004E-2</v>
      </c>
    </row>
    <row r="1031" spans="1:3" x14ac:dyDescent="0.25">
      <c r="A1031" t="s">
        <v>5</v>
      </c>
      <c r="B1031" s="1">
        <v>44630</v>
      </c>
      <c r="C1031">
        <v>7.5524999999999995E-2</v>
      </c>
    </row>
    <row r="1032" spans="1:3" x14ac:dyDescent="0.25">
      <c r="A1032" t="s">
        <v>5</v>
      </c>
      <c r="B1032" s="1">
        <v>44631</v>
      </c>
      <c r="C1032">
        <v>7.3191000000000006E-2</v>
      </c>
    </row>
    <row r="1033" spans="1:3" x14ac:dyDescent="0.25">
      <c r="A1033" t="s">
        <v>5</v>
      </c>
      <c r="B1033" s="1">
        <v>44634</v>
      </c>
      <c r="C1033">
        <v>7.7674000000000007E-2</v>
      </c>
    </row>
    <row r="1034" spans="1:3" x14ac:dyDescent="0.25">
      <c r="A1034" t="s">
        <v>5</v>
      </c>
      <c r="B1034" s="1">
        <v>44635</v>
      </c>
      <c r="C1034">
        <v>7.9200999999999994E-2</v>
      </c>
    </row>
    <row r="1035" spans="1:3" x14ac:dyDescent="0.25">
      <c r="A1035" t="s">
        <v>5</v>
      </c>
      <c r="B1035" s="1">
        <v>44636</v>
      </c>
      <c r="C1035">
        <v>8.3850999999999995E-2</v>
      </c>
    </row>
    <row r="1036" spans="1:3" x14ac:dyDescent="0.25">
      <c r="A1036" t="s">
        <v>5</v>
      </c>
      <c r="B1036" s="1">
        <v>44637</v>
      </c>
      <c r="C1036">
        <v>8.2491999999999996E-2</v>
      </c>
    </row>
    <row r="1037" spans="1:3" x14ac:dyDescent="0.25">
      <c r="A1037" t="s">
        <v>5</v>
      </c>
      <c r="B1037" s="1">
        <v>44638</v>
      </c>
      <c r="C1037">
        <v>8.1937999999999997E-2</v>
      </c>
    </row>
    <row r="1038" spans="1:3" x14ac:dyDescent="0.25">
      <c r="A1038" t="s">
        <v>5</v>
      </c>
      <c r="B1038" s="1">
        <v>44641</v>
      </c>
      <c r="C1038">
        <v>8.0846000000000001E-2</v>
      </c>
    </row>
    <row r="1039" spans="1:3" x14ac:dyDescent="0.25">
      <c r="A1039" t="s">
        <v>5</v>
      </c>
      <c r="B1039" s="1">
        <v>44642</v>
      </c>
      <c r="C1039">
        <v>8.0879999999999994E-2</v>
      </c>
    </row>
    <row r="1040" spans="1:3" x14ac:dyDescent="0.25">
      <c r="A1040" t="s">
        <v>5</v>
      </c>
      <c r="B1040" s="1">
        <v>44643</v>
      </c>
      <c r="C1040">
        <v>7.9655000000000004E-2</v>
      </c>
    </row>
    <row r="1041" spans="1:3" x14ac:dyDescent="0.25">
      <c r="A1041" t="s">
        <v>5</v>
      </c>
      <c r="B1041" s="1">
        <v>44644</v>
      </c>
      <c r="C1041">
        <v>8.0829999999999999E-2</v>
      </c>
    </row>
    <row r="1042" spans="1:3" x14ac:dyDescent="0.25">
      <c r="A1042" t="s">
        <v>5</v>
      </c>
      <c r="B1042" s="1">
        <v>44645</v>
      </c>
      <c r="C1042">
        <v>7.9806000000000002E-2</v>
      </c>
    </row>
    <row r="1043" spans="1:3" x14ac:dyDescent="0.25">
      <c r="A1043" t="s">
        <v>5</v>
      </c>
      <c r="B1043" s="1">
        <v>44648</v>
      </c>
      <c r="C1043">
        <v>7.9990000000000006E-2</v>
      </c>
    </row>
    <row r="1044" spans="1:3" x14ac:dyDescent="0.25">
      <c r="A1044" t="s">
        <v>5</v>
      </c>
      <c r="B1044" s="1">
        <v>44649</v>
      </c>
      <c r="C1044">
        <v>8.4372000000000003E-2</v>
      </c>
    </row>
    <row r="1045" spans="1:3" x14ac:dyDescent="0.25">
      <c r="A1045" t="s">
        <v>5</v>
      </c>
      <c r="B1045" s="1">
        <v>44650</v>
      </c>
      <c r="C1045">
        <v>8.2239999999999994E-2</v>
      </c>
    </row>
    <row r="1046" spans="1:3" x14ac:dyDescent="0.25">
      <c r="A1046" t="s">
        <v>5</v>
      </c>
      <c r="B1046" s="1">
        <v>44651</v>
      </c>
      <c r="C1046">
        <v>8.3885000000000001E-2</v>
      </c>
    </row>
    <row r="1047" spans="1:3" x14ac:dyDescent="0.25">
      <c r="A1047" t="s">
        <v>5</v>
      </c>
      <c r="B1047" s="1">
        <v>44652</v>
      </c>
      <c r="C1047">
        <v>8.3934999999999996E-2</v>
      </c>
    </row>
    <row r="1048" spans="1:3" x14ac:dyDescent="0.25">
      <c r="A1048" t="s">
        <v>5</v>
      </c>
      <c r="B1048" s="1">
        <v>44655</v>
      </c>
      <c r="C1048">
        <v>8.5194000000000006E-2</v>
      </c>
    </row>
    <row r="1049" spans="1:3" x14ac:dyDescent="0.25">
      <c r="A1049" t="s">
        <v>5</v>
      </c>
      <c r="B1049" s="1">
        <v>44656</v>
      </c>
      <c r="C1049">
        <v>8.2525000000000001E-2</v>
      </c>
    </row>
    <row r="1050" spans="1:3" x14ac:dyDescent="0.25">
      <c r="A1050" t="s">
        <v>5</v>
      </c>
      <c r="B1050" s="1">
        <v>44657</v>
      </c>
      <c r="C1050">
        <v>8.0309000000000005E-2</v>
      </c>
    </row>
    <row r="1051" spans="1:3" x14ac:dyDescent="0.25">
      <c r="A1051" t="s">
        <v>5</v>
      </c>
      <c r="B1051" s="1">
        <v>44658</v>
      </c>
      <c r="C1051">
        <v>7.8730999999999995E-2</v>
      </c>
    </row>
    <row r="1052" spans="1:3" x14ac:dyDescent="0.25">
      <c r="A1052" t="s">
        <v>5</v>
      </c>
      <c r="B1052" s="1">
        <v>44659</v>
      </c>
      <c r="C1052">
        <v>8.0812999999999996E-2</v>
      </c>
    </row>
    <row r="1053" spans="1:3" x14ac:dyDescent="0.25">
      <c r="A1053" t="s">
        <v>5</v>
      </c>
      <c r="B1053" s="1">
        <v>44662</v>
      </c>
      <c r="C1053">
        <v>8.1920999999999994E-2</v>
      </c>
    </row>
    <row r="1054" spans="1:3" x14ac:dyDescent="0.25">
      <c r="A1054" t="s">
        <v>5</v>
      </c>
      <c r="B1054" s="1">
        <v>44663</v>
      </c>
      <c r="C1054">
        <v>8.0006999999999995E-2</v>
      </c>
    </row>
    <row r="1055" spans="1:3" x14ac:dyDescent="0.25">
      <c r="A1055" t="s">
        <v>5</v>
      </c>
      <c r="B1055" s="1">
        <v>44664</v>
      </c>
      <c r="C1055">
        <v>8.2323999999999994E-2</v>
      </c>
    </row>
    <row r="1056" spans="1:3" x14ac:dyDescent="0.25">
      <c r="A1056" t="s">
        <v>5</v>
      </c>
      <c r="B1056" s="1">
        <v>44665</v>
      </c>
      <c r="C1056">
        <v>8.2088999999999995E-2</v>
      </c>
    </row>
    <row r="1057" spans="1:3" x14ac:dyDescent="0.25">
      <c r="A1057" t="s">
        <v>5</v>
      </c>
      <c r="B1057" s="1">
        <v>44670</v>
      </c>
      <c r="C1057">
        <v>8.3229999999999998E-2</v>
      </c>
    </row>
    <row r="1058" spans="1:3" x14ac:dyDescent="0.25">
      <c r="A1058" t="s">
        <v>5</v>
      </c>
      <c r="B1058" s="1">
        <v>44671</v>
      </c>
      <c r="C1058">
        <v>8.1383999999999998E-2</v>
      </c>
    </row>
    <row r="1059" spans="1:3" x14ac:dyDescent="0.25">
      <c r="A1059" t="s">
        <v>5</v>
      </c>
      <c r="B1059" s="1">
        <v>44672</v>
      </c>
      <c r="C1059">
        <v>8.0510999999999999E-2</v>
      </c>
    </row>
    <row r="1060" spans="1:3" x14ac:dyDescent="0.25">
      <c r="A1060" t="s">
        <v>5</v>
      </c>
      <c r="B1060" s="1">
        <v>44673</v>
      </c>
      <c r="C1060">
        <v>7.8933000000000003E-2</v>
      </c>
    </row>
    <row r="1061" spans="1:3" x14ac:dyDescent="0.25">
      <c r="A1061" t="s">
        <v>5</v>
      </c>
      <c r="B1061" s="1">
        <v>44676</v>
      </c>
      <c r="C1061">
        <v>7.8428999999999999E-2</v>
      </c>
    </row>
    <row r="1062" spans="1:3" x14ac:dyDescent="0.25">
      <c r="A1062" t="s">
        <v>5</v>
      </c>
      <c r="B1062" s="1">
        <v>44677</v>
      </c>
      <c r="C1062">
        <v>7.7993000000000007E-2</v>
      </c>
    </row>
    <row r="1063" spans="1:3" x14ac:dyDescent="0.25">
      <c r="A1063" t="s">
        <v>5</v>
      </c>
      <c r="B1063" s="1">
        <v>44678</v>
      </c>
      <c r="C1063">
        <v>7.7422000000000005E-2</v>
      </c>
    </row>
    <row r="1064" spans="1:3" x14ac:dyDescent="0.25">
      <c r="A1064" t="s">
        <v>5</v>
      </c>
      <c r="B1064" s="1">
        <v>44679</v>
      </c>
      <c r="C1064">
        <v>8.276E-2</v>
      </c>
    </row>
    <row r="1065" spans="1:3" x14ac:dyDescent="0.25">
      <c r="A1065" t="s">
        <v>5</v>
      </c>
      <c r="B1065" s="1">
        <v>44680</v>
      </c>
      <c r="C1065">
        <v>7.9000000000000001E-2</v>
      </c>
    </row>
    <row r="1066" spans="1:3" x14ac:dyDescent="0.25">
      <c r="A1066" t="s">
        <v>5</v>
      </c>
      <c r="B1066" s="1">
        <v>44683</v>
      </c>
      <c r="C1066">
        <v>8.0745999999999998E-2</v>
      </c>
    </row>
    <row r="1067" spans="1:3" x14ac:dyDescent="0.25">
      <c r="A1067" t="s">
        <v>5</v>
      </c>
      <c r="B1067" s="1">
        <v>44684</v>
      </c>
      <c r="C1067">
        <v>8.1417000000000003E-2</v>
      </c>
    </row>
    <row r="1068" spans="1:3" x14ac:dyDescent="0.25">
      <c r="A1068" t="s">
        <v>5</v>
      </c>
      <c r="B1068" s="1">
        <v>44685</v>
      </c>
      <c r="C1068">
        <v>8.1215999999999997E-2</v>
      </c>
    </row>
    <row r="1069" spans="1:3" x14ac:dyDescent="0.25">
      <c r="A1069" t="s">
        <v>5</v>
      </c>
      <c r="B1069" s="1">
        <v>44686</v>
      </c>
      <c r="C1069">
        <v>8.0679000000000001E-2</v>
      </c>
    </row>
    <row r="1070" spans="1:3" x14ac:dyDescent="0.25">
      <c r="A1070" t="s">
        <v>5</v>
      </c>
      <c r="B1070" s="1">
        <v>44687</v>
      </c>
      <c r="C1070">
        <v>8.3061999999999997E-2</v>
      </c>
    </row>
    <row r="1071" spans="1:3" x14ac:dyDescent="0.25">
      <c r="A1071" t="s">
        <v>5</v>
      </c>
      <c r="B1071" s="1">
        <v>44690</v>
      </c>
      <c r="C1071">
        <v>7.9503000000000004E-2</v>
      </c>
    </row>
    <row r="1072" spans="1:3" x14ac:dyDescent="0.25">
      <c r="A1072" t="s">
        <v>5</v>
      </c>
      <c r="B1072" s="1">
        <v>44691</v>
      </c>
      <c r="C1072">
        <v>7.7387999999999998E-2</v>
      </c>
    </row>
    <row r="1073" spans="1:3" x14ac:dyDescent="0.25">
      <c r="A1073" t="s">
        <v>5</v>
      </c>
      <c r="B1073" s="1">
        <v>44692</v>
      </c>
      <c r="C1073">
        <v>7.7254000000000003E-2</v>
      </c>
    </row>
    <row r="1074" spans="1:3" x14ac:dyDescent="0.25">
      <c r="A1074" t="s">
        <v>5</v>
      </c>
      <c r="B1074" s="1">
        <v>44693</v>
      </c>
      <c r="C1074">
        <v>7.6884999999999995E-2</v>
      </c>
    </row>
    <row r="1075" spans="1:3" x14ac:dyDescent="0.25">
      <c r="A1075" t="s">
        <v>5</v>
      </c>
      <c r="B1075" s="1">
        <v>44694</v>
      </c>
      <c r="C1075">
        <v>7.7993000000000007E-2</v>
      </c>
    </row>
    <row r="1076" spans="1:3" x14ac:dyDescent="0.25">
      <c r="A1076" t="s">
        <v>5</v>
      </c>
      <c r="B1076" s="1">
        <v>44697</v>
      </c>
      <c r="C1076">
        <v>7.8060000000000004E-2</v>
      </c>
    </row>
    <row r="1077" spans="1:3" x14ac:dyDescent="0.25">
      <c r="A1077" t="s">
        <v>5</v>
      </c>
      <c r="B1077" s="1">
        <v>44698</v>
      </c>
      <c r="C1077">
        <v>7.9469999999999999E-2</v>
      </c>
    </row>
    <row r="1078" spans="1:3" x14ac:dyDescent="0.25">
      <c r="A1078" t="s">
        <v>5</v>
      </c>
      <c r="B1078" s="1">
        <v>44699</v>
      </c>
      <c r="C1078">
        <v>7.9101000000000005E-2</v>
      </c>
    </row>
    <row r="1079" spans="1:3" x14ac:dyDescent="0.25">
      <c r="A1079" t="s">
        <v>5</v>
      </c>
      <c r="B1079" s="1">
        <v>44700</v>
      </c>
      <c r="C1079">
        <v>7.7556E-2</v>
      </c>
    </row>
    <row r="1080" spans="1:3" x14ac:dyDescent="0.25">
      <c r="A1080" t="s">
        <v>5</v>
      </c>
      <c r="B1080" s="1">
        <v>44701</v>
      </c>
      <c r="C1080">
        <v>7.7522999999999995E-2</v>
      </c>
    </row>
    <row r="1081" spans="1:3" x14ac:dyDescent="0.25">
      <c r="A1081" t="s">
        <v>5</v>
      </c>
      <c r="B1081" s="1">
        <v>44704</v>
      </c>
      <c r="C1081">
        <v>7.9133999999999996E-2</v>
      </c>
    </row>
    <row r="1082" spans="1:3" x14ac:dyDescent="0.25">
      <c r="A1082" t="s">
        <v>5</v>
      </c>
      <c r="B1082" s="1">
        <v>44705</v>
      </c>
      <c r="C1082">
        <v>7.7892000000000003E-2</v>
      </c>
    </row>
    <row r="1083" spans="1:3" x14ac:dyDescent="0.25">
      <c r="A1083" t="s">
        <v>5</v>
      </c>
      <c r="B1083" s="1">
        <v>44706</v>
      </c>
      <c r="C1083">
        <v>7.7724000000000001E-2</v>
      </c>
    </row>
    <row r="1084" spans="1:3" x14ac:dyDescent="0.25">
      <c r="A1084" t="s">
        <v>5</v>
      </c>
      <c r="B1084" s="1">
        <v>44708</v>
      </c>
      <c r="C1084">
        <v>7.9906000000000005E-2</v>
      </c>
    </row>
    <row r="1085" spans="1:3" x14ac:dyDescent="0.25">
      <c r="A1085" t="s">
        <v>5</v>
      </c>
      <c r="B1085" s="1">
        <v>44711</v>
      </c>
      <c r="C1085">
        <v>8.3296999999999996E-2</v>
      </c>
    </row>
    <row r="1086" spans="1:3" x14ac:dyDescent="0.25">
      <c r="A1086" t="s">
        <v>5</v>
      </c>
      <c r="B1086" s="1">
        <v>44712</v>
      </c>
      <c r="C1086">
        <v>8.0812999999999996E-2</v>
      </c>
    </row>
    <row r="1087" spans="1:3" x14ac:dyDescent="0.25">
      <c r="A1087" t="s">
        <v>5</v>
      </c>
      <c r="B1087" s="1">
        <v>44713</v>
      </c>
      <c r="C1087">
        <v>7.8730999999999995E-2</v>
      </c>
    </row>
    <row r="1088" spans="1:3" x14ac:dyDescent="0.25">
      <c r="A1088" t="s">
        <v>5</v>
      </c>
      <c r="B1088" s="1">
        <v>44714</v>
      </c>
      <c r="C1088">
        <v>7.7724000000000001E-2</v>
      </c>
    </row>
    <row r="1089" spans="1:3" x14ac:dyDescent="0.25">
      <c r="A1089" t="s">
        <v>5</v>
      </c>
      <c r="B1089" s="1">
        <v>44715</v>
      </c>
      <c r="C1089">
        <v>7.7387999999999998E-2</v>
      </c>
    </row>
    <row r="1090" spans="1:3" x14ac:dyDescent="0.25">
      <c r="A1090" t="s">
        <v>5</v>
      </c>
      <c r="B1090" s="1">
        <v>44718</v>
      </c>
      <c r="C1090">
        <v>7.7321000000000001E-2</v>
      </c>
    </row>
    <row r="1091" spans="1:3" x14ac:dyDescent="0.25">
      <c r="A1091" t="s">
        <v>5</v>
      </c>
      <c r="B1091" s="1">
        <v>44719</v>
      </c>
      <c r="C1091">
        <v>7.6683000000000001E-2</v>
      </c>
    </row>
    <row r="1092" spans="1:3" x14ac:dyDescent="0.25">
      <c r="A1092" t="s">
        <v>5</v>
      </c>
      <c r="B1092" s="1">
        <v>44720</v>
      </c>
      <c r="C1092">
        <v>7.5911000000000006E-2</v>
      </c>
    </row>
    <row r="1093" spans="1:3" x14ac:dyDescent="0.25">
      <c r="A1093" t="s">
        <v>5</v>
      </c>
      <c r="B1093" s="1">
        <v>44721</v>
      </c>
      <c r="C1093">
        <v>7.6246999999999995E-2</v>
      </c>
    </row>
    <row r="1094" spans="1:3" x14ac:dyDescent="0.25">
      <c r="A1094" t="s">
        <v>5</v>
      </c>
      <c r="B1094" s="1">
        <v>44722</v>
      </c>
      <c r="C1094">
        <v>7.5608999999999996E-2</v>
      </c>
    </row>
    <row r="1095" spans="1:3" x14ac:dyDescent="0.25">
      <c r="A1095" t="s">
        <v>5</v>
      </c>
      <c r="B1095" s="1">
        <v>44725</v>
      </c>
      <c r="C1095">
        <v>7.8060000000000004E-2</v>
      </c>
    </row>
    <row r="1096" spans="1:3" x14ac:dyDescent="0.25">
      <c r="A1096" t="s">
        <v>5</v>
      </c>
      <c r="B1096" s="1">
        <v>44726</v>
      </c>
      <c r="C1096">
        <v>7.3897000000000004E-2</v>
      </c>
    </row>
    <row r="1097" spans="1:3" x14ac:dyDescent="0.25">
      <c r="A1097" t="s">
        <v>5</v>
      </c>
      <c r="B1097" s="1">
        <v>44727</v>
      </c>
      <c r="C1097">
        <v>7.2183999999999998E-2</v>
      </c>
    </row>
    <row r="1098" spans="1:3" x14ac:dyDescent="0.25">
      <c r="A1098" t="s">
        <v>5</v>
      </c>
      <c r="B1098" s="1">
        <v>44728</v>
      </c>
      <c r="C1098">
        <v>7.0203000000000002E-2</v>
      </c>
    </row>
    <row r="1099" spans="1:3" x14ac:dyDescent="0.25">
      <c r="A1099" t="s">
        <v>5</v>
      </c>
      <c r="B1099" s="1">
        <v>44729</v>
      </c>
      <c r="C1099">
        <v>7.0707000000000006E-2</v>
      </c>
    </row>
    <row r="1100" spans="1:3" x14ac:dyDescent="0.25">
      <c r="A1100" t="s">
        <v>5</v>
      </c>
      <c r="B1100" s="1">
        <v>44732</v>
      </c>
      <c r="C1100">
        <v>7.5642000000000001E-2</v>
      </c>
    </row>
    <row r="1101" spans="1:3" x14ac:dyDescent="0.25">
      <c r="A1101" t="s">
        <v>5</v>
      </c>
      <c r="B1101" s="1">
        <v>44733</v>
      </c>
      <c r="C1101">
        <v>7.4132000000000003E-2</v>
      </c>
    </row>
    <row r="1102" spans="1:3" x14ac:dyDescent="0.25">
      <c r="A1102" t="s">
        <v>5</v>
      </c>
      <c r="B1102" s="1">
        <v>44734</v>
      </c>
      <c r="C1102">
        <v>7.3929999999999996E-2</v>
      </c>
    </row>
    <row r="1103" spans="1:3" x14ac:dyDescent="0.25">
      <c r="A1103" t="s">
        <v>5</v>
      </c>
      <c r="B1103" s="1">
        <v>44735</v>
      </c>
      <c r="C1103">
        <v>7.2789000000000006E-2</v>
      </c>
    </row>
    <row r="1104" spans="1:3" x14ac:dyDescent="0.25">
      <c r="A1104" t="s">
        <v>5</v>
      </c>
      <c r="B1104" s="1">
        <v>44739</v>
      </c>
      <c r="C1104">
        <v>7.2015999999999997E-2</v>
      </c>
    </row>
    <row r="1105" spans="1:3" x14ac:dyDescent="0.25">
      <c r="A1105" t="s">
        <v>5</v>
      </c>
      <c r="B1105" s="1">
        <v>44740</v>
      </c>
      <c r="C1105">
        <v>7.4132000000000003E-2</v>
      </c>
    </row>
    <row r="1106" spans="1:3" x14ac:dyDescent="0.25">
      <c r="A1106" t="s">
        <v>5</v>
      </c>
      <c r="B1106" s="1">
        <v>44741</v>
      </c>
      <c r="C1106">
        <v>7.2218000000000004E-2</v>
      </c>
    </row>
    <row r="1107" spans="1:3" x14ac:dyDescent="0.25">
      <c r="A1107" t="s">
        <v>5</v>
      </c>
      <c r="B1107" s="1">
        <v>44742</v>
      </c>
      <c r="C1107">
        <v>6.8658999999999998E-2</v>
      </c>
    </row>
    <row r="1108" spans="1:3" x14ac:dyDescent="0.25">
      <c r="A1108" t="s">
        <v>5</v>
      </c>
      <c r="B1108" s="1">
        <v>44743</v>
      </c>
      <c r="C1108">
        <v>7.0371000000000003E-2</v>
      </c>
    </row>
    <row r="1109" spans="1:3" x14ac:dyDescent="0.25">
      <c r="A1109" t="s">
        <v>5</v>
      </c>
      <c r="B1109" s="1">
        <v>44746</v>
      </c>
      <c r="C1109">
        <v>7.1177000000000004E-2</v>
      </c>
    </row>
    <row r="1110" spans="1:3" x14ac:dyDescent="0.25">
      <c r="A1110" t="s">
        <v>5</v>
      </c>
      <c r="B1110" s="1">
        <v>44747</v>
      </c>
      <c r="C1110">
        <v>6.9061999999999998E-2</v>
      </c>
    </row>
    <row r="1111" spans="1:3" x14ac:dyDescent="0.25">
      <c r="A1111" t="s">
        <v>5</v>
      </c>
      <c r="B1111" s="1">
        <v>44748</v>
      </c>
      <c r="C1111">
        <v>6.8826999999999999E-2</v>
      </c>
    </row>
    <row r="1112" spans="1:3" x14ac:dyDescent="0.25">
      <c r="A1112" t="s">
        <v>5</v>
      </c>
      <c r="B1112" s="1">
        <v>44749</v>
      </c>
      <c r="C1112">
        <v>6.8960999999999995E-2</v>
      </c>
    </row>
    <row r="1113" spans="1:3" x14ac:dyDescent="0.25">
      <c r="A1113" t="s">
        <v>5</v>
      </c>
      <c r="B1113" s="1">
        <v>44750</v>
      </c>
      <c r="C1113">
        <v>7.0673E-2</v>
      </c>
    </row>
    <row r="1114" spans="1:3" x14ac:dyDescent="0.25">
      <c r="A1114" t="s">
        <v>5</v>
      </c>
      <c r="B1114" s="1">
        <v>44753</v>
      </c>
      <c r="C1114">
        <v>6.8860000000000005E-2</v>
      </c>
    </row>
    <row r="1115" spans="1:3" x14ac:dyDescent="0.25">
      <c r="A1115" t="s">
        <v>5</v>
      </c>
      <c r="B1115" s="1">
        <v>44754</v>
      </c>
      <c r="C1115">
        <v>6.9431000000000007E-2</v>
      </c>
    </row>
    <row r="1116" spans="1:3" x14ac:dyDescent="0.25">
      <c r="A1116" t="s">
        <v>5</v>
      </c>
      <c r="B1116" s="1">
        <v>44755</v>
      </c>
      <c r="C1116">
        <v>6.8960999999999995E-2</v>
      </c>
    </row>
    <row r="1117" spans="1:3" x14ac:dyDescent="0.25">
      <c r="A1117" t="s">
        <v>5</v>
      </c>
      <c r="B1117" s="1">
        <v>44756</v>
      </c>
      <c r="C1117">
        <v>7.1479000000000001E-2</v>
      </c>
    </row>
    <row r="1118" spans="1:3" x14ac:dyDescent="0.25">
      <c r="A1118" t="s">
        <v>5</v>
      </c>
      <c r="B1118" s="1">
        <v>44757</v>
      </c>
      <c r="C1118">
        <v>7.5037999999999994E-2</v>
      </c>
    </row>
    <row r="1119" spans="1:3" x14ac:dyDescent="0.25">
      <c r="A1119" t="s">
        <v>5</v>
      </c>
      <c r="B1119" s="1">
        <v>44760</v>
      </c>
      <c r="C1119">
        <v>7.4970999999999996E-2</v>
      </c>
    </row>
    <row r="1120" spans="1:3" x14ac:dyDescent="0.25">
      <c r="A1120" t="s">
        <v>5</v>
      </c>
      <c r="B1120" s="1">
        <v>44761</v>
      </c>
      <c r="C1120">
        <v>6.8087999999999996E-2</v>
      </c>
    </row>
    <row r="1121" spans="1:3" x14ac:dyDescent="0.25">
      <c r="A1121" t="s">
        <v>5</v>
      </c>
      <c r="B1121" s="1">
        <v>44762</v>
      </c>
      <c r="C1121">
        <v>6.8658999999999998E-2</v>
      </c>
    </row>
    <row r="1122" spans="1:3" x14ac:dyDescent="0.25">
      <c r="A1122" t="s">
        <v>5</v>
      </c>
      <c r="B1122" s="1">
        <v>44763</v>
      </c>
      <c r="C1122">
        <v>6.8154999999999993E-2</v>
      </c>
    </row>
    <row r="1123" spans="1:3" x14ac:dyDescent="0.25">
      <c r="A1123" t="s">
        <v>5</v>
      </c>
      <c r="B1123" s="1">
        <v>44764</v>
      </c>
      <c r="C1123">
        <v>6.7987000000000006E-2</v>
      </c>
    </row>
    <row r="1124" spans="1:3" x14ac:dyDescent="0.25">
      <c r="A1124" t="s">
        <v>5</v>
      </c>
      <c r="B1124" s="1">
        <v>44767</v>
      </c>
      <c r="C1124">
        <v>6.8357000000000001E-2</v>
      </c>
    </row>
    <row r="1125" spans="1:3" x14ac:dyDescent="0.25">
      <c r="A1125" t="s">
        <v>5</v>
      </c>
      <c r="B1125" s="1">
        <v>44768</v>
      </c>
      <c r="C1125">
        <v>6.7182000000000006E-2</v>
      </c>
    </row>
    <row r="1126" spans="1:3" x14ac:dyDescent="0.25">
      <c r="A1126" t="s">
        <v>5</v>
      </c>
      <c r="B1126" s="1">
        <v>44769</v>
      </c>
      <c r="C1126">
        <v>6.6744999999999999E-2</v>
      </c>
    </row>
    <row r="1127" spans="1:3" x14ac:dyDescent="0.25">
      <c r="A1127" t="s">
        <v>5</v>
      </c>
      <c r="B1127" s="1">
        <v>44770</v>
      </c>
      <c r="C1127">
        <v>6.6811999999999996E-2</v>
      </c>
    </row>
    <row r="1128" spans="1:3" x14ac:dyDescent="0.25">
      <c r="A1128" t="s">
        <v>5</v>
      </c>
      <c r="B1128" s="1">
        <v>44771</v>
      </c>
      <c r="C1128">
        <v>6.7349999999999993E-2</v>
      </c>
    </row>
    <row r="1129" spans="1:3" x14ac:dyDescent="0.25">
      <c r="A1129" t="s">
        <v>5</v>
      </c>
      <c r="B1129" s="1">
        <v>44774</v>
      </c>
      <c r="C1129">
        <v>6.8423999999999999E-2</v>
      </c>
    </row>
    <row r="1130" spans="1:3" x14ac:dyDescent="0.25">
      <c r="A1130" t="s">
        <v>5</v>
      </c>
      <c r="B1130" s="1">
        <v>44775</v>
      </c>
      <c r="C1130">
        <v>6.8390000000000006E-2</v>
      </c>
    </row>
    <row r="1131" spans="1:3" x14ac:dyDescent="0.25">
      <c r="A1131" t="s">
        <v>5</v>
      </c>
      <c r="B1131" s="1">
        <v>44776</v>
      </c>
      <c r="C1131">
        <v>6.8793000000000007E-2</v>
      </c>
    </row>
    <row r="1132" spans="1:3" x14ac:dyDescent="0.25">
      <c r="A1132" t="s">
        <v>5</v>
      </c>
      <c r="B1132" s="1">
        <v>44777</v>
      </c>
      <c r="C1132">
        <v>7.0102999999999999E-2</v>
      </c>
    </row>
    <row r="1133" spans="1:3" x14ac:dyDescent="0.25">
      <c r="A1133" t="s">
        <v>5</v>
      </c>
      <c r="B1133" s="1">
        <v>44778</v>
      </c>
      <c r="C1133">
        <v>7.1948999999999999E-2</v>
      </c>
    </row>
    <row r="1134" spans="1:3" x14ac:dyDescent="0.25">
      <c r="A1134" t="s">
        <v>5</v>
      </c>
      <c r="B1134" s="1">
        <v>44781</v>
      </c>
      <c r="C1134">
        <v>7.1983000000000005E-2</v>
      </c>
    </row>
    <row r="1135" spans="1:3" x14ac:dyDescent="0.25">
      <c r="A1135" t="s">
        <v>5</v>
      </c>
      <c r="B1135" s="1">
        <v>44782</v>
      </c>
      <c r="C1135">
        <v>7.2688000000000003E-2</v>
      </c>
    </row>
    <row r="1136" spans="1:3" x14ac:dyDescent="0.25">
      <c r="A1136" t="s">
        <v>5</v>
      </c>
      <c r="B1136" s="1">
        <v>44783</v>
      </c>
      <c r="C1136">
        <v>7.2015999999999997E-2</v>
      </c>
    </row>
    <row r="1137" spans="1:3" x14ac:dyDescent="0.25">
      <c r="A1137" t="s">
        <v>5</v>
      </c>
      <c r="B1137" s="1">
        <v>44784</v>
      </c>
      <c r="C1137">
        <v>7.1009000000000003E-2</v>
      </c>
    </row>
    <row r="1138" spans="1:3" x14ac:dyDescent="0.25">
      <c r="A1138" t="s">
        <v>5</v>
      </c>
      <c r="B1138" s="1">
        <v>44785</v>
      </c>
      <c r="C1138">
        <v>7.0740999999999998E-2</v>
      </c>
    </row>
    <row r="1139" spans="1:3" x14ac:dyDescent="0.25">
      <c r="A1139" t="s">
        <v>5</v>
      </c>
      <c r="B1139" s="1">
        <v>44788</v>
      </c>
      <c r="C1139">
        <v>7.2653999999999996E-2</v>
      </c>
    </row>
    <row r="1140" spans="1:3" x14ac:dyDescent="0.25">
      <c r="A1140" t="s">
        <v>5</v>
      </c>
      <c r="B1140" s="1">
        <v>44789</v>
      </c>
      <c r="C1140">
        <v>7.4434E-2</v>
      </c>
    </row>
    <row r="1141" spans="1:3" x14ac:dyDescent="0.25">
      <c r="A1141" t="s">
        <v>5</v>
      </c>
      <c r="B1141" s="1">
        <v>44790</v>
      </c>
      <c r="C1141">
        <v>7.3291999999999996E-2</v>
      </c>
    </row>
    <row r="1142" spans="1:3" x14ac:dyDescent="0.25">
      <c r="A1142" t="s">
        <v>5</v>
      </c>
      <c r="B1142" s="1">
        <v>44791</v>
      </c>
      <c r="C1142">
        <v>7.4870000000000006E-2</v>
      </c>
    </row>
    <row r="1143" spans="1:3" x14ac:dyDescent="0.25">
      <c r="A1143" t="s">
        <v>5</v>
      </c>
      <c r="B1143" s="1">
        <v>44792</v>
      </c>
      <c r="C1143">
        <v>7.0236999999999994E-2</v>
      </c>
    </row>
    <row r="1144" spans="1:3" x14ac:dyDescent="0.25">
      <c r="A1144" t="s">
        <v>5</v>
      </c>
      <c r="B1144" s="1">
        <v>44795</v>
      </c>
      <c r="C1144">
        <v>6.8860000000000005E-2</v>
      </c>
    </row>
    <row r="1145" spans="1:3" x14ac:dyDescent="0.25">
      <c r="A1145" t="s">
        <v>5</v>
      </c>
      <c r="B1145" s="1">
        <v>44796</v>
      </c>
      <c r="C1145">
        <v>6.9901000000000005E-2</v>
      </c>
    </row>
    <row r="1146" spans="1:3" x14ac:dyDescent="0.25">
      <c r="A1146" t="s">
        <v>5</v>
      </c>
      <c r="B1146" s="1">
        <v>44797</v>
      </c>
      <c r="C1146">
        <v>7.1142999999999998E-2</v>
      </c>
    </row>
    <row r="1147" spans="1:3" x14ac:dyDescent="0.25">
      <c r="A1147" t="s">
        <v>5</v>
      </c>
      <c r="B1147" s="1">
        <v>44798</v>
      </c>
      <c r="C1147">
        <v>6.9431000000000007E-2</v>
      </c>
    </row>
    <row r="1148" spans="1:3" x14ac:dyDescent="0.25">
      <c r="A1148" t="s">
        <v>5</v>
      </c>
      <c r="B1148" s="1">
        <v>44799</v>
      </c>
      <c r="C1148">
        <v>6.8658999999999998E-2</v>
      </c>
    </row>
    <row r="1149" spans="1:3" x14ac:dyDescent="0.25">
      <c r="A1149" t="s">
        <v>5</v>
      </c>
      <c r="B1149" s="1">
        <v>44802</v>
      </c>
      <c r="C1149">
        <v>6.7852999999999997E-2</v>
      </c>
    </row>
    <row r="1150" spans="1:3" x14ac:dyDescent="0.25">
      <c r="A1150" t="s">
        <v>5</v>
      </c>
      <c r="B1150" s="1">
        <v>44803</v>
      </c>
      <c r="C1150">
        <v>6.8557999999999994E-2</v>
      </c>
    </row>
    <row r="1151" spans="1:3" x14ac:dyDescent="0.25">
      <c r="A1151" t="s">
        <v>5</v>
      </c>
      <c r="B1151" s="1">
        <v>44804</v>
      </c>
      <c r="C1151">
        <v>6.8625000000000005E-2</v>
      </c>
    </row>
    <row r="1152" spans="1:3" x14ac:dyDescent="0.25">
      <c r="A1152" t="s">
        <v>5</v>
      </c>
      <c r="B1152" s="1">
        <v>44805</v>
      </c>
      <c r="C1152">
        <v>6.6878999999999994E-2</v>
      </c>
    </row>
    <row r="1153" spans="1:3" x14ac:dyDescent="0.25">
      <c r="A1153" t="s">
        <v>5</v>
      </c>
      <c r="B1153" s="1">
        <v>44806</v>
      </c>
      <c r="C1153">
        <v>6.6979999999999998E-2</v>
      </c>
    </row>
    <row r="1154" spans="1:3" x14ac:dyDescent="0.25">
      <c r="A1154" t="s">
        <v>5</v>
      </c>
      <c r="B1154" s="1">
        <v>44809</v>
      </c>
      <c r="C1154">
        <v>6.6309000000000007E-2</v>
      </c>
    </row>
    <row r="1155" spans="1:3" x14ac:dyDescent="0.25">
      <c r="A1155" t="s">
        <v>5</v>
      </c>
      <c r="B1155" s="1">
        <v>44810</v>
      </c>
      <c r="C1155">
        <v>6.7046999999999995E-2</v>
      </c>
    </row>
    <row r="1156" spans="1:3" x14ac:dyDescent="0.25">
      <c r="A1156" t="s">
        <v>5</v>
      </c>
      <c r="B1156" s="1">
        <v>44811</v>
      </c>
      <c r="C1156">
        <v>6.5838999999999995E-2</v>
      </c>
    </row>
    <row r="1157" spans="1:3" x14ac:dyDescent="0.25">
      <c r="A1157" t="s">
        <v>5</v>
      </c>
      <c r="B1157" s="1">
        <v>44812</v>
      </c>
      <c r="C1157">
        <v>6.5838999999999995E-2</v>
      </c>
    </row>
    <row r="1158" spans="1:3" x14ac:dyDescent="0.25">
      <c r="A1158" t="s">
        <v>5</v>
      </c>
      <c r="B1158" s="1">
        <v>44813</v>
      </c>
      <c r="C1158">
        <v>6.5906000000000006E-2</v>
      </c>
    </row>
    <row r="1159" spans="1:3" x14ac:dyDescent="0.25">
      <c r="A1159" t="s">
        <v>5</v>
      </c>
      <c r="B1159" s="1">
        <v>44816</v>
      </c>
      <c r="C1159">
        <v>6.6947000000000007E-2</v>
      </c>
    </row>
    <row r="1160" spans="1:3" x14ac:dyDescent="0.25">
      <c r="A1160" t="s">
        <v>5</v>
      </c>
      <c r="B1160" s="1">
        <v>44817</v>
      </c>
      <c r="C1160">
        <v>6.4730999999999997E-2</v>
      </c>
    </row>
    <row r="1161" spans="1:3" x14ac:dyDescent="0.25">
      <c r="A1161" t="s">
        <v>5</v>
      </c>
      <c r="B1161" s="1">
        <v>44818</v>
      </c>
      <c r="C1161">
        <v>6.5100000000000005E-2</v>
      </c>
    </row>
    <row r="1162" spans="1:3" x14ac:dyDescent="0.25">
      <c r="A1162" t="s">
        <v>5</v>
      </c>
      <c r="B1162" s="1">
        <v>44819</v>
      </c>
      <c r="C1162">
        <v>6.4831E-2</v>
      </c>
    </row>
    <row r="1163" spans="1:3" x14ac:dyDescent="0.25">
      <c r="A1163" t="s">
        <v>5</v>
      </c>
      <c r="B1163" s="1">
        <v>44820</v>
      </c>
      <c r="C1163">
        <v>6.5368999999999997E-2</v>
      </c>
    </row>
    <row r="1164" spans="1:3" x14ac:dyDescent="0.25">
      <c r="A1164" t="s">
        <v>5</v>
      </c>
      <c r="B1164" s="1">
        <v>44823</v>
      </c>
      <c r="C1164">
        <v>6.5468999999999999E-2</v>
      </c>
    </row>
    <row r="1165" spans="1:3" x14ac:dyDescent="0.25">
      <c r="A1165" t="s">
        <v>5</v>
      </c>
      <c r="B1165" s="1">
        <v>44824</v>
      </c>
      <c r="C1165">
        <v>6.5468999999999999E-2</v>
      </c>
    </row>
    <row r="1166" spans="1:3" x14ac:dyDescent="0.25">
      <c r="A1166" t="s">
        <v>5</v>
      </c>
      <c r="B1166" s="1">
        <v>44825</v>
      </c>
      <c r="C1166">
        <v>6.4999000000000001E-2</v>
      </c>
    </row>
    <row r="1167" spans="1:3" x14ac:dyDescent="0.25">
      <c r="A1167" t="s">
        <v>5</v>
      </c>
      <c r="B1167" s="1">
        <v>44826</v>
      </c>
      <c r="C1167">
        <v>6.4159999999999995E-2</v>
      </c>
    </row>
    <row r="1168" spans="1:3" x14ac:dyDescent="0.25">
      <c r="A1168" t="s">
        <v>5</v>
      </c>
      <c r="B1168" s="1">
        <v>44827</v>
      </c>
      <c r="C1168">
        <v>6.1742999999999999E-2</v>
      </c>
    </row>
    <row r="1169" spans="1:3" x14ac:dyDescent="0.25">
      <c r="A1169" t="s">
        <v>5</v>
      </c>
      <c r="B1169" s="1">
        <v>44830</v>
      </c>
      <c r="C1169">
        <v>6.0467E-2</v>
      </c>
    </row>
    <row r="1170" spans="1:3" x14ac:dyDescent="0.25">
      <c r="A1170" t="s">
        <v>5</v>
      </c>
      <c r="B1170" s="1">
        <v>44831</v>
      </c>
      <c r="C1170">
        <v>6.0533999999999998E-2</v>
      </c>
    </row>
    <row r="1171" spans="1:3" x14ac:dyDescent="0.25">
      <c r="A1171" t="s">
        <v>5</v>
      </c>
      <c r="B1171" s="1">
        <v>44832</v>
      </c>
      <c r="C1171">
        <v>5.8821999999999999E-2</v>
      </c>
    </row>
    <row r="1172" spans="1:3" x14ac:dyDescent="0.25">
      <c r="A1172" t="s">
        <v>5</v>
      </c>
      <c r="B1172" s="1">
        <v>44833</v>
      </c>
      <c r="C1172">
        <v>5.7377999999999998E-2</v>
      </c>
    </row>
    <row r="1173" spans="1:3" x14ac:dyDescent="0.25">
      <c r="A1173" t="s">
        <v>5</v>
      </c>
      <c r="B1173" s="1">
        <v>44834</v>
      </c>
      <c r="C1173">
        <v>5.9526999999999997E-2</v>
      </c>
    </row>
    <row r="1174" spans="1:3" x14ac:dyDescent="0.25">
      <c r="A1174" t="s">
        <v>5</v>
      </c>
      <c r="B1174" s="1">
        <v>44837</v>
      </c>
      <c r="C1174">
        <v>5.8451999999999997E-2</v>
      </c>
    </row>
    <row r="1175" spans="1:3" x14ac:dyDescent="0.25">
      <c r="A1175" t="s">
        <v>5</v>
      </c>
      <c r="B1175" s="1">
        <v>44838</v>
      </c>
      <c r="C1175">
        <v>5.9660999999999999E-2</v>
      </c>
    </row>
    <row r="1176" spans="1:3" x14ac:dyDescent="0.25">
      <c r="A1176" t="s">
        <v>5</v>
      </c>
      <c r="B1176" s="1">
        <v>44839</v>
      </c>
      <c r="C1176">
        <v>6.0567999999999997E-2</v>
      </c>
    </row>
    <row r="1177" spans="1:3" x14ac:dyDescent="0.25">
      <c r="A1177" t="s">
        <v>5</v>
      </c>
      <c r="B1177" s="1">
        <v>44840</v>
      </c>
      <c r="C1177">
        <v>6.191E-2</v>
      </c>
    </row>
    <row r="1178" spans="1:3" x14ac:dyDescent="0.25">
      <c r="A1178" t="s">
        <v>5</v>
      </c>
      <c r="B1178" s="1">
        <v>44841</v>
      </c>
      <c r="C1178">
        <v>6.0467E-2</v>
      </c>
    </row>
    <row r="1179" spans="1:3" x14ac:dyDescent="0.25">
      <c r="A1179" t="s">
        <v>5</v>
      </c>
      <c r="B1179" s="1">
        <v>44844</v>
      </c>
      <c r="C1179">
        <v>6.0499999999999998E-2</v>
      </c>
    </row>
    <row r="1180" spans="1:3" x14ac:dyDescent="0.25">
      <c r="A1180" t="s">
        <v>5</v>
      </c>
      <c r="B1180" s="1">
        <v>44845</v>
      </c>
      <c r="C1180">
        <v>6.1171999999999997E-2</v>
      </c>
    </row>
    <row r="1181" spans="1:3" x14ac:dyDescent="0.25">
      <c r="A1181" t="s">
        <v>5</v>
      </c>
      <c r="B1181" s="1">
        <v>44846</v>
      </c>
      <c r="C1181">
        <v>6.2078000000000001E-2</v>
      </c>
    </row>
    <row r="1182" spans="1:3" x14ac:dyDescent="0.25">
      <c r="A1182" t="s">
        <v>5</v>
      </c>
      <c r="B1182" s="1">
        <v>44847</v>
      </c>
      <c r="C1182">
        <v>6.2548000000000006E-2</v>
      </c>
    </row>
    <row r="1183" spans="1:3" x14ac:dyDescent="0.25">
      <c r="A1183" t="s">
        <v>5</v>
      </c>
      <c r="B1183" s="1">
        <v>44848</v>
      </c>
      <c r="C1183">
        <v>6.3756999999999994E-2</v>
      </c>
    </row>
    <row r="1184" spans="1:3" x14ac:dyDescent="0.25">
      <c r="A1184" t="s">
        <v>5</v>
      </c>
      <c r="B1184" s="1">
        <v>44851</v>
      </c>
      <c r="C1184">
        <v>6.4495999999999998E-2</v>
      </c>
    </row>
    <row r="1185" spans="1:3" x14ac:dyDescent="0.25">
      <c r="A1185" t="s">
        <v>5</v>
      </c>
      <c r="B1185" s="1">
        <v>44852</v>
      </c>
      <c r="C1185">
        <v>6.4999000000000001E-2</v>
      </c>
    </row>
    <row r="1186" spans="1:3" x14ac:dyDescent="0.25">
      <c r="A1186" t="s">
        <v>5</v>
      </c>
      <c r="B1186" s="1">
        <v>44853</v>
      </c>
      <c r="C1186">
        <v>6.6711999999999994E-2</v>
      </c>
    </row>
    <row r="1187" spans="1:3" x14ac:dyDescent="0.25">
      <c r="A1187" t="s">
        <v>5</v>
      </c>
      <c r="B1187" s="1">
        <v>44854</v>
      </c>
      <c r="C1187">
        <v>6.6678000000000001E-2</v>
      </c>
    </row>
    <row r="1188" spans="1:3" x14ac:dyDescent="0.25">
      <c r="A1188" t="s">
        <v>5</v>
      </c>
      <c r="B1188" s="1">
        <v>44855</v>
      </c>
      <c r="C1188">
        <v>6.4965999999999996E-2</v>
      </c>
    </row>
    <row r="1189" spans="1:3" x14ac:dyDescent="0.25">
      <c r="A1189" t="s">
        <v>5</v>
      </c>
      <c r="B1189" s="1">
        <v>44858</v>
      </c>
      <c r="C1189">
        <v>6.3286999999999996E-2</v>
      </c>
    </row>
    <row r="1190" spans="1:3" x14ac:dyDescent="0.25">
      <c r="A1190" t="s">
        <v>5</v>
      </c>
      <c r="B1190" s="1">
        <v>44859</v>
      </c>
      <c r="C1190">
        <v>6.5065999999999999E-2</v>
      </c>
    </row>
    <row r="1191" spans="1:3" x14ac:dyDescent="0.25">
      <c r="A1191" t="s">
        <v>5</v>
      </c>
      <c r="B1191" s="1">
        <v>44860</v>
      </c>
      <c r="C1191">
        <v>6.7652000000000004E-2</v>
      </c>
    </row>
    <row r="1192" spans="1:3" x14ac:dyDescent="0.25">
      <c r="A1192" t="s">
        <v>5</v>
      </c>
      <c r="B1192" s="1">
        <v>44861</v>
      </c>
      <c r="C1192">
        <v>6.8760000000000002E-2</v>
      </c>
    </row>
    <row r="1193" spans="1:3" x14ac:dyDescent="0.25">
      <c r="A1193" t="s">
        <v>5</v>
      </c>
      <c r="B1193" s="1">
        <v>44862</v>
      </c>
      <c r="C1193">
        <v>7.1680999999999995E-2</v>
      </c>
    </row>
    <row r="1194" spans="1:3" x14ac:dyDescent="0.25">
      <c r="A1194" t="s">
        <v>5</v>
      </c>
      <c r="B1194" s="1">
        <v>44865</v>
      </c>
      <c r="C1194">
        <v>7.2015999999999997E-2</v>
      </c>
    </row>
    <row r="1195" spans="1:3" x14ac:dyDescent="0.25">
      <c r="A1195" t="s">
        <v>5</v>
      </c>
      <c r="B1195" s="1">
        <v>44866</v>
      </c>
      <c r="C1195">
        <v>7.4970999999999996E-2</v>
      </c>
    </row>
    <row r="1196" spans="1:3" x14ac:dyDescent="0.25">
      <c r="A1196" t="s">
        <v>5</v>
      </c>
      <c r="B1196" s="1">
        <v>44867</v>
      </c>
      <c r="C1196">
        <v>7.6884999999999995E-2</v>
      </c>
    </row>
    <row r="1197" spans="1:3" x14ac:dyDescent="0.25">
      <c r="A1197" t="s">
        <v>5</v>
      </c>
      <c r="B1197" s="1">
        <v>44868</v>
      </c>
      <c r="C1197">
        <v>7.8798000000000007E-2</v>
      </c>
    </row>
    <row r="1198" spans="1:3" x14ac:dyDescent="0.25">
      <c r="A1198" t="s">
        <v>5</v>
      </c>
      <c r="B1198" s="1">
        <v>44869</v>
      </c>
      <c r="C1198">
        <v>8.3934999999999996E-2</v>
      </c>
    </row>
    <row r="1199" spans="1:3" x14ac:dyDescent="0.25">
      <c r="A1199" t="s">
        <v>5</v>
      </c>
      <c r="B1199" s="1">
        <v>44872</v>
      </c>
      <c r="C1199">
        <v>8.6957000000000007E-2</v>
      </c>
    </row>
    <row r="1200" spans="1:3" x14ac:dyDescent="0.25">
      <c r="A1200" t="s">
        <v>5</v>
      </c>
      <c r="B1200" s="1">
        <v>44873</v>
      </c>
      <c r="C1200">
        <v>8.9811000000000002E-2</v>
      </c>
    </row>
    <row r="1201" spans="1:3" x14ac:dyDescent="0.25">
      <c r="A1201" t="s">
        <v>5</v>
      </c>
      <c r="B1201" s="1">
        <v>44874</v>
      </c>
      <c r="C1201">
        <v>8.2357E-2</v>
      </c>
    </row>
    <row r="1202" spans="1:3" x14ac:dyDescent="0.25">
      <c r="A1202" t="s">
        <v>5</v>
      </c>
      <c r="B1202" s="1">
        <v>44875</v>
      </c>
      <c r="C1202">
        <v>8.3699999999999997E-2</v>
      </c>
    </row>
    <row r="1203" spans="1:3" x14ac:dyDescent="0.25">
      <c r="A1203" t="s">
        <v>5</v>
      </c>
      <c r="B1203" s="1">
        <v>44876</v>
      </c>
      <c r="C1203">
        <v>8.6285000000000001E-2</v>
      </c>
    </row>
    <row r="1204" spans="1:3" x14ac:dyDescent="0.25">
      <c r="A1204" t="s">
        <v>5</v>
      </c>
      <c r="B1204" s="1">
        <v>44879</v>
      </c>
      <c r="C1204">
        <v>8.8216000000000003E-2</v>
      </c>
    </row>
    <row r="1205" spans="1:3" x14ac:dyDescent="0.25">
      <c r="A1205" t="s">
        <v>5</v>
      </c>
      <c r="B1205" s="1">
        <v>44880</v>
      </c>
      <c r="C1205">
        <v>8.9390999999999998E-2</v>
      </c>
    </row>
    <row r="1206" spans="1:3" x14ac:dyDescent="0.25">
      <c r="A1206" t="s">
        <v>5</v>
      </c>
      <c r="B1206" s="1">
        <v>44881</v>
      </c>
      <c r="C1206">
        <v>8.3934999999999996E-2</v>
      </c>
    </row>
    <row r="1207" spans="1:3" x14ac:dyDescent="0.25">
      <c r="A1207" t="s">
        <v>5</v>
      </c>
      <c r="B1207" s="1">
        <v>44882</v>
      </c>
      <c r="C1207">
        <v>8.4775000000000003E-2</v>
      </c>
    </row>
    <row r="1208" spans="1:3" x14ac:dyDescent="0.25">
      <c r="A1208" t="s">
        <v>5</v>
      </c>
      <c r="B1208" s="1">
        <v>44883</v>
      </c>
      <c r="C1208">
        <v>8.3363999999999994E-2</v>
      </c>
    </row>
    <row r="1209" spans="1:3" x14ac:dyDescent="0.25">
      <c r="A1209" t="s">
        <v>5</v>
      </c>
      <c r="B1209" s="1">
        <v>44886</v>
      </c>
      <c r="C1209">
        <v>8.0309000000000005E-2</v>
      </c>
    </row>
    <row r="1210" spans="1:3" x14ac:dyDescent="0.25">
      <c r="A1210" t="s">
        <v>5</v>
      </c>
      <c r="B1210" s="1">
        <v>44887</v>
      </c>
      <c r="C1210">
        <v>7.8362000000000001E-2</v>
      </c>
    </row>
    <row r="1211" spans="1:3" x14ac:dyDescent="0.25">
      <c r="A1211" t="s">
        <v>5</v>
      </c>
      <c r="B1211" s="1">
        <v>44888</v>
      </c>
      <c r="C1211">
        <v>7.5172000000000003E-2</v>
      </c>
    </row>
    <row r="1212" spans="1:3" x14ac:dyDescent="0.25">
      <c r="A1212" t="s">
        <v>5</v>
      </c>
      <c r="B1212" s="1">
        <v>44889</v>
      </c>
      <c r="C1212">
        <v>7.8228000000000006E-2</v>
      </c>
    </row>
    <row r="1213" spans="1:3" x14ac:dyDescent="0.25">
      <c r="A1213" t="s">
        <v>5</v>
      </c>
      <c r="B1213" s="1">
        <v>44890</v>
      </c>
      <c r="C1213">
        <v>7.5541999999999998E-2</v>
      </c>
    </row>
    <row r="1214" spans="1:3" x14ac:dyDescent="0.25">
      <c r="A1214" t="s">
        <v>5</v>
      </c>
      <c r="B1214" s="1">
        <v>44893</v>
      </c>
      <c r="C1214">
        <v>7.3729000000000003E-2</v>
      </c>
    </row>
    <row r="1215" spans="1:3" x14ac:dyDescent="0.25">
      <c r="A1215" t="s">
        <v>5</v>
      </c>
      <c r="B1215" s="1">
        <v>44894</v>
      </c>
      <c r="C1215">
        <v>7.5508000000000006E-2</v>
      </c>
    </row>
    <row r="1216" spans="1:3" x14ac:dyDescent="0.25">
      <c r="A1216" t="s">
        <v>5</v>
      </c>
      <c r="B1216" s="1">
        <v>44895</v>
      </c>
      <c r="C1216">
        <v>7.5440999999999994E-2</v>
      </c>
    </row>
    <row r="1217" spans="1:3" x14ac:dyDescent="0.25">
      <c r="A1217" t="s">
        <v>5</v>
      </c>
      <c r="B1217" s="1">
        <v>44896</v>
      </c>
      <c r="C1217">
        <v>7.6213000000000003E-2</v>
      </c>
    </row>
    <row r="1218" spans="1:3" x14ac:dyDescent="0.25">
      <c r="A1218" t="s">
        <v>5</v>
      </c>
      <c r="B1218" s="1">
        <v>44897</v>
      </c>
      <c r="C1218">
        <v>7.5541999999999998E-2</v>
      </c>
    </row>
    <row r="1219" spans="1:3" x14ac:dyDescent="0.25">
      <c r="A1219" t="s">
        <v>5</v>
      </c>
      <c r="B1219" s="1">
        <v>44900</v>
      </c>
      <c r="C1219">
        <v>7.7454999999999996E-2</v>
      </c>
    </row>
    <row r="1220" spans="1:3" x14ac:dyDescent="0.25">
      <c r="A1220" t="s">
        <v>5</v>
      </c>
      <c r="B1220" s="1">
        <v>44902</v>
      </c>
      <c r="C1220">
        <v>7.7051999999999995E-2</v>
      </c>
    </row>
    <row r="1221" spans="1:3" x14ac:dyDescent="0.25">
      <c r="A1221" t="s">
        <v>5</v>
      </c>
      <c r="B1221" s="1">
        <v>44903</v>
      </c>
      <c r="C1221">
        <v>7.6716999999999994E-2</v>
      </c>
    </row>
    <row r="1222" spans="1:3" x14ac:dyDescent="0.25">
      <c r="A1222" t="s">
        <v>5</v>
      </c>
      <c r="B1222" s="1">
        <v>44904</v>
      </c>
      <c r="C1222">
        <v>7.5407000000000002E-2</v>
      </c>
    </row>
    <row r="1223" spans="1:3" x14ac:dyDescent="0.25">
      <c r="A1223" t="s">
        <v>5</v>
      </c>
      <c r="B1223" s="1">
        <v>44907</v>
      </c>
      <c r="C1223">
        <v>7.5877E-2</v>
      </c>
    </row>
    <row r="1224" spans="1:3" x14ac:dyDescent="0.25">
      <c r="A1224" t="s">
        <v>5</v>
      </c>
      <c r="B1224" s="1">
        <v>44908</v>
      </c>
      <c r="C1224">
        <v>7.6280000000000001E-2</v>
      </c>
    </row>
    <row r="1225" spans="1:3" x14ac:dyDescent="0.25">
      <c r="A1225" t="s">
        <v>5</v>
      </c>
      <c r="B1225" s="1">
        <v>44909</v>
      </c>
      <c r="C1225">
        <v>7.4132000000000003E-2</v>
      </c>
    </row>
    <row r="1226" spans="1:3" x14ac:dyDescent="0.25">
      <c r="A1226" t="s">
        <v>5</v>
      </c>
      <c r="B1226" s="1">
        <v>44910</v>
      </c>
      <c r="C1226">
        <v>7.4702000000000005E-2</v>
      </c>
    </row>
    <row r="1227" spans="1:3" x14ac:dyDescent="0.25">
      <c r="A1227" t="s">
        <v>5</v>
      </c>
      <c r="B1227" s="1">
        <v>44911</v>
      </c>
      <c r="C1227">
        <v>7.2250999999999996E-2</v>
      </c>
    </row>
    <row r="1228" spans="1:3" x14ac:dyDescent="0.25">
      <c r="A1228" t="s">
        <v>5</v>
      </c>
      <c r="B1228" s="1">
        <v>44914</v>
      </c>
      <c r="C1228">
        <v>7.1545999999999998E-2</v>
      </c>
    </row>
    <row r="1229" spans="1:3" x14ac:dyDescent="0.25">
      <c r="A1229" t="s">
        <v>5</v>
      </c>
      <c r="B1229" s="1">
        <v>44915</v>
      </c>
      <c r="C1229">
        <v>7.1076E-2</v>
      </c>
    </row>
    <row r="1230" spans="1:3" x14ac:dyDescent="0.25">
      <c r="A1230" t="s">
        <v>5</v>
      </c>
      <c r="B1230" s="1">
        <v>44916</v>
      </c>
      <c r="C1230">
        <v>7.0841000000000001E-2</v>
      </c>
    </row>
    <row r="1231" spans="1:3" x14ac:dyDescent="0.25">
      <c r="A1231" t="s">
        <v>5</v>
      </c>
      <c r="B1231" s="1">
        <v>44917</v>
      </c>
      <c r="C1231">
        <v>6.9128999999999996E-2</v>
      </c>
    </row>
    <row r="1232" spans="1:3" x14ac:dyDescent="0.25">
      <c r="A1232" t="s">
        <v>5</v>
      </c>
      <c r="B1232" s="1">
        <v>44918</v>
      </c>
      <c r="C1232">
        <v>6.9363999999999995E-2</v>
      </c>
    </row>
    <row r="1233" spans="1:3" x14ac:dyDescent="0.25">
      <c r="A1233" t="s">
        <v>5</v>
      </c>
      <c r="B1233" s="1">
        <v>44922</v>
      </c>
      <c r="C1233">
        <v>6.8122000000000002E-2</v>
      </c>
    </row>
    <row r="1234" spans="1:3" x14ac:dyDescent="0.25">
      <c r="A1234" t="s">
        <v>5</v>
      </c>
      <c r="B1234" s="1">
        <v>44923</v>
      </c>
      <c r="C1234">
        <v>6.6341999999999998E-2</v>
      </c>
    </row>
    <row r="1235" spans="1:3" x14ac:dyDescent="0.25">
      <c r="A1235" t="s">
        <v>5</v>
      </c>
      <c r="B1235" s="1">
        <v>44924</v>
      </c>
      <c r="C1235">
        <v>6.6173999999999997E-2</v>
      </c>
    </row>
    <row r="1236" spans="1:3" x14ac:dyDescent="0.25">
      <c r="A1236" t="s">
        <v>5</v>
      </c>
      <c r="B1236" s="1">
        <v>44925</v>
      </c>
      <c r="C1236">
        <v>6.5167000000000003E-2</v>
      </c>
    </row>
    <row r="1237" spans="1:3" x14ac:dyDescent="0.25">
      <c r="A1237" t="s">
        <v>5</v>
      </c>
      <c r="B1237" s="1">
        <v>44928</v>
      </c>
      <c r="C1237">
        <v>6.7852999999999997E-2</v>
      </c>
    </row>
    <row r="1238" spans="1:3" x14ac:dyDescent="0.25">
      <c r="A1238" t="s">
        <v>5</v>
      </c>
      <c r="B1238" s="1">
        <v>44929</v>
      </c>
      <c r="C1238">
        <v>6.7382999999999998E-2</v>
      </c>
    </row>
    <row r="1239" spans="1:3" x14ac:dyDescent="0.25">
      <c r="A1239" t="s">
        <v>5</v>
      </c>
      <c r="B1239" s="1">
        <v>44930</v>
      </c>
      <c r="C1239">
        <v>6.8893999999999997E-2</v>
      </c>
    </row>
    <row r="1240" spans="1:3" x14ac:dyDescent="0.25">
      <c r="A1240" t="s">
        <v>5</v>
      </c>
      <c r="B1240" s="1">
        <v>44931</v>
      </c>
      <c r="C1240">
        <v>7.1310999999999999E-2</v>
      </c>
    </row>
    <row r="1241" spans="1:3" x14ac:dyDescent="0.25">
      <c r="A1241" t="s">
        <v>5</v>
      </c>
      <c r="B1241" s="1">
        <v>44935</v>
      </c>
      <c r="C1241">
        <v>7.4937000000000004E-2</v>
      </c>
    </row>
    <row r="1242" spans="1:3" x14ac:dyDescent="0.25">
      <c r="A1242" t="s">
        <v>5</v>
      </c>
      <c r="B1242" s="1">
        <v>44936</v>
      </c>
      <c r="C1242">
        <v>7.5072E-2</v>
      </c>
    </row>
    <row r="1243" spans="1:3" x14ac:dyDescent="0.25">
      <c r="A1243" t="s">
        <v>5</v>
      </c>
      <c r="B1243" s="1">
        <v>44937</v>
      </c>
      <c r="C1243">
        <v>7.4668999999999999E-2</v>
      </c>
    </row>
    <row r="1244" spans="1:3" x14ac:dyDescent="0.25">
      <c r="A1244" t="s">
        <v>5</v>
      </c>
      <c r="B1244" s="1">
        <v>44938</v>
      </c>
      <c r="C1244">
        <v>7.4870000000000006E-2</v>
      </c>
    </row>
    <row r="1245" spans="1:3" x14ac:dyDescent="0.25">
      <c r="A1245" t="s">
        <v>5</v>
      </c>
      <c r="B1245" s="1">
        <v>44939</v>
      </c>
      <c r="C1245">
        <v>7.9301999999999997E-2</v>
      </c>
    </row>
    <row r="1246" spans="1:3" x14ac:dyDescent="0.25">
      <c r="A1246" t="s">
        <v>5</v>
      </c>
      <c r="B1246" s="1">
        <v>44942</v>
      </c>
      <c r="C1246">
        <v>8.2088999999999995E-2</v>
      </c>
    </row>
    <row r="1247" spans="1:3" x14ac:dyDescent="0.25">
      <c r="A1247" t="s">
        <v>5</v>
      </c>
      <c r="B1247" s="1">
        <v>44943</v>
      </c>
      <c r="C1247">
        <v>8.1517999999999993E-2</v>
      </c>
    </row>
    <row r="1248" spans="1:3" x14ac:dyDescent="0.25">
      <c r="A1248" t="s">
        <v>5</v>
      </c>
      <c r="B1248" s="1">
        <v>44944</v>
      </c>
      <c r="C1248">
        <v>8.4942000000000004E-2</v>
      </c>
    </row>
    <row r="1249" spans="1:3" x14ac:dyDescent="0.25">
      <c r="A1249" t="s">
        <v>5</v>
      </c>
      <c r="B1249" s="1">
        <v>44945</v>
      </c>
      <c r="C1249">
        <v>8.4102999999999997E-2</v>
      </c>
    </row>
    <row r="1250" spans="1:3" x14ac:dyDescent="0.25">
      <c r="A1250" t="s">
        <v>5</v>
      </c>
      <c r="B1250" s="1">
        <v>44946</v>
      </c>
      <c r="C1250">
        <v>8.6201E-2</v>
      </c>
    </row>
    <row r="1251" spans="1:3" x14ac:dyDescent="0.25">
      <c r="A1251" t="s">
        <v>5</v>
      </c>
      <c r="B1251" s="1">
        <v>44949</v>
      </c>
      <c r="C1251">
        <v>8.5781999999999997E-2</v>
      </c>
    </row>
    <row r="1252" spans="1:3" x14ac:dyDescent="0.25">
      <c r="A1252" t="s">
        <v>5</v>
      </c>
      <c r="B1252" s="1">
        <v>44950</v>
      </c>
      <c r="C1252">
        <v>8.5949999999999999E-2</v>
      </c>
    </row>
    <row r="1253" spans="1:3" x14ac:dyDescent="0.25">
      <c r="A1253" t="s">
        <v>5</v>
      </c>
      <c r="B1253" s="1">
        <v>44951</v>
      </c>
      <c r="C1253">
        <v>8.6873000000000006E-2</v>
      </c>
    </row>
    <row r="1254" spans="1:3" x14ac:dyDescent="0.25">
      <c r="A1254" t="s">
        <v>5</v>
      </c>
      <c r="B1254" s="1">
        <v>44952</v>
      </c>
      <c r="C1254">
        <v>8.8719999999999993E-2</v>
      </c>
    </row>
    <row r="1255" spans="1:3" x14ac:dyDescent="0.25">
      <c r="A1255" t="s">
        <v>5</v>
      </c>
      <c r="B1255" s="1">
        <v>44953</v>
      </c>
      <c r="C1255">
        <v>8.6621000000000004E-2</v>
      </c>
    </row>
    <row r="1256" spans="1:3" x14ac:dyDescent="0.25">
      <c r="A1256" t="s">
        <v>5</v>
      </c>
      <c r="B1256" s="1">
        <v>44956</v>
      </c>
      <c r="C1256">
        <v>8.5278000000000007E-2</v>
      </c>
    </row>
    <row r="1257" spans="1:3" x14ac:dyDescent="0.25">
      <c r="A1257" t="s">
        <v>5</v>
      </c>
      <c r="B1257" s="1">
        <v>44957</v>
      </c>
      <c r="C1257">
        <v>8.6957000000000007E-2</v>
      </c>
    </row>
    <row r="1258" spans="1:3" x14ac:dyDescent="0.25">
      <c r="A1258" t="s">
        <v>5</v>
      </c>
      <c r="B1258" s="1">
        <v>44958</v>
      </c>
      <c r="C1258">
        <v>8.788E-2</v>
      </c>
    </row>
    <row r="1259" spans="1:3" x14ac:dyDescent="0.25">
      <c r="A1259" t="s">
        <v>5</v>
      </c>
      <c r="B1259" s="1">
        <v>44959</v>
      </c>
      <c r="C1259">
        <v>9.1406000000000001E-2</v>
      </c>
    </row>
    <row r="1260" spans="1:3" x14ac:dyDescent="0.25">
      <c r="A1260" t="s">
        <v>5</v>
      </c>
      <c r="B1260" s="1">
        <v>44960</v>
      </c>
      <c r="C1260">
        <v>8.9727000000000001E-2</v>
      </c>
    </row>
    <row r="1261" spans="1:3" x14ac:dyDescent="0.25">
      <c r="A1261" t="s">
        <v>5</v>
      </c>
      <c r="B1261" s="1">
        <v>44963</v>
      </c>
      <c r="C1261">
        <v>9.0565999999999994E-2</v>
      </c>
    </row>
    <row r="1262" spans="1:3" x14ac:dyDescent="0.25">
      <c r="A1262" t="s">
        <v>5</v>
      </c>
      <c r="B1262" s="1">
        <v>44964</v>
      </c>
      <c r="C1262">
        <v>8.8803000000000007E-2</v>
      </c>
    </row>
    <row r="1263" spans="1:3" x14ac:dyDescent="0.25">
      <c r="A1263" t="s">
        <v>5</v>
      </c>
      <c r="B1263" s="1">
        <v>44965</v>
      </c>
      <c r="C1263">
        <v>8.6537000000000003E-2</v>
      </c>
    </row>
    <row r="1264" spans="1:3" x14ac:dyDescent="0.25">
      <c r="A1264" t="s">
        <v>5</v>
      </c>
      <c r="B1264" s="1">
        <v>44966</v>
      </c>
      <c r="C1264">
        <v>8.6453000000000002E-2</v>
      </c>
    </row>
    <row r="1265" spans="1:3" x14ac:dyDescent="0.25">
      <c r="A1265" t="s">
        <v>5</v>
      </c>
      <c r="B1265" s="1">
        <v>44967</v>
      </c>
      <c r="C1265">
        <v>8.4775000000000003E-2</v>
      </c>
    </row>
    <row r="1266" spans="1:3" x14ac:dyDescent="0.25">
      <c r="A1266" t="s">
        <v>5</v>
      </c>
      <c r="B1266" s="1">
        <v>44970</v>
      </c>
      <c r="C1266">
        <v>8.6789000000000005E-2</v>
      </c>
    </row>
    <row r="1267" spans="1:3" x14ac:dyDescent="0.25">
      <c r="A1267" t="s">
        <v>5</v>
      </c>
      <c r="B1267" s="1">
        <v>44971</v>
      </c>
      <c r="C1267">
        <v>8.8719999999999993E-2</v>
      </c>
    </row>
    <row r="1268" spans="1:3" x14ac:dyDescent="0.25">
      <c r="A1268" t="s">
        <v>5</v>
      </c>
      <c r="B1268" s="1">
        <v>44972</v>
      </c>
      <c r="C1268">
        <v>9.2328999999999994E-2</v>
      </c>
    </row>
    <row r="1269" spans="1:3" x14ac:dyDescent="0.25">
      <c r="A1269" t="s">
        <v>5</v>
      </c>
      <c r="B1269" s="1">
        <v>44973</v>
      </c>
      <c r="C1269">
        <v>9.8708000000000004E-2</v>
      </c>
    </row>
    <row r="1270" spans="1:3" x14ac:dyDescent="0.25">
      <c r="A1270" t="s">
        <v>5</v>
      </c>
      <c r="B1270" s="1">
        <v>44974</v>
      </c>
      <c r="C1270">
        <v>9.7281000000000006E-2</v>
      </c>
    </row>
    <row r="1271" spans="1:3" x14ac:dyDescent="0.25">
      <c r="A1271" t="s">
        <v>5</v>
      </c>
      <c r="B1271" s="1">
        <v>44977</v>
      </c>
      <c r="C1271">
        <v>9.7113000000000005E-2</v>
      </c>
    </row>
    <row r="1272" spans="1:3" x14ac:dyDescent="0.25">
      <c r="A1272" t="s">
        <v>5</v>
      </c>
      <c r="B1272" s="1">
        <v>44978</v>
      </c>
      <c r="C1272">
        <v>9.9378999999999995E-2</v>
      </c>
    </row>
    <row r="1273" spans="1:3" x14ac:dyDescent="0.25">
      <c r="A1273" t="s">
        <v>5</v>
      </c>
      <c r="B1273" s="1">
        <v>44979</v>
      </c>
      <c r="C1273">
        <v>9.5937999999999996E-2</v>
      </c>
    </row>
    <row r="1274" spans="1:3" x14ac:dyDescent="0.25">
      <c r="A1274" t="s">
        <v>5</v>
      </c>
      <c r="B1274" s="1">
        <v>44980</v>
      </c>
      <c r="C1274">
        <v>9.7532999999999995E-2</v>
      </c>
    </row>
    <row r="1275" spans="1:3" x14ac:dyDescent="0.25">
      <c r="A1275" t="s">
        <v>5</v>
      </c>
      <c r="B1275" s="1">
        <v>44981</v>
      </c>
      <c r="C1275">
        <v>9.3923999999999994E-2</v>
      </c>
    </row>
    <row r="1276" spans="1:3" x14ac:dyDescent="0.25">
      <c r="A1276" t="s">
        <v>5</v>
      </c>
      <c r="B1276" s="1">
        <v>44984</v>
      </c>
      <c r="C1276">
        <v>9.6021999999999996E-2</v>
      </c>
    </row>
    <row r="1277" spans="1:3" x14ac:dyDescent="0.25">
      <c r="A1277" t="s">
        <v>5</v>
      </c>
      <c r="B1277" s="1">
        <v>44985</v>
      </c>
      <c r="C1277">
        <v>9.5099000000000003E-2</v>
      </c>
    </row>
    <row r="1278" spans="1:3" x14ac:dyDescent="0.25">
      <c r="A1278" t="s">
        <v>5</v>
      </c>
      <c r="B1278" s="1">
        <v>44986</v>
      </c>
      <c r="C1278">
        <v>9.3168000000000001E-2</v>
      </c>
    </row>
    <row r="1279" spans="1:3" x14ac:dyDescent="0.25">
      <c r="A1279" t="s">
        <v>5</v>
      </c>
      <c r="B1279" s="1">
        <v>44987</v>
      </c>
      <c r="C1279">
        <v>9.2831999999999998E-2</v>
      </c>
    </row>
    <row r="1280" spans="1:3" x14ac:dyDescent="0.25">
      <c r="A1280" t="s">
        <v>5</v>
      </c>
      <c r="B1280" s="1">
        <v>44988</v>
      </c>
      <c r="C1280">
        <v>9.5685999999999993E-2</v>
      </c>
    </row>
    <row r="1281" spans="1:3" x14ac:dyDescent="0.25">
      <c r="A1281" t="s">
        <v>5</v>
      </c>
      <c r="B1281" s="1">
        <v>44991</v>
      </c>
      <c r="C1281">
        <v>9.6105999999999997E-2</v>
      </c>
    </row>
    <row r="1282" spans="1:3" x14ac:dyDescent="0.25">
      <c r="A1282" t="s">
        <v>5</v>
      </c>
      <c r="B1282" s="1">
        <v>44992</v>
      </c>
      <c r="C1282">
        <v>9.7700999999999996E-2</v>
      </c>
    </row>
    <row r="1283" spans="1:3" x14ac:dyDescent="0.25">
      <c r="A1283" t="s">
        <v>5</v>
      </c>
      <c r="B1283" s="1">
        <v>44993</v>
      </c>
      <c r="C1283">
        <v>9.8372000000000001E-2</v>
      </c>
    </row>
    <row r="1284" spans="1:3" x14ac:dyDescent="0.25">
      <c r="A1284" t="s">
        <v>5</v>
      </c>
      <c r="B1284" s="1">
        <v>44994</v>
      </c>
      <c r="C1284">
        <v>9.8372000000000001E-2</v>
      </c>
    </row>
    <row r="1285" spans="1:3" x14ac:dyDescent="0.25">
      <c r="A1285" t="s">
        <v>5</v>
      </c>
      <c r="B1285" s="1">
        <v>44995</v>
      </c>
      <c r="C1285">
        <v>9.5602000000000006E-2</v>
      </c>
    </row>
    <row r="1286" spans="1:3" x14ac:dyDescent="0.25">
      <c r="A1286" t="s">
        <v>5</v>
      </c>
      <c r="B1286" s="1">
        <v>44998</v>
      </c>
      <c r="C1286">
        <v>9.1489000000000001E-2</v>
      </c>
    </row>
    <row r="1287" spans="1:3" x14ac:dyDescent="0.25">
      <c r="A1287" t="s">
        <v>5</v>
      </c>
      <c r="B1287" s="1">
        <v>44999</v>
      </c>
      <c r="C1287">
        <v>9.1657000000000002E-2</v>
      </c>
    </row>
    <row r="1288" spans="1:3" x14ac:dyDescent="0.25">
      <c r="A1288" t="s">
        <v>5</v>
      </c>
      <c r="B1288" s="1">
        <v>45000</v>
      </c>
      <c r="C1288">
        <v>8.5445999999999994E-2</v>
      </c>
    </row>
    <row r="1289" spans="1:3" x14ac:dyDescent="0.25">
      <c r="A1289" t="s">
        <v>5</v>
      </c>
      <c r="B1289" s="1">
        <v>45001</v>
      </c>
      <c r="C1289">
        <v>8.5278000000000007E-2</v>
      </c>
    </row>
    <row r="1290" spans="1:3" x14ac:dyDescent="0.25">
      <c r="A1290" t="s">
        <v>5</v>
      </c>
      <c r="B1290" s="1">
        <v>45002</v>
      </c>
      <c r="C1290">
        <v>8.3331000000000002E-2</v>
      </c>
    </row>
    <row r="1291" spans="1:3" x14ac:dyDescent="0.25">
      <c r="A1291" t="s">
        <v>5</v>
      </c>
      <c r="B1291" s="1">
        <v>45005</v>
      </c>
      <c r="C1291">
        <v>8.4439E-2</v>
      </c>
    </row>
    <row r="1292" spans="1:3" x14ac:dyDescent="0.25">
      <c r="A1292" t="s">
        <v>5</v>
      </c>
      <c r="B1292" s="1">
        <v>45006</v>
      </c>
      <c r="C1292">
        <v>8.7711999999999998E-2</v>
      </c>
    </row>
    <row r="1293" spans="1:3" x14ac:dyDescent="0.25">
      <c r="A1293" t="s">
        <v>5</v>
      </c>
      <c r="B1293" s="1">
        <v>45007</v>
      </c>
      <c r="C1293">
        <v>8.7208999999999995E-2</v>
      </c>
    </row>
    <row r="1294" spans="1:3" x14ac:dyDescent="0.25">
      <c r="A1294" t="s">
        <v>5</v>
      </c>
      <c r="B1294" s="1">
        <v>45008</v>
      </c>
      <c r="C1294">
        <v>8.5949999999999999E-2</v>
      </c>
    </row>
    <row r="1295" spans="1:3" x14ac:dyDescent="0.25">
      <c r="A1295" t="s">
        <v>5</v>
      </c>
      <c r="B1295" s="1">
        <v>45009</v>
      </c>
      <c r="C1295">
        <v>8.3934999999999996E-2</v>
      </c>
    </row>
    <row r="1296" spans="1:3" x14ac:dyDescent="0.25">
      <c r="A1296" t="s">
        <v>5</v>
      </c>
      <c r="B1296" s="1">
        <v>45012</v>
      </c>
      <c r="C1296">
        <v>8.3699999999999997E-2</v>
      </c>
    </row>
    <row r="1297" spans="1:3" x14ac:dyDescent="0.25">
      <c r="A1297" t="s">
        <v>5</v>
      </c>
      <c r="B1297" s="1">
        <v>45013</v>
      </c>
      <c r="C1297">
        <v>8.3229999999999998E-2</v>
      </c>
    </row>
    <row r="1298" spans="1:3" x14ac:dyDescent="0.25">
      <c r="A1298" t="s">
        <v>5</v>
      </c>
      <c r="B1298" s="1">
        <v>45014</v>
      </c>
      <c r="C1298">
        <v>8.4439E-2</v>
      </c>
    </row>
    <row r="1299" spans="1:3" x14ac:dyDescent="0.25">
      <c r="A1299" t="s">
        <v>5</v>
      </c>
      <c r="B1299" s="1">
        <v>45015</v>
      </c>
      <c r="C1299">
        <v>8.6201E-2</v>
      </c>
    </row>
    <row r="1300" spans="1:3" x14ac:dyDescent="0.25">
      <c r="A1300" t="s">
        <v>5</v>
      </c>
      <c r="B1300" s="1">
        <v>45016</v>
      </c>
      <c r="C1300">
        <v>8.5949999999999999E-2</v>
      </c>
    </row>
    <row r="1301" spans="1:3" x14ac:dyDescent="0.25">
      <c r="A1301" t="s">
        <v>5</v>
      </c>
      <c r="B1301" s="1">
        <v>45019</v>
      </c>
      <c r="C1301">
        <v>8.5613999999999996E-2</v>
      </c>
    </row>
    <row r="1302" spans="1:3" x14ac:dyDescent="0.25">
      <c r="A1302" t="s">
        <v>5</v>
      </c>
      <c r="B1302" s="1">
        <v>45020</v>
      </c>
      <c r="C1302">
        <v>8.5697999999999996E-2</v>
      </c>
    </row>
    <row r="1303" spans="1:3" x14ac:dyDescent="0.25">
      <c r="A1303" t="s">
        <v>5</v>
      </c>
      <c r="B1303" s="1">
        <v>45021</v>
      </c>
      <c r="C1303">
        <v>8.5026000000000004E-2</v>
      </c>
    </row>
    <row r="1304" spans="1:3" x14ac:dyDescent="0.25">
      <c r="A1304" t="s">
        <v>5</v>
      </c>
      <c r="B1304" s="1">
        <v>45022</v>
      </c>
      <c r="C1304">
        <v>8.5865999999999998E-2</v>
      </c>
    </row>
    <row r="1305" spans="1:3" x14ac:dyDescent="0.25">
      <c r="A1305" t="s">
        <v>5</v>
      </c>
      <c r="B1305" s="1">
        <v>45027</v>
      </c>
      <c r="C1305">
        <v>8.6285000000000001E-2</v>
      </c>
    </row>
    <row r="1306" spans="1:3" x14ac:dyDescent="0.25">
      <c r="A1306" t="s">
        <v>5</v>
      </c>
      <c r="B1306" s="1">
        <v>45028</v>
      </c>
      <c r="C1306">
        <v>8.1785999999999998E-2</v>
      </c>
    </row>
    <row r="1307" spans="1:3" x14ac:dyDescent="0.25">
      <c r="A1307" t="s">
        <v>5</v>
      </c>
      <c r="B1307" s="1">
        <v>45029</v>
      </c>
      <c r="C1307">
        <v>8.2826999999999998E-2</v>
      </c>
    </row>
    <row r="1308" spans="1:3" x14ac:dyDescent="0.25">
      <c r="A1308" t="s">
        <v>5</v>
      </c>
      <c r="B1308" s="1">
        <v>45030</v>
      </c>
      <c r="C1308">
        <v>8.2658999999999996E-2</v>
      </c>
    </row>
    <row r="1309" spans="1:3" x14ac:dyDescent="0.25">
      <c r="A1309" t="s">
        <v>5</v>
      </c>
      <c r="B1309" s="1">
        <v>45033</v>
      </c>
      <c r="C1309">
        <v>8.4859000000000004E-2</v>
      </c>
    </row>
    <row r="1310" spans="1:3" x14ac:dyDescent="0.25">
      <c r="A1310" t="s">
        <v>5</v>
      </c>
      <c r="B1310" s="1">
        <v>45034</v>
      </c>
      <c r="C1310">
        <v>8.5949999999999999E-2</v>
      </c>
    </row>
    <row r="1311" spans="1:3" x14ac:dyDescent="0.25">
      <c r="A1311" t="s">
        <v>5</v>
      </c>
      <c r="B1311" s="1">
        <v>45035</v>
      </c>
      <c r="C1311">
        <v>8.5613999999999996E-2</v>
      </c>
    </row>
    <row r="1312" spans="1:3" x14ac:dyDescent="0.25">
      <c r="A1312" t="s">
        <v>5</v>
      </c>
      <c r="B1312" s="1">
        <v>45036</v>
      </c>
      <c r="C1312">
        <v>8.3766999999999994E-2</v>
      </c>
    </row>
    <row r="1313" spans="1:3" x14ac:dyDescent="0.25">
      <c r="A1313" t="s">
        <v>5</v>
      </c>
      <c r="B1313" s="1">
        <v>45037</v>
      </c>
      <c r="C1313">
        <v>8.0879999999999994E-2</v>
      </c>
    </row>
    <row r="1314" spans="1:3" x14ac:dyDescent="0.25">
      <c r="A1314" t="s">
        <v>5</v>
      </c>
      <c r="B1314" s="1">
        <v>45040</v>
      </c>
      <c r="C1314">
        <v>8.3531999999999995E-2</v>
      </c>
    </row>
    <row r="1315" spans="1:3" x14ac:dyDescent="0.25">
      <c r="A1315" t="s">
        <v>5</v>
      </c>
      <c r="B1315" s="1">
        <v>45041</v>
      </c>
      <c r="C1315">
        <v>8.0376000000000003E-2</v>
      </c>
    </row>
    <row r="1316" spans="1:3" x14ac:dyDescent="0.25">
      <c r="A1316" t="s">
        <v>5</v>
      </c>
      <c r="B1316" s="1">
        <v>45042</v>
      </c>
      <c r="C1316">
        <v>8.0409999999999995E-2</v>
      </c>
    </row>
    <row r="1317" spans="1:3" x14ac:dyDescent="0.25">
      <c r="A1317" t="s">
        <v>5</v>
      </c>
      <c r="B1317" s="1">
        <v>45043</v>
      </c>
      <c r="C1317">
        <v>8.4607000000000002E-2</v>
      </c>
    </row>
    <row r="1318" spans="1:3" x14ac:dyDescent="0.25">
      <c r="A1318" t="s">
        <v>5</v>
      </c>
      <c r="B1318" s="1">
        <v>45044</v>
      </c>
      <c r="C1318">
        <v>8.9138999999999996E-2</v>
      </c>
    </row>
    <row r="1319" spans="1:3" x14ac:dyDescent="0.25">
      <c r="A1319" t="s">
        <v>5</v>
      </c>
      <c r="B1319" s="1">
        <v>45048</v>
      </c>
      <c r="C1319">
        <v>8.8048000000000001E-2</v>
      </c>
    </row>
    <row r="1320" spans="1:3" x14ac:dyDescent="0.25">
      <c r="A1320" t="s">
        <v>5</v>
      </c>
      <c r="B1320" s="1">
        <v>45049</v>
      </c>
      <c r="C1320">
        <v>8.7627999999999998E-2</v>
      </c>
    </row>
    <row r="1321" spans="1:3" x14ac:dyDescent="0.25">
      <c r="A1321" t="s">
        <v>5</v>
      </c>
      <c r="B1321" s="1">
        <v>45050</v>
      </c>
      <c r="C1321">
        <v>8.7543999999999997E-2</v>
      </c>
    </row>
    <row r="1322" spans="1:3" x14ac:dyDescent="0.25">
      <c r="A1322" t="s">
        <v>5</v>
      </c>
      <c r="B1322" s="1">
        <v>45051</v>
      </c>
      <c r="C1322">
        <v>9.1573000000000002E-2</v>
      </c>
    </row>
    <row r="1323" spans="1:3" x14ac:dyDescent="0.25">
      <c r="A1323" t="s">
        <v>5</v>
      </c>
      <c r="B1323" s="1">
        <v>45054</v>
      </c>
      <c r="C1323">
        <v>9.0817999999999996E-2</v>
      </c>
    </row>
    <row r="1324" spans="1:3" x14ac:dyDescent="0.25">
      <c r="A1324" t="s">
        <v>5</v>
      </c>
      <c r="B1324" s="1">
        <v>45055</v>
      </c>
      <c r="C1324">
        <v>9.1069999999999998E-2</v>
      </c>
    </row>
    <row r="1325" spans="1:3" x14ac:dyDescent="0.25">
      <c r="A1325" t="s">
        <v>5</v>
      </c>
      <c r="B1325" s="1">
        <v>45056</v>
      </c>
      <c r="C1325">
        <v>8.9895000000000003E-2</v>
      </c>
    </row>
    <row r="1326" spans="1:3" x14ac:dyDescent="0.25">
      <c r="A1326" t="s">
        <v>5</v>
      </c>
      <c r="B1326" s="1">
        <v>45057</v>
      </c>
      <c r="C1326">
        <v>8.9054999999999995E-2</v>
      </c>
    </row>
    <row r="1327" spans="1:3" x14ac:dyDescent="0.25">
      <c r="A1327" t="s">
        <v>5</v>
      </c>
      <c r="B1327" s="1">
        <v>45058</v>
      </c>
      <c r="C1327">
        <v>8.7711999999999998E-2</v>
      </c>
    </row>
    <row r="1328" spans="1:3" x14ac:dyDescent="0.25">
      <c r="A1328" t="s">
        <v>5</v>
      </c>
      <c r="B1328" s="1">
        <v>45061</v>
      </c>
      <c r="C1328">
        <v>8.9643E-2</v>
      </c>
    </row>
    <row r="1329" spans="1:3" x14ac:dyDescent="0.25">
      <c r="A1329" t="s">
        <v>5</v>
      </c>
      <c r="B1329" s="1">
        <v>45062</v>
      </c>
      <c r="C1329">
        <v>9.1825000000000004E-2</v>
      </c>
    </row>
    <row r="1330" spans="1:3" x14ac:dyDescent="0.25">
      <c r="A1330" t="s">
        <v>5</v>
      </c>
      <c r="B1330" s="1">
        <v>45063</v>
      </c>
      <c r="C1330">
        <v>9.5685999999999993E-2</v>
      </c>
    </row>
    <row r="1331" spans="1:3" x14ac:dyDescent="0.25">
      <c r="A1331" t="s">
        <v>5</v>
      </c>
      <c r="B1331" s="1">
        <v>45065</v>
      </c>
      <c r="C1331">
        <v>9.5853999999999995E-2</v>
      </c>
    </row>
    <row r="1332" spans="1:3" x14ac:dyDescent="0.25">
      <c r="A1332" t="s">
        <v>5</v>
      </c>
      <c r="B1332" s="1">
        <v>45068</v>
      </c>
      <c r="C1332">
        <v>9.7281000000000006E-2</v>
      </c>
    </row>
    <row r="1333" spans="1:3" x14ac:dyDescent="0.25">
      <c r="A1333" t="s">
        <v>5</v>
      </c>
      <c r="B1333" s="1">
        <v>45069</v>
      </c>
      <c r="C1333">
        <v>9.6693000000000001E-2</v>
      </c>
    </row>
    <row r="1334" spans="1:3" x14ac:dyDescent="0.25">
      <c r="A1334" t="s">
        <v>5</v>
      </c>
      <c r="B1334" s="1">
        <v>45070</v>
      </c>
      <c r="C1334">
        <v>9.5685999999999993E-2</v>
      </c>
    </row>
    <row r="1335" spans="1:3" x14ac:dyDescent="0.25">
      <c r="A1335" t="s">
        <v>5</v>
      </c>
      <c r="B1335" s="1">
        <v>45071</v>
      </c>
      <c r="C1335">
        <v>9.5937999999999996E-2</v>
      </c>
    </row>
    <row r="1336" spans="1:3" x14ac:dyDescent="0.25">
      <c r="A1336" t="s">
        <v>5</v>
      </c>
      <c r="B1336" s="1">
        <v>45072</v>
      </c>
      <c r="C1336">
        <v>9.5853999999999995E-2</v>
      </c>
    </row>
    <row r="1337" spans="1:3" x14ac:dyDescent="0.25">
      <c r="A1337" t="s">
        <v>5</v>
      </c>
      <c r="B1337" s="1">
        <v>45075</v>
      </c>
      <c r="C1337">
        <v>9.5434000000000005E-2</v>
      </c>
    </row>
    <row r="1338" spans="1:3" x14ac:dyDescent="0.25">
      <c r="A1338" t="s">
        <v>5</v>
      </c>
      <c r="B1338" s="1">
        <v>45076</v>
      </c>
      <c r="C1338">
        <v>9.6105999999999997E-2</v>
      </c>
    </row>
    <row r="1339" spans="1:3" x14ac:dyDescent="0.25">
      <c r="A1339" t="s">
        <v>5</v>
      </c>
      <c r="B1339" s="1">
        <v>45077</v>
      </c>
      <c r="C1339">
        <v>9.5685999999999993E-2</v>
      </c>
    </row>
    <row r="1340" spans="1:3" x14ac:dyDescent="0.25">
      <c r="A1340" t="s">
        <v>5</v>
      </c>
      <c r="B1340" s="1">
        <v>45078</v>
      </c>
      <c r="C1340">
        <v>9.1573000000000002E-2</v>
      </c>
    </row>
    <row r="1341" spans="1:3" x14ac:dyDescent="0.25">
      <c r="A1341" t="s">
        <v>5</v>
      </c>
      <c r="B1341" s="1">
        <v>45079</v>
      </c>
      <c r="C1341">
        <v>9.2580999999999997E-2</v>
      </c>
    </row>
    <row r="1342" spans="1:3" x14ac:dyDescent="0.25">
      <c r="A1342" t="s">
        <v>5</v>
      </c>
      <c r="B1342" s="1">
        <v>45082</v>
      </c>
      <c r="C1342">
        <v>9.1741000000000003E-2</v>
      </c>
    </row>
    <row r="1343" spans="1:3" x14ac:dyDescent="0.25">
      <c r="A1343" t="s">
        <v>5</v>
      </c>
      <c r="B1343" s="1">
        <v>45083</v>
      </c>
      <c r="C1343">
        <v>9.2580999999999997E-2</v>
      </c>
    </row>
    <row r="1344" spans="1:3" x14ac:dyDescent="0.25">
      <c r="A1344" t="s">
        <v>5</v>
      </c>
      <c r="B1344" s="1">
        <v>45084</v>
      </c>
      <c r="C1344">
        <v>9.3923999999999994E-2</v>
      </c>
    </row>
    <row r="1345" spans="1:3" x14ac:dyDescent="0.25">
      <c r="A1345" t="s">
        <v>5</v>
      </c>
      <c r="B1345" s="1">
        <v>45085</v>
      </c>
      <c r="C1345">
        <v>9.1993000000000005E-2</v>
      </c>
    </row>
    <row r="1346" spans="1:3" x14ac:dyDescent="0.25">
      <c r="A1346" t="s">
        <v>5</v>
      </c>
      <c r="B1346" s="1">
        <v>45086</v>
      </c>
      <c r="C1346">
        <v>9.1825000000000004E-2</v>
      </c>
    </row>
    <row r="1347" spans="1:3" x14ac:dyDescent="0.25">
      <c r="A1347" t="s">
        <v>5</v>
      </c>
      <c r="B1347" s="1">
        <v>45089</v>
      </c>
      <c r="C1347">
        <v>9.3756000000000006E-2</v>
      </c>
    </row>
    <row r="1348" spans="1:3" x14ac:dyDescent="0.25">
      <c r="A1348" t="s">
        <v>5</v>
      </c>
      <c r="B1348" s="1">
        <v>45090</v>
      </c>
      <c r="C1348">
        <v>9.7532999999999995E-2</v>
      </c>
    </row>
    <row r="1349" spans="1:3" x14ac:dyDescent="0.25">
      <c r="A1349" t="s">
        <v>5</v>
      </c>
      <c r="B1349" s="1">
        <v>45091</v>
      </c>
      <c r="C1349">
        <v>9.7951999999999997E-2</v>
      </c>
    </row>
    <row r="1350" spans="1:3" x14ac:dyDescent="0.25">
      <c r="A1350" t="s">
        <v>5</v>
      </c>
      <c r="B1350" s="1">
        <v>45092</v>
      </c>
      <c r="C1350">
        <v>9.8456000000000002E-2</v>
      </c>
    </row>
    <row r="1351" spans="1:3" x14ac:dyDescent="0.25">
      <c r="A1351" t="s">
        <v>5</v>
      </c>
      <c r="B1351" s="1">
        <v>45093</v>
      </c>
      <c r="C1351">
        <v>9.8708000000000004E-2</v>
      </c>
    </row>
    <row r="1352" spans="1:3" x14ac:dyDescent="0.25">
      <c r="A1352" t="s">
        <v>5</v>
      </c>
      <c r="B1352" s="1">
        <v>45096</v>
      </c>
      <c r="C1352">
        <v>9.8456000000000002E-2</v>
      </c>
    </row>
    <row r="1353" spans="1:3" x14ac:dyDescent="0.25">
      <c r="A1353" t="s">
        <v>5</v>
      </c>
      <c r="B1353" s="1">
        <v>45097</v>
      </c>
      <c r="C1353">
        <v>9.7281000000000006E-2</v>
      </c>
    </row>
    <row r="1354" spans="1:3" x14ac:dyDescent="0.25">
      <c r="A1354" t="s">
        <v>5</v>
      </c>
      <c r="B1354" s="1">
        <v>45098</v>
      </c>
      <c r="C1354">
        <v>9.6861000000000003E-2</v>
      </c>
    </row>
    <row r="1355" spans="1:3" x14ac:dyDescent="0.25">
      <c r="A1355" t="s">
        <v>5</v>
      </c>
      <c r="B1355" s="1">
        <v>45099</v>
      </c>
      <c r="C1355">
        <v>9.8204E-2</v>
      </c>
    </row>
    <row r="1356" spans="1:3" x14ac:dyDescent="0.25">
      <c r="A1356" t="s">
        <v>5</v>
      </c>
      <c r="B1356" s="1">
        <v>45103</v>
      </c>
      <c r="C1356">
        <v>9.1825000000000004E-2</v>
      </c>
    </row>
    <row r="1357" spans="1:3" x14ac:dyDescent="0.25">
      <c r="A1357" t="s">
        <v>5</v>
      </c>
      <c r="B1357" s="1">
        <v>45104</v>
      </c>
      <c r="C1357">
        <v>9.2244999999999994E-2</v>
      </c>
    </row>
    <row r="1358" spans="1:3" x14ac:dyDescent="0.25">
      <c r="A1358" t="s">
        <v>5</v>
      </c>
      <c r="B1358" s="1">
        <v>45105</v>
      </c>
      <c r="C1358">
        <v>9.7197000000000006E-2</v>
      </c>
    </row>
    <row r="1359" spans="1:3" x14ac:dyDescent="0.25">
      <c r="A1359" t="s">
        <v>5</v>
      </c>
      <c r="B1359" s="1">
        <v>45106</v>
      </c>
      <c r="C1359">
        <v>9.5769999999999994E-2</v>
      </c>
    </row>
    <row r="1360" spans="1:3" x14ac:dyDescent="0.25">
      <c r="A1360" t="s">
        <v>5</v>
      </c>
      <c r="B1360" s="1">
        <v>45107</v>
      </c>
      <c r="C1360">
        <v>9.4931000000000001E-2</v>
      </c>
    </row>
    <row r="1361" spans="1:3" x14ac:dyDescent="0.25">
      <c r="A1361" t="s">
        <v>5</v>
      </c>
      <c r="B1361" s="1">
        <v>45110</v>
      </c>
      <c r="C1361">
        <v>9.4847000000000001E-2</v>
      </c>
    </row>
    <row r="1362" spans="1:3" x14ac:dyDescent="0.25">
      <c r="A1362" t="s">
        <v>5</v>
      </c>
      <c r="B1362" s="1">
        <v>45111</v>
      </c>
      <c r="C1362">
        <v>9.4763E-2</v>
      </c>
    </row>
    <row r="1363" spans="1:3" x14ac:dyDescent="0.25">
      <c r="A1363" t="s">
        <v>5</v>
      </c>
      <c r="B1363" s="1">
        <v>45112</v>
      </c>
      <c r="C1363">
        <v>9.4931000000000001E-2</v>
      </c>
    </row>
    <row r="1364" spans="1:3" x14ac:dyDescent="0.25">
      <c r="A1364" t="s">
        <v>5</v>
      </c>
      <c r="B1364" s="1">
        <v>45113</v>
      </c>
      <c r="C1364">
        <v>9.3504000000000004E-2</v>
      </c>
    </row>
    <row r="1365" spans="1:3" x14ac:dyDescent="0.25">
      <c r="A1365" t="s">
        <v>5</v>
      </c>
      <c r="B1365" s="1">
        <v>45114</v>
      </c>
      <c r="C1365">
        <v>9.6105999999999997E-2</v>
      </c>
    </row>
    <row r="1366" spans="1:3" x14ac:dyDescent="0.25">
      <c r="A1366" t="s">
        <v>5</v>
      </c>
      <c r="B1366" s="1">
        <v>45117</v>
      </c>
      <c r="C1366">
        <v>9.6357999999999999E-2</v>
      </c>
    </row>
    <row r="1367" spans="1:3" x14ac:dyDescent="0.25">
      <c r="A1367" t="s">
        <v>5</v>
      </c>
      <c r="B1367" s="1">
        <v>45118</v>
      </c>
      <c r="C1367">
        <v>9.7197000000000006E-2</v>
      </c>
    </row>
    <row r="1368" spans="1:3" x14ac:dyDescent="0.25">
      <c r="A1368" t="s">
        <v>5</v>
      </c>
      <c r="B1368" s="1">
        <v>45119</v>
      </c>
      <c r="C1368">
        <v>9.7197000000000006E-2</v>
      </c>
    </row>
    <row r="1369" spans="1:3" x14ac:dyDescent="0.25">
      <c r="A1369" t="s">
        <v>5</v>
      </c>
      <c r="B1369" s="1">
        <v>45120</v>
      </c>
      <c r="C1369">
        <v>9.3756000000000006E-2</v>
      </c>
    </row>
    <row r="1370" spans="1:3" x14ac:dyDescent="0.25">
      <c r="A1370" t="s">
        <v>5</v>
      </c>
      <c r="B1370" s="1">
        <v>45121</v>
      </c>
      <c r="C1370">
        <v>9.2328999999999994E-2</v>
      </c>
    </row>
    <row r="1371" spans="1:3" x14ac:dyDescent="0.25">
      <c r="A1371" t="s">
        <v>5</v>
      </c>
      <c r="B1371" s="1">
        <v>45124</v>
      </c>
      <c r="C1371">
        <v>9.1825000000000004E-2</v>
      </c>
    </row>
    <row r="1372" spans="1:3" x14ac:dyDescent="0.25">
      <c r="A1372" t="s">
        <v>5</v>
      </c>
      <c r="B1372" s="1">
        <v>45125</v>
      </c>
      <c r="C1372">
        <v>9.1825000000000004E-2</v>
      </c>
    </row>
    <row r="1373" spans="1:3" x14ac:dyDescent="0.25">
      <c r="A1373" t="s">
        <v>5</v>
      </c>
      <c r="B1373" s="1">
        <v>45126</v>
      </c>
      <c r="C1373">
        <v>9.3336000000000002E-2</v>
      </c>
    </row>
    <row r="1374" spans="1:3" x14ac:dyDescent="0.25">
      <c r="A1374" t="s">
        <v>5</v>
      </c>
      <c r="B1374" s="1">
        <v>45127</v>
      </c>
      <c r="C1374">
        <v>9.5267000000000004E-2</v>
      </c>
    </row>
    <row r="1375" spans="1:3" x14ac:dyDescent="0.25">
      <c r="A1375" t="s">
        <v>5</v>
      </c>
      <c r="B1375" s="1">
        <v>45128</v>
      </c>
      <c r="C1375">
        <v>9.7868999999999998E-2</v>
      </c>
    </row>
    <row r="1376" spans="1:3" x14ac:dyDescent="0.25">
      <c r="A1376" t="s">
        <v>5</v>
      </c>
      <c r="B1376" s="1">
        <v>45131</v>
      </c>
      <c r="C1376">
        <v>9.7113000000000005E-2</v>
      </c>
    </row>
    <row r="1377" spans="1:3" x14ac:dyDescent="0.25">
      <c r="A1377" t="s">
        <v>5</v>
      </c>
      <c r="B1377" s="1">
        <v>45132</v>
      </c>
      <c r="C1377">
        <v>9.5267000000000004E-2</v>
      </c>
    </row>
    <row r="1378" spans="1:3" x14ac:dyDescent="0.25">
      <c r="A1378" t="s">
        <v>5</v>
      </c>
      <c r="B1378" s="1">
        <v>45133</v>
      </c>
      <c r="C1378">
        <v>9.6526000000000001E-2</v>
      </c>
    </row>
    <row r="1379" spans="1:3" x14ac:dyDescent="0.25">
      <c r="A1379" t="s">
        <v>5</v>
      </c>
      <c r="B1379" s="1">
        <v>45134</v>
      </c>
      <c r="C1379">
        <v>9.6693000000000001E-2</v>
      </c>
    </row>
    <row r="1380" spans="1:3" x14ac:dyDescent="0.25">
      <c r="A1380" t="s">
        <v>5</v>
      </c>
      <c r="B1380" s="1">
        <v>45135</v>
      </c>
      <c r="C1380">
        <v>9.5350000000000004E-2</v>
      </c>
    </row>
    <row r="1381" spans="1:3" x14ac:dyDescent="0.25">
      <c r="A1381" t="s">
        <v>5</v>
      </c>
      <c r="B1381" s="1">
        <v>45138</v>
      </c>
      <c r="C1381">
        <v>9.4594999999999999E-2</v>
      </c>
    </row>
    <row r="1382" spans="1:3" x14ac:dyDescent="0.25">
      <c r="A1382" t="s">
        <v>5</v>
      </c>
      <c r="B1382" s="1">
        <v>45139</v>
      </c>
      <c r="C1382">
        <v>9.4763E-2</v>
      </c>
    </row>
    <row r="1383" spans="1:3" x14ac:dyDescent="0.25">
      <c r="A1383" t="s">
        <v>5</v>
      </c>
      <c r="B1383" s="1">
        <v>45140</v>
      </c>
      <c r="C1383">
        <v>9.2915999999999999E-2</v>
      </c>
    </row>
    <row r="1384" spans="1:3" x14ac:dyDescent="0.25">
      <c r="A1384" t="s">
        <v>5</v>
      </c>
      <c r="B1384" s="1">
        <v>45141</v>
      </c>
      <c r="C1384">
        <v>9.2664999999999997E-2</v>
      </c>
    </row>
    <row r="1385" spans="1:3" x14ac:dyDescent="0.25">
      <c r="A1385" t="s">
        <v>5</v>
      </c>
      <c r="B1385" s="1">
        <v>45142</v>
      </c>
      <c r="C1385">
        <v>9.4510999999999998E-2</v>
      </c>
    </row>
    <row r="1386" spans="1:3" x14ac:dyDescent="0.25">
      <c r="A1386" t="s">
        <v>5</v>
      </c>
      <c r="B1386" s="1">
        <v>45145</v>
      </c>
      <c r="C1386">
        <v>9.5183000000000004E-2</v>
      </c>
    </row>
    <row r="1387" spans="1:3" x14ac:dyDescent="0.25">
      <c r="A1387" t="s">
        <v>5</v>
      </c>
      <c r="B1387" s="1">
        <v>45146</v>
      </c>
      <c r="C1387">
        <v>9.6189999999999998E-2</v>
      </c>
    </row>
    <row r="1388" spans="1:3" x14ac:dyDescent="0.25">
      <c r="A1388" t="s">
        <v>5</v>
      </c>
      <c r="B1388" s="1">
        <v>45147</v>
      </c>
      <c r="C1388">
        <v>9.4342999999999996E-2</v>
      </c>
    </row>
    <row r="1389" spans="1:3" x14ac:dyDescent="0.25">
      <c r="A1389" t="s">
        <v>5</v>
      </c>
      <c r="B1389" s="1">
        <v>45148</v>
      </c>
      <c r="C1389">
        <v>9.4007999999999994E-2</v>
      </c>
    </row>
    <row r="1390" spans="1:3" x14ac:dyDescent="0.25">
      <c r="A1390" t="s">
        <v>5</v>
      </c>
      <c r="B1390" s="1">
        <v>45149</v>
      </c>
      <c r="C1390">
        <v>9.3336000000000002E-2</v>
      </c>
    </row>
    <row r="1391" spans="1:3" x14ac:dyDescent="0.25">
      <c r="A1391" t="s">
        <v>5</v>
      </c>
      <c r="B1391" s="1">
        <v>45152</v>
      </c>
      <c r="C1391">
        <v>9.2161000000000007E-2</v>
      </c>
    </row>
    <row r="1392" spans="1:3" x14ac:dyDescent="0.25">
      <c r="A1392" t="s">
        <v>5</v>
      </c>
      <c r="B1392" s="1">
        <v>45153</v>
      </c>
      <c r="C1392">
        <v>9.1993000000000005E-2</v>
      </c>
    </row>
    <row r="1393" spans="1:3" x14ac:dyDescent="0.25">
      <c r="A1393" t="s">
        <v>5</v>
      </c>
      <c r="B1393" s="1">
        <v>45154</v>
      </c>
      <c r="C1393">
        <v>9.1153999999999999E-2</v>
      </c>
    </row>
    <row r="1394" spans="1:3" x14ac:dyDescent="0.25">
      <c r="A1394" t="s">
        <v>5</v>
      </c>
      <c r="B1394" s="1">
        <v>45155</v>
      </c>
      <c r="C1394">
        <v>9.1322E-2</v>
      </c>
    </row>
    <row r="1395" spans="1:3" x14ac:dyDescent="0.25">
      <c r="A1395" t="s">
        <v>5</v>
      </c>
      <c r="B1395" s="1">
        <v>45156</v>
      </c>
      <c r="C1395">
        <v>9.0314000000000005E-2</v>
      </c>
    </row>
    <row r="1396" spans="1:3" x14ac:dyDescent="0.25">
      <c r="A1396" t="s">
        <v>5</v>
      </c>
      <c r="B1396" s="1">
        <v>45159</v>
      </c>
      <c r="C1396">
        <v>8.4186999999999998E-2</v>
      </c>
    </row>
    <row r="1397" spans="1:3" x14ac:dyDescent="0.25">
      <c r="A1397" t="s">
        <v>5</v>
      </c>
      <c r="B1397" s="1">
        <v>45160</v>
      </c>
      <c r="C1397">
        <v>8.4607000000000002E-2</v>
      </c>
    </row>
    <row r="1398" spans="1:3" x14ac:dyDescent="0.25">
      <c r="A1398" t="s">
        <v>5</v>
      </c>
      <c r="B1398" s="1">
        <v>45161</v>
      </c>
      <c r="C1398">
        <v>8.6369000000000001E-2</v>
      </c>
    </row>
    <row r="1399" spans="1:3" x14ac:dyDescent="0.25">
      <c r="A1399" t="s">
        <v>5</v>
      </c>
      <c r="B1399" s="1">
        <v>45162</v>
      </c>
      <c r="C1399">
        <v>8.4186999999999998E-2</v>
      </c>
    </row>
    <row r="1400" spans="1:3" x14ac:dyDescent="0.25">
      <c r="A1400" t="s">
        <v>5</v>
      </c>
      <c r="B1400" s="1">
        <v>45163</v>
      </c>
      <c r="C1400">
        <v>8.3902000000000004E-2</v>
      </c>
    </row>
    <row r="1401" spans="1:3" x14ac:dyDescent="0.25">
      <c r="A1401" t="s">
        <v>5</v>
      </c>
      <c r="B1401" s="1">
        <v>45166</v>
      </c>
      <c r="C1401">
        <v>8.5529999999999995E-2</v>
      </c>
    </row>
    <row r="1402" spans="1:3" x14ac:dyDescent="0.25">
      <c r="A1402" t="s">
        <v>5</v>
      </c>
      <c r="B1402" s="1">
        <v>45167</v>
      </c>
      <c r="C1402">
        <v>8.5781999999999997E-2</v>
      </c>
    </row>
    <row r="1403" spans="1:3" x14ac:dyDescent="0.25">
      <c r="A1403" t="s">
        <v>5</v>
      </c>
      <c r="B1403" s="1">
        <v>45168</v>
      </c>
      <c r="C1403">
        <v>8.5445999999999994E-2</v>
      </c>
    </row>
    <row r="1404" spans="1:3" x14ac:dyDescent="0.25">
      <c r="A1404" t="s">
        <v>5</v>
      </c>
      <c r="B1404" s="1">
        <v>45169</v>
      </c>
      <c r="C1404">
        <v>8.6621000000000004E-2</v>
      </c>
    </row>
    <row r="1405" spans="1:3" x14ac:dyDescent="0.25">
      <c r="A1405" t="s">
        <v>5</v>
      </c>
      <c r="B1405" s="1">
        <v>45170</v>
      </c>
      <c r="C1405">
        <v>8.6537000000000003E-2</v>
      </c>
    </row>
    <row r="1406" spans="1:3" x14ac:dyDescent="0.25">
      <c r="A1406" t="s">
        <v>5</v>
      </c>
      <c r="B1406" s="1">
        <v>45173</v>
      </c>
      <c r="C1406">
        <v>8.8048000000000001E-2</v>
      </c>
    </row>
    <row r="1407" spans="1:3" x14ac:dyDescent="0.25">
      <c r="A1407" t="s">
        <v>5</v>
      </c>
      <c r="B1407" s="1">
        <v>45174</v>
      </c>
      <c r="C1407">
        <v>8.8970999999999995E-2</v>
      </c>
    </row>
    <row r="1408" spans="1:3" x14ac:dyDescent="0.25">
      <c r="A1408" t="s">
        <v>5</v>
      </c>
      <c r="B1408" s="1">
        <v>45175</v>
      </c>
      <c r="C1408">
        <v>8.8970999999999995E-2</v>
      </c>
    </row>
    <row r="1409" spans="1:3" x14ac:dyDescent="0.25">
      <c r="A1409" t="s">
        <v>5</v>
      </c>
      <c r="B1409" s="1">
        <v>45176</v>
      </c>
      <c r="C1409">
        <v>8.9811000000000002E-2</v>
      </c>
    </row>
    <row r="1410" spans="1:3" x14ac:dyDescent="0.25">
      <c r="A1410" t="s">
        <v>5</v>
      </c>
      <c r="B1410" s="1">
        <v>45177</v>
      </c>
      <c r="C1410">
        <v>9.0985999999999997E-2</v>
      </c>
    </row>
    <row r="1411" spans="1:3" x14ac:dyDescent="0.25">
      <c r="A1411" t="s">
        <v>5</v>
      </c>
      <c r="B1411" s="1">
        <v>45180</v>
      </c>
      <c r="C1411">
        <v>9.1657000000000002E-2</v>
      </c>
    </row>
    <row r="1412" spans="1:3" x14ac:dyDescent="0.25">
      <c r="A1412" t="s">
        <v>5</v>
      </c>
      <c r="B1412" s="1">
        <v>45181</v>
      </c>
      <c r="C1412">
        <v>9.1825000000000004E-2</v>
      </c>
    </row>
    <row r="1413" spans="1:3" x14ac:dyDescent="0.25">
      <c r="A1413" t="s">
        <v>5</v>
      </c>
      <c r="B1413" s="1">
        <v>45182</v>
      </c>
      <c r="C1413">
        <v>8.9643E-2</v>
      </c>
    </row>
    <row r="1414" spans="1:3" x14ac:dyDescent="0.25">
      <c r="A1414" t="s">
        <v>5</v>
      </c>
      <c r="B1414" s="1">
        <v>45183</v>
      </c>
      <c r="C1414">
        <v>8.9390999999999998E-2</v>
      </c>
    </row>
    <row r="1415" spans="1:3" x14ac:dyDescent="0.25">
      <c r="A1415" t="s">
        <v>5</v>
      </c>
      <c r="B1415" s="1">
        <v>45184</v>
      </c>
      <c r="C1415">
        <v>9.0565999999999994E-2</v>
      </c>
    </row>
    <row r="1416" spans="1:3" x14ac:dyDescent="0.25">
      <c r="A1416" t="s">
        <v>5</v>
      </c>
      <c r="B1416" s="1">
        <v>45187</v>
      </c>
      <c r="C1416">
        <v>8.9390999999999998E-2</v>
      </c>
    </row>
    <row r="1417" spans="1:3" x14ac:dyDescent="0.25">
      <c r="A1417" t="s">
        <v>5</v>
      </c>
      <c r="B1417" s="1">
        <v>45188</v>
      </c>
      <c r="C1417">
        <v>8.9222999999999997E-2</v>
      </c>
    </row>
    <row r="1418" spans="1:3" x14ac:dyDescent="0.25">
      <c r="A1418" t="s">
        <v>5</v>
      </c>
      <c r="B1418" s="1">
        <v>45189</v>
      </c>
      <c r="C1418">
        <v>8.9306999999999997E-2</v>
      </c>
    </row>
    <row r="1419" spans="1:3" x14ac:dyDescent="0.25">
      <c r="A1419" t="s">
        <v>5</v>
      </c>
      <c r="B1419" s="1">
        <v>45190</v>
      </c>
      <c r="C1419">
        <v>8.8886999999999994E-2</v>
      </c>
    </row>
    <row r="1420" spans="1:3" x14ac:dyDescent="0.25">
      <c r="A1420" t="s">
        <v>5</v>
      </c>
      <c r="B1420" s="1">
        <v>45191</v>
      </c>
      <c r="C1420">
        <v>8.7627999999999998E-2</v>
      </c>
    </row>
    <row r="1421" spans="1:3" x14ac:dyDescent="0.25">
      <c r="A1421" t="s">
        <v>5</v>
      </c>
      <c r="B1421" s="1">
        <v>45194</v>
      </c>
      <c r="C1421">
        <v>8.6621000000000004E-2</v>
      </c>
    </row>
    <row r="1422" spans="1:3" x14ac:dyDescent="0.25">
      <c r="A1422" t="s">
        <v>5</v>
      </c>
      <c r="B1422" s="1">
        <v>45195</v>
      </c>
      <c r="C1422">
        <v>8.6033999999999999E-2</v>
      </c>
    </row>
    <row r="1423" spans="1:3" x14ac:dyDescent="0.25">
      <c r="A1423" t="s">
        <v>5</v>
      </c>
      <c r="B1423" s="1">
        <v>45196</v>
      </c>
      <c r="C1423">
        <v>8.6369000000000001E-2</v>
      </c>
    </row>
    <row r="1424" spans="1:3" x14ac:dyDescent="0.25">
      <c r="A1424" t="s">
        <v>5</v>
      </c>
      <c r="B1424" s="1">
        <v>45197</v>
      </c>
      <c r="C1424">
        <v>8.6537000000000003E-2</v>
      </c>
    </row>
    <row r="1425" spans="1:3" x14ac:dyDescent="0.25">
      <c r="A1425" t="s">
        <v>5</v>
      </c>
      <c r="B1425" s="1">
        <v>45198</v>
      </c>
      <c r="C1425">
        <v>8.6621000000000004E-2</v>
      </c>
    </row>
    <row r="1426" spans="1:3" x14ac:dyDescent="0.25">
      <c r="A1426" t="s">
        <v>5</v>
      </c>
      <c r="B1426" s="1">
        <v>45201</v>
      </c>
      <c r="C1426">
        <v>8.7543999999999997E-2</v>
      </c>
    </row>
    <row r="1427" spans="1:3" x14ac:dyDescent="0.25">
      <c r="A1427" t="s">
        <v>5</v>
      </c>
      <c r="B1427" s="1">
        <v>45202</v>
      </c>
      <c r="C1427">
        <v>8.6285000000000001E-2</v>
      </c>
    </row>
    <row r="1428" spans="1:3" x14ac:dyDescent="0.25">
      <c r="A1428" t="s">
        <v>5</v>
      </c>
      <c r="B1428" s="1">
        <v>45203</v>
      </c>
      <c r="C1428">
        <v>8.6369000000000001E-2</v>
      </c>
    </row>
    <row r="1429" spans="1:3" x14ac:dyDescent="0.25">
      <c r="A1429" t="s">
        <v>5</v>
      </c>
      <c r="B1429" s="1">
        <v>45204</v>
      </c>
      <c r="C1429">
        <v>8.7795999999999999E-2</v>
      </c>
    </row>
    <row r="1430" spans="1:3" x14ac:dyDescent="0.25">
      <c r="A1430" t="s">
        <v>5</v>
      </c>
      <c r="B1430" s="1">
        <v>45205</v>
      </c>
      <c r="C1430">
        <v>6.5805000000000002E-2</v>
      </c>
    </row>
    <row r="1431" spans="1:3" x14ac:dyDescent="0.25">
      <c r="A1431" t="s">
        <v>5</v>
      </c>
      <c r="B1431" s="1">
        <v>45208</v>
      </c>
      <c r="C1431">
        <v>6.4764000000000002E-2</v>
      </c>
    </row>
    <row r="1432" spans="1:3" x14ac:dyDescent="0.25">
      <c r="A1432" t="s">
        <v>5</v>
      </c>
      <c r="B1432" s="1">
        <v>45209</v>
      </c>
      <c r="C1432">
        <v>6.3286999999999996E-2</v>
      </c>
    </row>
    <row r="1433" spans="1:3" x14ac:dyDescent="0.25">
      <c r="A1433" t="s">
        <v>5</v>
      </c>
      <c r="B1433" s="1">
        <v>45210</v>
      </c>
      <c r="C1433">
        <v>5.8755000000000002E-2</v>
      </c>
    </row>
    <row r="1434" spans="1:3" x14ac:dyDescent="0.25">
      <c r="A1434" t="s">
        <v>5</v>
      </c>
      <c r="B1434" s="1">
        <v>45211</v>
      </c>
      <c r="C1434">
        <v>5.9392E-2</v>
      </c>
    </row>
    <row r="1435" spans="1:3" x14ac:dyDescent="0.25">
      <c r="A1435" t="s">
        <v>5</v>
      </c>
      <c r="B1435" s="1">
        <v>45212</v>
      </c>
      <c r="C1435">
        <v>5.7915000000000001E-2</v>
      </c>
    </row>
    <row r="1436" spans="1:3" x14ac:dyDescent="0.25">
      <c r="A1436" t="s">
        <v>5</v>
      </c>
      <c r="B1436" s="1">
        <v>45215</v>
      </c>
      <c r="C1436">
        <v>5.6605999999999997E-2</v>
      </c>
    </row>
    <row r="1437" spans="1:3" x14ac:dyDescent="0.25">
      <c r="A1437" t="s">
        <v>5</v>
      </c>
      <c r="B1437" s="1">
        <v>45216</v>
      </c>
      <c r="C1437">
        <v>5.4390000000000001E-2</v>
      </c>
    </row>
    <row r="1438" spans="1:3" x14ac:dyDescent="0.25">
      <c r="A1438" t="s">
        <v>5</v>
      </c>
      <c r="B1438" s="1">
        <v>45217</v>
      </c>
      <c r="C1438">
        <v>5.3483000000000003E-2</v>
      </c>
    </row>
    <row r="1439" spans="1:3" x14ac:dyDescent="0.25">
      <c r="A1439" t="s">
        <v>5</v>
      </c>
      <c r="B1439" s="1">
        <v>45218</v>
      </c>
      <c r="C1439">
        <v>5.2879000000000002E-2</v>
      </c>
    </row>
    <row r="1440" spans="1:3" x14ac:dyDescent="0.25">
      <c r="A1440" t="s">
        <v>5</v>
      </c>
      <c r="B1440" s="1">
        <v>45219</v>
      </c>
      <c r="C1440">
        <v>5.2845000000000003E-2</v>
      </c>
    </row>
    <row r="1441" spans="1:3" x14ac:dyDescent="0.25">
      <c r="A1441" t="s">
        <v>5</v>
      </c>
      <c r="B1441" s="1">
        <v>45222</v>
      </c>
      <c r="C1441">
        <v>5.2275000000000002E-2</v>
      </c>
    </row>
    <row r="1442" spans="1:3" x14ac:dyDescent="0.25">
      <c r="A1442" t="s">
        <v>5</v>
      </c>
      <c r="B1442" s="1">
        <v>45223</v>
      </c>
      <c r="C1442">
        <v>5.5028000000000001E-2</v>
      </c>
    </row>
    <row r="1443" spans="1:3" x14ac:dyDescent="0.25">
      <c r="A1443" t="s">
        <v>5</v>
      </c>
      <c r="B1443" s="1">
        <v>45224</v>
      </c>
      <c r="C1443">
        <v>5.4121000000000002E-2</v>
      </c>
    </row>
    <row r="1444" spans="1:3" x14ac:dyDescent="0.25">
      <c r="A1444" t="s">
        <v>5</v>
      </c>
      <c r="B1444" s="1">
        <v>45225</v>
      </c>
      <c r="C1444">
        <v>5.2476000000000002E-2</v>
      </c>
    </row>
    <row r="1445" spans="1:3" x14ac:dyDescent="0.25">
      <c r="A1445" t="s">
        <v>5</v>
      </c>
      <c r="B1445" s="1">
        <v>45226</v>
      </c>
      <c r="C1445">
        <v>4.7405999999999997E-2</v>
      </c>
    </row>
    <row r="1446" spans="1:3" x14ac:dyDescent="0.25">
      <c r="A1446" t="s">
        <v>5</v>
      </c>
      <c r="B1446" s="1">
        <v>45229</v>
      </c>
      <c r="C1446">
        <v>6.7599999999999993E-2</v>
      </c>
    </row>
    <row r="1447" spans="1:3" x14ac:dyDescent="0.25">
      <c r="A1447" t="s">
        <v>5</v>
      </c>
      <c r="B1447" s="1">
        <v>45230</v>
      </c>
      <c r="C1447">
        <v>5.7599999999999998E-2</v>
      </c>
    </row>
    <row r="1448" spans="1:3" x14ac:dyDescent="0.25">
      <c r="A1448" t="s">
        <v>5</v>
      </c>
      <c r="B1448" s="1">
        <v>45231</v>
      </c>
      <c r="C1448">
        <v>5.0900000000000001E-2</v>
      </c>
    </row>
    <row r="1449" spans="1:3" x14ac:dyDescent="0.25">
      <c r="A1449" t="s">
        <v>5</v>
      </c>
      <c r="B1449" s="1">
        <v>45232</v>
      </c>
      <c r="C1449">
        <v>5.6000000000000001E-2</v>
      </c>
    </row>
    <row r="1450" spans="1:3" x14ac:dyDescent="0.25">
      <c r="A1450" t="s">
        <v>5</v>
      </c>
      <c r="B1450" s="1">
        <v>45233</v>
      </c>
      <c r="C1450">
        <v>5.1900000000000002E-2</v>
      </c>
    </row>
    <row r="1451" spans="1:3" x14ac:dyDescent="0.25">
      <c r="A1451" t="s">
        <v>5</v>
      </c>
      <c r="B1451" s="1">
        <v>45236</v>
      </c>
      <c r="C1451">
        <v>4.9200000000000001E-2</v>
      </c>
    </row>
    <row r="1452" spans="1:3" x14ac:dyDescent="0.25">
      <c r="A1452" t="s">
        <v>5</v>
      </c>
      <c r="B1452" s="1">
        <v>45237</v>
      </c>
      <c r="C1452">
        <v>4.7E-2</v>
      </c>
    </row>
    <row r="1453" spans="1:3" x14ac:dyDescent="0.25">
      <c r="A1453" t="s">
        <v>5</v>
      </c>
      <c r="B1453" s="1">
        <v>45238</v>
      </c>
      <c r="C1453">
        <v>4.7600000000000003E-2</v>
      </c>
    </row>
    <row r="1454" spans="1:3" x14ac:dyDescent="0.25">
      <c r="A1454" t="s">
        <v>5</v>
      </c>
      <c r="B1454" s="1">
        <v>45239</v>
      </c>
      <c r="C1454">
        <v>4.7899999999999998E-2</v>
      </c>
    </row>
    <row r="1455" spans="1:3" x14ac:dyDescent="0.25">
      <c r="A1455" t="s">
        <v>5</v>
      </c>
      <c r="B1455" s="1">
        <v>45240</v>
      </c>
      <c r="C1455">
        <v>4.4999999999999998E-2</v>
      </c>
    </row>
    <row r="1456" spans="1:3" x14ac:dyDescent="0.25">
      <c r="A1456" t="s">
        <v>5</v>
      </c>
      <c r="B1456" s="1">
        <v>45243</v>
      </c>
      <c r="C1456">
        <v>4.7399999999999998E-2</v>
      </c>
    </row>
    <row r="1457" spans="1:3" x14ac:dyDescent="0.25">
      <c r="A1457" t="s">
        <v>5</v>
      </c>
      <c r="B1457" s="1">
        <v>45244</v>
      </c>
      <c r="C1457">
        <v>4.7E-2</v>
      </c>
    </row>
    <row r="1458" spans="1:3" x14ac:dyDescent="0.25">
      <c r="A1458" t="s">
        <v>5</v>
      </c>
      <c r="B1458" s="1">
        <v>45245</v>
      </c>
      <c r="C1458">
        <v>4.6800000000000001E-2</v>
      </c>
    </row>
    <row r="1459" spans="1:3" x14ac:dyDescent="0.25">
      <c r="A1459" t="s">
        <v>5</v>
      </c>
      <c r="B1459" s="1">
        <v>45246</v>
      </c>
      <c r="C1459">
        <v>4.6899999999999997E-2</v>
      </c>
    </row>
    <row r="1460" spans="1:3" x14ac:dyDescent="0.25">
      <c r="A1460" t="s">
        <v>5</v>
      </c>
      <c r="B1460" s="1">
        <v>45247</v>
      </c>
      <c r="C1460">
        <v>4.7699999999999999E-2</v>
      </c>
    </row>
    <row r="1461" spans="1:3" x14ac:dyDescent="0.25">
      <c r="A1461" t="s">
        <v>5</v>
      </c>
      <c r="B1461" s="1">
        <v>45250</v>
      </c>
      <c r="C1461">
        <v>5.1499999999999997E-2</v>
      </c>
    </row>
    <row r="1462" spans="1:3" x14ac:dyDescent="0.25">
      <c r="A1462" t="s">
        <v>5</v>
      </c>
      <c r="B1462" s="1">
        <v>45251</v>
      </c>
      <c r="C1462">
        <v>5.04E-2</v>
      </c>
    </row>
    <row r="1463" spans="1:3" x14ac:dyDescent="0.25">
      <c r="A1463" t="s">
        <v>5</v>
      </c>
      <c r="B1463" s="1">
        <v>45252</v>
      </c>
      <c r="C1463">
        <v>4.3799999999999999E-2</v>
      </c>
    </row>
    <row r="1464" spans="1:3" x14ac:dyDescent="0.25">
      <c r="A1464" t="s">
        <v>5</v>
      </c>
      <c r="B1464" s="1">
        <v>45253</v>
      </c>
      <c r="C1464">
        <v>3.44E-2</v>
      </c>
    </row>
    <row r="1465" spans="1:3" x14ac:dyDescent="0.25">
      <c r="A1465" t="s">
        <v>5</v>
      </c>
      <c r="B1465" s="1">
        <v>45254</v>
      </c>
      <c r="C1465">
        <v>3.3799999999999997E-2</v>
      </c>
    </row>
    <row r="1466" spans="1:3" x14ac:dyDescent="0.25">
      <c r="A1466" t="s">
        <v>5</v>
      </c>
      <c r="B1466" s="1">
        <v>45257</v>
      </c>
      <c r="C1466">
        <v>3.4299999999999997E-2</v>
      </c>
    </row>
    <row r="1467" spans="1:3" x14ac:dyDescent="0.25">
      <c r="A1467" t="s">
        <v>5</v>
      </c>
      <c r="B1467" s="1">
        <v>45258</v>
      </c>
      <c r="C1467">
        <v>3.4099999999999998E-2</v>
      </c>
    </row>
    <row r="1468" spans="1:3" x14ac:dyDescent="0.25">
      <c r="A1468" t="s">
        <v>5</v>
      </c>
      <c r="B1468" s="1">
        <v>45259</v>
      </c>
      <c r="C1468">
        <v>3.5000000000000003E-2</v>
      </c>
    </row>
    <row r="1469" spans="1:3" x14ac:dyDescent="0.25">
      <c r="A1469" t="s">
        <v>5</v>
      </c>
      <c r="B1469" s="1">
        <v>45260</v>
      </c>
      <c r="C1469">
        <v>3.7199999999999997E-2</v>
      </c>
    </row>
    <row r="1470" spans="1:3" x14ac:dyDescent="0.25">
      <c r="A1470" t="s">
        <v>5</v>
      </c>
      <c r="B1470" s="1">
        <v>45261</v>
      </c>
      <c r="C1470">
        <v>3.7199999999999997E-2</v>
      </c>
    </row>
    <row r="1471" spans="1:3" x14ac:dyDescent="0.25">
      <c r="A1471" t="s">
        <v>5</v>
      </c>
      <c r="B1471" s="1">
        <v>45264</v>
      </c>
      <c r="C1471">
        <v>3.6600000000000001E-2</v>
      </c>
    </row>
    <row r="1472" spans="1:3" x14ac:dyDescent="0.25">
      <c r="A1472" t="s">
        <v>5</v>
      </c>
      <c r="B1472" s="1">
        <v>45265</v>
      </c>
      <c r="C1472">
        <v>3.6400000000000002E-2</v>
      </c>
    </row>
    <row r="1473" spans="1:3" x14ac:dyDescent="0.25">
      <c r="A1473" t="s">
        <v>5</v>
      </c>
      <c r="B1473" s="1">
        <v>45267</v>
      </c>
      <c r="C1473">
        <v>3.6900000000000002E-2</v>
      </c>
    </row>
    <row r="1474" spans="1:3" x14ac:dyDescent="0.25">
      <c r="A1474" t="s">
        <v>5</v>
      </c>
      <c r="B1474" s="1">
        <v>45268</v>
      </c>
      <c r="C1474">
        <v>3.7600000000000001E-2</v>
      </c>
    </row>
    <row r="1475" spans="1:3" x14ac:dyDescent="0.25">
      <c r="A1475" t="s">
        <v>5</v>
      </c>
      <c r="B1475" s="1">
        <v>45271</v>
      </c>
      <c r="C1475">
        <v>3.7600000000000001E-2</v>
      </c>
    </row>
    <row r="1476" spans="1:3" x14ac:dyDescent="0.25">
      <c r="A1476" t="s">
        <v>5</v>
      </c>
      <c r="B1476" s="1">
        <v>45272</v>
      </c>
      <c r="C1476">
        <v>3.7600000000000001E-2</v>
      </c>
    </row>
    <row r="1477" spans="1:3" x14ac:dyDescent="0.25">
      <c r="A1477" t="s">
        <v>5</v>
      </c>
      <c r="B1477" s="1">
        <v>45273</v>
      </c>
      <c r="C1477">
        <v>3.7499999999999999E-2</v>
      </c>
    </row>
    <row r="1478" spans="1:3" x14ac:dyDescent="0.25">
      <c r="A1478" t="s">
        <v>5</v>
      </c>
      <c r="B1478" s="1">
        <v>45274</v>
      </c>
      <c r="C1478">
        <v>3.78E-2</v>
      </c>
    </row>
    <row r="1479" spans="1:3" x14ac:dyDescent="0.25">
      <c r="A1479" t="s">
        <v>5</v>
      </c>
      <c r="B1479" s="1">
        <v>45275</v>
      </c>
      <c r="C1479">
        <v>3.78E-2</v>
      </c>
    </row>
    <row r="1480" spans="1:3" x14ac:dyDescent="0.25">
      <c r="A1480" t="s">
        <v>5</v>
      </c>
      <c r="B1480" s="1">
        <v>45278</v>
      </c>
      <c r="C1480">
        <v>3.7699999999999997E-2</v>
      </c>
    </row>
    <row r="1481" spans="1:3" x14ac:dyDescent="0.25">
      <c r="A1481" t="s">
        <v>5</v>
      </c>
      <c r="B1481" s="1">
        <v>45279</v>
      </c>
      <c r="C1481">
        <v>3.8100000000000002E-2</v>
      </c>
    </row>
    <row r="1482" spans="1:3" x14ac:dyDescent="0.25">
      <c r="A1482" t="s">
        <v>5</v>
      </c>
      <c r="B1482" s="1">
        <v>45280</v>
      </c>
      <c r="C1482">
        <v>3.7900000000000003E-2</v>
      </c>
    </row>
    <row r="1483" spans="1:3" x14ac:dyDescent="0.25">
      <c r="A1483" t="s">
        <v>5</v>
      </c>
      <c r="B1483" s="1">
        <v>45281</v>
      </c>
      <c r="C1483">
        <v>3.7600000000000001E-2</v>
      </c>
    </row>
    <row r="1484" spans="1:3" x14ac:dyDescent="0.25">
      <c r="A1484" t="s">
        <v>5</v>
      </c>
      <c r="B1484" s="1">
        <v>45282</v>
      </c>
      <c r="C1484">
        <v>3.85E-2</v>
      </c>
    </row>
    <row r="1485" spans="1:3" x14ac:dyDescent="0.25">
      <c r="A1485" t="s">
        <v>5</v>
      </c>
      <c r="B1485" s="1">
        <v>45287</v>
      </c>
      <c r="C1485">
        <v>3.8199999999999998E-2</v>
      </c>
    </row>
    <row r="1486" spans="1:3" x14ac:dyDescent="0.25">
      <c r="A1486" t="s">
        <v>5</v>
      </c>
      <c r="B1486" s="1">
        <v>45288</v>
      </c>
      <c r="C1486">
        <v>3.8399999999999997E-2</v>
      </c>
    </row>
    <row r="1487" spans="1:3" x14ac:dyDescent="0.25">
      <c r="A1487" t="s">
        <v>5</v>
      </c>
      <c r="B1487" s="1">
        <v>45289</v>
      </c>
      <c r="C1487">
        <v>3.9899999999999998E-2</v>
      </c>
    </row>
    <row r="1488" spans="1:3" x14ac:dyDescent="0.25">
      <c r="A1488" t="s">
        <v>5</v>
      </c>
      <c r="B1488" s="1">
        <v>45293</v>
      </c>
      <c r="C1488">
        <v>3.95E-2</v>
      </c>
    </row>
    <row r="1489" spans="1:3" x14ac:dyDescent="0.25">
      <c r="A1489" t="s">
        <v>5</v>
      </c>
      <c r="B1489" s="1">
        <v>45294</v>
      </c>
      <c r="C1489">
        <v>3.7900000000000003E-2</v>
      </c>
    </row>
    <row r="1490" spans="1:3" x14ac:dyDescent="0.25">
      <c r="A1490" t="s">
        <v>5</v>
      </c>
      <c r="B1490" s="1">
        <v>45295</v>
      </c>
      <c r="C1490">
        <v>3.8800000000000001E-2</v>
      </c>
    </row>
    <row r="1491" spans="1:3" x14ac:dyDescent="0.25">
      <c r="A1491" t="s">
        <v>5</v>
      </c>
      <c r="B1491" s="1">
        <v>45296</v>
      </c>
      <c r="C1491">
        <v>3.8800000000000001E-2</v>
      </c>
    </row>
    <row r="1492" spans="1:3" x14ac:dyDescent="0.25">
      <c r="A1492" t="s">
        <v>5</v>
      </c>
      <c r="B1492" s="1">
        <v>45299</v>
      </c>
      <c r="C1492">
        <v>3.7999999999999999E-2</v>
      </c>
    </row>
    <row r="1493" spans="1:3" x14ac:dyDescent="0.25">
      <c r="A1493" t="s">
        <v>5</v>
      </c>
      <c r="B1493" s="1">
        <v>45300</v>
      </c>
      <c r="C1493">
        <v>3.85E-2</v>
      </c>
    </row>
    <row r="1494" spans="1:3" x14ac:dyDescent="0.25">
      <c r="A1494" t="s">
        <v>5</v>
      </c>
      <c r="B1494" s="1">
        <v>45301</v>
      </c>
      <c r="C1494">
        <v>3.85E-2</v>
      </c>
    </row>
    <row r="1495" spans="1:3" x14ac:dyDescent="0.25">
      <c r="A1495" t="s">
        <v>5</v>
      </c>
      <c r="B1495" s="1">
        <v>45302</v>
      </c>
      <c r="C1495">
        <v>3.8899999999999997E-2</v>
      </c>
    </row>
    <row r="1496" spans="1:3" x14ac:dyDescent="0.25">
      <c r="A1496" t="s">
        <v>5</v>
      </c>
      <c r="B1496" s="1">
        <v>45303</v>
      </c>
      <c r="C1496">
        <v>3.85E-2</v>
      </c>
    </row>
    <row r="1497" spans="1:3" x14ac:dyDescent="0.25">
      <c r="A1497" t="s">
        <v>5</v>
      </c>
      <c r="B1497" s="1">
        <v>45306</v>
      </c>
      <c r="C1497">
        <v>3.7499999999999999E-2</v>
      </c>
    </row>
    <row r="1498" spans="1:3" x14ac:dyDescent="0.25">
      <c r="A1498" t="s">
        <v>5</v>
      </c>
      <c r="B1498" s="1">
        <v>45307</v>
      </c>
      <c r="C1498">
        <v>3.6700000000000003E-2</v>
      </c>
    </row>
    <row r="1499" spans="1:3" x14ac:dyDescent="0.25">
      <c r="A1499" t="s">
        <v>5</v>
      </c>
      <c r="B1499" s="1">
        <v>45308</v>
      </c>
      <c r="C1499">
        <v>3.6999999999999998E-2</v>
      </c>
    </row>
    <row r="1500" spans="1:3" x14ac:dyDescent="0.25">
      <c r="A1500" t="s">
        <v>5</v>
      </c>
      <c r="B1500" s="1">
        <v>45309</v>
      </c>
      <c r="C1500">
        <v>3.6499999999999998E-2</v>
      </c>
    </row>
    <row r="1501" spans="1:3" x14ac:dyDescent="0.25">
      <c r="A1501" t="s">
        <v>5</v>
      </c>
      <c r="B1501" s="1">
        <v>45310</v>
      </c>
      <c r="C1501">
        <v>3.5400000000000001E-2</v>
      </c>
    </row>
    <row r="1502" spans="1:3" x14ac:dyDescent="0.25">
      <c r="A1502" t="s">
        <v>5</v>
      </c>
      <c r="B1502" s="1">
        <v>45313</v>
      </c>
      <c r="C1502">
        <v>3.56E-2</v>
      </c>
    </row>
    <row r="1503" spans="1:3" x14ac:dyDescent="0.25">
      <c r="A1503" t="s">
        <v>5</v>
      </c>
      <c r="B1503" s="1">
        <v>45314</v>
      </c>
      <c r="C1503">
        <v>3.6499999999999998E-2</v>
      </c>
    </row>
    <row r="1504" spans="1:3" x14ac:dyDescent="0.25">
      <c r="A1504" t="s">
        <v>5</v>
      </c>
      <c r="B1504" s="1">
        <v>45315</v>
      </c>
      <c r="C1504">
        <v>3.7100000000000001E-2</v>
      </c>
    </row>
    <row r="1505" spans="1:3" x14ac:dyDescent="0.25">
      <c r="A1505" t="s">
        <v>5</v>
      </c>
      <c r="B1505" s="1">
        <v>45316</v>
      </c>
      <c r="C1505">
        <v>3.6799999999999999E-2</v>
      </c>
    </row>
    <row r="1506" spans="1:3" x14ac:dyDescent="0.25">
      <c r="A1506" t="s">
        <v>5</v>
      </c>
      <c r="B1506" s="1">
        <v>45317</v>
      </c>
      <c r="C1506">
        <v>3.6499999999999998E-2</v>
      </c>
    </row>
    <row r="1507" spans="1:3" x14ac:dyDescent="0.25">
      <c r="A1507" t="s">
        <v>5</v>
      </c>
      <c r="B1507" s="1">
        <v>45320</v>
      </c>
      <c r="C1507">
        <v>3.5900000000000001E-2</v>
      </c>
    </row>
    <row r="1508" spans="1:3" x14ac:dyDescent="0.25">
      <c r="A1508" t="s">
        <v>5</v>
      </c>
      <c r="B1508" s="1">
        <v>45321</v>
      </c>
      <c r="C1508">
        <v>3.5200000000000002E-2</v>
      </c>
    </row>
    <row r="1509" spans="1:3" x14ac:dyDescent="0.25">
      <c r="A1509" t="s">
        <v>5</v>
      </c>
      <c r="B1509" s="1">
        <v>45322</v>
      </c>
      <c r="C1509">
        <v>3.5400000000000001E-2</v>
      </c>
    </row>
    <row r="1510" spans="1:3" x14ac:dyDescent="0.25">
      <c r="A1510" t="s">
        <v>5</v>
      </c>
      <c r="B1510" s="1">
        <v>45323</v>
      </c>
      <c r="C1510">
        <v>3.4500000000000003E-2</v>
      </c>
    </row>
    <row r="1511" spans="1:3" x14ac:dyDescent="0.25">
      <c r="A1511" t="s">
        <v>5</v>
      </c>
      <c r="B1511" s="1">
        <v>45324</v>
      </c>
      <c r="C1511">
        <v>3.56E-2</v>
      </c>
    </row>
    <row r="1512" spans="1:3" x14ac:dyDescent="0.25">
      <c r="A1512" t="s">
        <v>5</v>
      </c>
      <c r="B1512" s="1">
        <v>45327</v>
      </c>
      <c r="C1512">
        <v>3.4599999999999999E-2</v>
      </c>
    </row>
    <row r="1513" spans="1:3" x14ac:dyDescent="0.25">
      <c r="A1513" t="s">
        <v>5</v>
      </c>
      <c r="B1513" s="1">
        <v>45328</v>
      </c>
      <c r="C1513">
        <v>3.5200000000000002E-2</v>
      </c>
    </row>
    <row r="1514" spans="1:3" x14ac:dyDescent="0.25">
      <c r="A1514" t="s">
        <v>5</v>
      </c>
      <c r="B1514" s="1">
        <v>45329</v>
      </c>
      <c r="C1514">
        <v>3.4299999999999997E-2</v>
      </c>
    </row>
    <row r="1515" spans="1:3" x14ac:dyDescent="0.25">
      <c r="A1515" t="s">
        <v>5</v>
      </c>
      <c r="B1515" s="1">
        <v>45330</v>
      </c>
      <c r="C1515">
        <v>3.5000000000000003E-2</v>
      </c>
    </row>
    <row r="1516" spans="1:3" x14ac:dyDescent="0.25">
      <c r="A1516" t="s">
        <v>5</v>
      </c>
      <c r="B1516" s="1">
        <v>45331</v>
      </c>
      <c r="C1516">
        <v>3.4299999999999997E-2</v>
      </c>
    </row>
    <row r="1517" spans="1:3" x14ac:dyDescent="0.25">
      <c r="A1517" t="s">
        <v>6</v>
      </c>
      <c r="B1517" s="1">
        <v>44603</v>
      </c>
      <c r="C1517">
        <v>21.393097000000001</v>
      </c>
    </row>
    <row r="1518" spans="1:3" x14ac:dyDescent="0.25">
      <c r="A1518" t="s">
        <v>6</v>
      </c>
      <c r="B1518" s="1">
        <v>44606</v>
      </c>
      <c r="C1518">
        <v>20.447498</v>
      </c>
    </row>
    <row r="1519" spans="1:3" x14ac:dyDescent="0.25">
      <c r="A1519" t="s">
        <v>6</v>
      </c>
      <c r="B1519" s="1">
        <v>44607</v>
      </c>
      <c r="C1519">
        <v>20.534251999999999</v>
      </c>
    </row>
    <row r="1520" spans="1:3" x14ac:dyDescent="0.25">
      <c r="A1520" t="s">
        <v>6</v>
      </c>
      <c r="B1520" s="1">
        <v>44608</v>
      </c>
      <c r="C1520">
        <v>20.178567999999999</v>
      </c>
    </row>
    <row r="1521" spans="1:3" x14ac:dyDescent="0.25">
      <c r="A1521" t="s">
        <v>6</v>
      </c>
      <c r="B1521" s="1">
        <v>44609</v>
      </c>
      <c r="C1521">
        <v>20.117842</v>
      </c>
    </row>
    <row r="1522" spans="1:3" x14ac:dyDescent="0.25">
      <c r="A1522" t="s">
        <v>6</v>
      </c>
      <c r="B1522" s="1">
        <v>44610</v>
      </c>
      <c r="C1522">
        <v>19.753481000000001</v>
      </c>
    </row>
    <row r="1523" spans="1:3" x14ac:dyDescent="0.25">
      <c r="A1523" t="s">
        <v>6</v>
      </c>
      <c r="B1523" s="1">
        <v>44613</v>
      </c>
      <c r="C1523">
        <v>19.007411999999999</v>
      </c>
    </row>
    <row r="1524" spans="1:3" x14ac:dyDescent="0.25">
      <c r="A1524" t="s">
        <v>6</v>
      </c>
      <c r="B1524" s="1">
        <v>44614</v>
      </c>
      <c r="C1524">
        <v>18.738479999999999</v>
      </c>
    </row>
    <row r="1525" spans="1:3" x14ac:dyDescent="0.25">
      <c r="A1525" t="s">
        <v>6</v>
      </c>
      <c r="B1525" s="1">
        <v>44615</v>
      </c>
      <c r="C1525">
        <v>17.896982000000001</v>
      </c>
    </row>
    <row r="1526" spans="1:3" x14ac:dyDescent="0.25">
      <c r="A1526" t="s">
        <v>6</v>
      </c>
      <c r="B1526" s="1">
        <v>44616</v>
      </c>
      <c r="C1526">
        <v>16.248691999999998</v>
      </c>
    </row>
    <row r="1527" spans="1:3" x14ac:dyDescent="0.25">
      <c r="A1527" t="s">
        <v>6</v>
      </c>
      <c r="B1527" s="1">
        <v>44617</v>
      </c>
      <c r="C1527">
        <v>16.886320000000001</v>
      </c>
    </row>
    <row r="1528" spans="1:3" x14ac:dyDescent="0.25">
      <c r="A1528" t="s">
        <v>6</v>
      </c>
      <c r="B1528" s="1">
        <v>44620</v>
      </c>
      <c r="C1528">
        <v>16.34412</v>
      </c>
    </row>
    <row r="1529" spans="1:3" x14ac:dyDescent="0.25">
      <c r="A1529" t="s">
        <v>6</v>
      </c>
      <c r="B1529" s="1">
        <v>44621</v>
      </c>
      <c r="C1529">
        <v>14.843306</v>
      </c>
    </row>
    <row r="1530" spans="1:3" x14ac:dyDescent="0.25">
      <c r="A1530" t="s">
        <v>6</v>
      </c>
      <c r="B1530" s="1">
        <v>44622</v>
      </c>
      <c r="C1530">
        <v>14.838967</v>
      </c>
    </row>
    <row r="1531" spans="1:3" x14ac:dyDescent="0.25">
      <c r="A1531" t="s">
        <v>6</v>
      </c>
      <c r="B1531" s="1">
        <v>44623</v>
      </c>
      <c r="C1531">
        <v>13.906382000000001</v>
      </c>
    </row>
    <row r="1532" spans="1:3" x14ac:dyDescent="0.25">
      <c r="A1532" t="s">
        <v>6</v>
      </c>
      <c r="B1532" s="1">
        <v>44624</v>
      </c>
      <c r="C1532">
        <v>13.234052</v>
      </c>
    </row>
    <row r="1533" spans="1:3" x14ac:dyDescent="0.25">
      <c r="A1533" t="s">
        <v>6</v>
      </c>
      <c r="B1533" s="1">
        <v>44627</v>
      </c>
      <c r="C1533">
        <v>13.498646000000001</v>
      </c>
    </row>
    <row r="1534" spans="1:3" x14ac:dyDescent="0.25">
      <c r="A1534" t="s">
        <v>6</v>
      </c>
      <c r="B1534" s="1">
        <v>44628</v>
      </c>
      <c r="C1534">
        <v>13.446593999999999</v>
      </c>
    </row>
    <row r="1535" spans="1:3" x14ac:dyDescent="0.25">
      <c r="A1535" t="s">
        <v>6</v>
      </c>
      <c r="B1535" s="1">
        <v>44629</v>
      </c>
      <c r="C1535">
        <v>14.257726999999999</v>
      </c>
    </row>
    <row r="1536" spans="1:3" x14ac:dyDescent="0.25">
      <c r="A1536" t="s">
        <v>6</v>
      </c>
      <c r="B1536" s="1">
        <v>44630</v>
      </c>
      <c r="C1536">
        <v>14.110249</v>
      </c>
    </row>
    <row r="1537" spans="1:3" x14ac:dyDescent="0.25">
      <c r="A1537" t="s">
        <v>6</v>
      </c>
      <c r="B1537" s="1">
        <v>44631</v>
      </c>
      <c r="C1537">
        <v>14.591723</v>
      </c>
    </row>
    <row r="1538" spans="1:3" x14ac:dyDescent="0.25">
      <c r="A1538" t="s">
        <v>6</v>
      </c>
      <c r="B1538" s="1">
        <v>44634</v>
      </c>
      <c r="C1538">
        <v>15.064524</v>
      </c>
    </row>
    <row r="1539" spans="1:3" x14ac:dyDescent="0.25">
      <c r="A1539" t="s">
        <v>6</v>
      </c>
      <c r="B1539" s="1">
        <v>44635</v>
      </c>
      <c r="C1539">
        <v>15.272728000000001</v>
      </c>
    </row>
    <row r="1540" spans="1:3" x14ac:dyDescent="0.25">
      <c r="A1540" t="s">
        <v>6</v>
      </c>
      <c r="B1540" s="1">
        <v>44636</v>
      </c>
      <c r="C1540">
        <v>15.810593000000001</v>
      </c>
    </row>
    <row r="1541" spans="1:3" x14ac:dyDescent="0.25">
      <c r="A1541" t="s">
        <v>6</v>
      </c>
      <c r="B1541" s="1">
        <v>44637</v>
      </c>
      <c r="C1541">
        <v>15.940721</v>
      </c>
    </row>
    <row r="1542" spans="1:3" x14ac:dyDescent="0.25">
      <c r="A1542" t="s">
        <v>6</v>
      </c>
      <c r="B1542" s="1">
        <v>44638</v>
      </c>
      <c r="C1542">
        <v>15.936384</v>
      </c>
    </row>
    <row r="1543" spans="1:3" x14ac:dyDescent="0.25">
      <c r="A1543" t="s">
        <v>6</v>
      </c>
      <c r="B1543" s="1">
        <v>44641</v>
      </c>
      <c r="C1543">
        <v>15.420207</v>
      </c>
    </row>
    <row r="1544" spans="1:3" x14ac:dyDescent="0.25">
      <c r="A1544" t="s">
        <v>6</v>
      </c>
      <c r="B1544" s="1">
        <v>44642</v>
      </c>
      <c r="C1544">
        <v>15.428882</v>
      </c>
    </row>
    <row r="1545" spans="1:3" x14ac:dyDescent="0.25">
      <c r="A1545" t="s">
        <v>6</v>
      </c>
      <c r="B1545" s="1">
        <v>44643</v>
      </c>
      <c r="C1545">
        <v>14.717515000000001</v>
      </c>
    </row>
    <row r="1546" spans="1:3" x14ac:dyDescent="0.25">
      <c r="A1546" t="s">
        <v>6</v>
      </c>
      <c r="B1546" s="1">
        <v>44644</v>
      </c>
      <c r="C1546">
        <v>14.491959</v>
      </c>
    </row>
    <row r="1547" spans="1:3" x14ac:dyDescent="0.25">
      <c r="A1547" t="s">
        <v>6</v>
      </c>
      <c r="B1547" s="1">
        <v>44645</v>
      </c>
      <c r="C1547">
        <v>14.39653</v>
      </c>
    </row>
    <row r="1548" spans="1:3" x14ac:dyDescent="0.25">
      <c r="A1548" t="s">
        <v>6</v>
      </c>
      <c r="B1548" s="1">
        <v>44648</v>
      </c>
      <c r="C1548">
        <v>14.704502</v>
      </c>
    </row>
    <row r="1549" spans="1:3" x14ac:dyDescent="0.25">
      <c r="A1549" t="s">
        <v>6</v>
      </c>
      <c r="B1549" s="1">
        <v>44649</v>
      </c>
      <c r="C1549">
        <v>15.713634000000001</v>
      </c>
    </row>
    <row r="1550" spans="1:3" x14ac:dyDescent="0.25">
      <c r="A1550" t="s">
        <v>6</v>
      </c>
      <c r="B1550" s="1">
        <v>44650</v>
      </c>
      <c r="C1550">
        <v>15.695031999999999</v>
      </c>
    </row>
    <row r="1551" spans="1:3" x14ac:dyDescent="0.25">
      <c r="A1551" t="s">
        <v>6</v>
      </c>
      <c r="B1551" s="1">
        <v>44651</v>
      </c>
      <c r="C1551">
        <v>15.374155999999999</v>
      </c>
    </row>
    <row r="1552" spans="1:3" x14ac:dyDescent="0.25">
      <c r="A1552" t="s">
        <v>6</v>
      </c>
      <c r="B1552" s="1">
        <v>44652</v>
      </c>
      <c r="C1552">
        <v>15.164889000000001</v>
      </c>
    </row>
    <row r="1553" spans="1:3" x14ac:dyDescent="0.25">
      <c r="A1553" t="s">
        <v>6</v>
      </c>
      <c r="B1553" s="1">
        <v>44655</v>
      </c>
      <c r="C1553">
        <v>15.281148999999999</v>
      </c>
    </row>
    <row r="1554" spans="1:3" x14ac:dyDescent="0.25">
      <c r="A1554" t="s">
        <v>6</v>
      </c>
      <c r="B1554" s="1">
        <v>44656</v>
      </c>
      <c r="C1554">
        <v>14.862615</v>
      </c>
    </row>
    <row r="1555" spans="1:3" x14ac:dyDescent="0.25">
      <c r="A1555" t="s">
        <v>6</v>
      </c>
      <c r="B1555" s="1">
        <v>44657</v>
      </c>
      <c r="C1555">
        <v>14.778907999999999</v>
      </c>
    </row>
    <row r="1556" spans="1:3" x14ac:dyDescent="0.25">
      <c r="A1556" t="s">
        <v>6</v>
      </c>
      <c r="B1556" s="1">
        <v>44658</v>
      </c>
      <c r="C1556">
        <v>15.132338000000001</v>
      </c>
    </row>
    <row r="1557" spans="1:3" x14ac:dyDescent="0.25">
      <c r="A1557" t="s">
        <v>6</v>
      </c>
      <c r="B1557" s="1">
        <v>44659</v>
      </c>
      <c r="C1557">
        <v>15.41601</v>
      </c>
    </row>
    <row r="1558" spans="1:3" x14ac:dyDescent="0.25">
      <c r="A1558" t="s">
        <v>6</v>
      </c>
      <c r="B1558" s="1">
        <v>44662</v>
      </c>
      <c r="C1558">
        <v>14.481282999999999</v>
      </c>
    </row>
    <row r="1559" spans="1:3" x14ac:dyDescent="0.25">
      <c r="A1559" t="s">
        <v>6</v>
      </c>
      <c r="B1559" s="1">
        <v>44663</v>
      </c>
      <c r="C1559">
        <v>14.476632</v>
      </c>
    </row>
    <row r="1560" spans="1:3" x14ac:dyDescent="0.25">
      <c r="A1560" t="s">
        <v>6</v>
      </c>
      <c r="B1560" s="1">
        <v>44664</v>
      </c>
      <c r="C1560">
        <v>14.778907999999999</v>
      </c>
    </row>
    <row r="1561" spans="1:3" x14ac:dyDescent="0.25">
      <c r="A1561" t="s">
        <v>6</v>
      </c>
      <c r="B1561" s="1">
        <v>44665</v>
      </c>
      <c r="C1561">
        <v>14.56499</v>
      </c>
    </row>
    <row r="1562" spans="1:3" x14ac:dyDescent="0.25">
      <c r="A1562" t="s">
        <v>6</v>
      </c>
      <c r="B1562" s="1">
        <v>44670</v>
      </c>
      <c r="C1562">
        <v>14.713801</v>
      </c>
    </row>
    <row r="1563" spans="1:3" x14ac:dyDescent="0.25">
      <c r="A1563" t="s">
        <v>6</v>
      </c>
      <c r="B1563" s="1">
        <v>44671</v>
      </c>
      <c r="C1563">
        <v>15.085832</v>
      </c>
    </row>
    <row r="1564" spans="1:3" x14ac:dyDescent="0.25">
      <c r="A1564" t="s">
        <v>6</v>
      </c>
      <c r="B1564" s="1">
        <v>44672</v>
      </c>
      <c r="C1564">
        <v>15.188141</v>
      </c>
    </row>
    <row r="1565" spans="1:3" x14ac:dyDescent="0.25">
      <c r="A1565" t="s">
        <v>6</v>
      </c>
      <c r="B1565" s="1">
        <v>44673</v>
      </c>
      <c r="C1565">
        <v>15.19279</v>
      </c>
    </row>
    <row r="1566" spans="1:3" x14ac:dyDescent="0.25">
      <c r="A1566" t="s">
        <v>6</v>
      </c>
      <c r="B1566" s="1">
        <v>44676</v>
      </c>
      <c r="C1566">
        <v>14.955622</v>
      </c>
    </row>
    <row r="1567" spans="1:3" x14ac:dyDescent="0.25">
      <c r="A1567" t="s">
        <v>6</v>
      </c>
      <c r="B1567" s="1">
        <v>44677</v>
      </c>
      <c r="C1567">
        <v>14.532437</v>
      </c>
    </row>
    <row r="1568" spans="1:3" x14ac:dyDescent="0.25">
      <c r="A1568" t="s">
        <v>6</v>
      </c>
      <c r="B1568" s="1">
        <v>44678</v>
      </c>
      <c r="C1568">
        <v>14.211561</v>
      </c>
    </row>
    <row r="1569" spans="1:3" x14ac:dyDescent="0.25">
      <c r="A1569" t="s">
        <v>6</v>
      </c>
      <c r="B1569" s="1">
        <v>44679</v>
      </c>
      <c r="C1569">
        <v>14.848663</v>
      </c>
    </row>
    <row r="1570" spans="1:3" x14ac:dyDescent="0.25">
      <c r="A1570" t="s">
        <v>6</v>
      </c>
      <c r="B1570" s="1">
        <v>44680</v>
      </c>
      <c r="C1570">
        <v>14.788207999999999</v>
      </c>
    </row>
    <row r="1571" spans="1:3" x14ac:dyDescent="0.25">
      <c r="A1571" t="s">
        <v>6</v>
      </c>
      <c r="B1571" s="1">
        <v>44683</v>
      </c>
      <c r="C1571">
        <v>14.709151</v>
      </c>
    </row>
    <row r="1572" spans="1:3" x14ac:dyDescent="0.25">
      <c r="A1572" t="s">
        <v>6</v>
      </c>
      <c r="B1572" s="1">
        <v>44684</v>
      </c>
      <c r="C1572">
        <v>14.630095000000001</v>
      </c>
    </row>
    <row r="1573" spans="1:3" x14ac:dyDescent="0.25">
      <c r="A1573" t="s">
        <v>6</v>
      </c>
      <c r="B1573" s="1">
        <v>44685</v>
      </c>
      <c r="C1573">
        <v>14.392925999999999</v>
      </c>
    </row>
    <row r="1574" spans="1:3" x14ac:dyDescent="0.25">
      <c r="A1574" t="s">
        <v>6</v>
      </c>
      <c r="B1574" s="1">
        <v>44686</v>
      </c>
      <c r="C1574">
        <v>14.499885000000001</v>
      </c>
    </row>
    <row r="1575" spans="1:3" x14ac:dyDescent="0.25">
      <c r="A1575" t="s">
        <v>6</v>
      </c>
      <c r="B1575" s="1">
        <v>44687</v>
      </c>
      <c r="C1575">
        <v>14.295268</v>
      </c>
    </row>
    <row r="1576" spans="1:3" x14ac:dyDescent="0.25">
      <c r="A1576" t="s">
        <v>6</v>
      </c>
      <c r="B1576" s="1">
        <v>44690</v>
      </c>
      <c r="C1576">
        <v>13.941838000000001</v>
      </c>
    </row>
    <row r="1577" spans="1:3" x14ac:dyDescent="0.25">
      <c r="A1577" t="s">
        <v>6</v>
      </c>
      <c r="B1577" s="1">
        <v>44691</v>
      </c>
      <c r="C1577">
        <v>14.016246000000001</v>
      </c>
    </row>
    <row r="1578" spans="1:3" x14ac:dyDescent="0.25">
      <c r="A1578" t="s">
        <v>6</v>
      </c>
      <c r="B1578" s="1">
        <v>44692</v>
      </c>
      <c r="C1578">
        <v>15.020727000000001</v>
      </c>
    </row>
    <row r="1579" spans="1:3" x14ac:dyDescent="0.25">
      <c r="A1579" t="s">
        <v>6</v>
      </c>
      <c r="B1579" s="1">
        <v>44693</v>
      </c>
      <c r="C1579">
        <v>14.234813000000001</v>
      </c>
    </row>
    <row r="1580" spans="1:3" x14ac:dyDescent="0.25">
      <c r="A1580" t="s">
        <v>6</v>
      </c>
      <c r="B1580" s="1">
        <v>44694</v>
      </c>
      <c r="C1580">
        <v>15.811292</v>
      </c>
    </row>
    <row r="1581" spans="1:3" x14ac:dyDescent="0.25">
      <c r="A1581" t="s">
        <v>6</v>
      </c>
      <c r="B1581" s="1">
        <v>44697</v>
      </c>
      <c r="C1581">
        <v>15.839194000000001</v>
      </c>
    </row>
    <row r="1582" spans="1:3" x14ac:dyDescent="0.25">
      <c r="A1582" t="s">
        <v>6</v>
      </c>
      <c r="B1582" s="1">
        <v>44698</v>
      </c>
      <c r="C1582">
        <v>16.006606999999999</v>
      </c>
    </row>
    <row r="1583" spans="1:3" x14ac:dyDescent="0.25">
      <c r="A1583" t="s">
        <v>6</v>
      </c>
      <c r="B1583" s="1">
        <v>44699</v>
      </c>
      <c r="C1583">
        <v>15.611326</v>
      </c>
    </row>
    <row r="1584" spans="1:3" x14ac:dyDescent="0.25">
      <c r="A1584" t="s">
        <v>6</v>
      </c>
      <c r="B1584" s="1">
        <v>44700</v>
      </c>
      <c r="C1584">
        <v>16.001957000000001</v>
      </c>
    </row>
    <row r="1585" spans="1:3" x14ac:dyDescent="0.25">
      <c r="A1585" t="s">
        <v>6</v>
      </c>
      <c r="B1585" s="1">
        <v>44701</v>
      </c>
      <c r="C1585">
        <v>16.485598</v>
      </c>
    </row>
    <row r="1586" spans="1:3" x14ac:dyDescent="0.25">
      <c r="A1586" t="s">
        <v>6</v>
      </c>
      <c r="B1586" s="1">
        <v>44704</v>
      </c>
      <c r="C1586">
        <v>16.364687</v>
      </c>
    </row>
    <row r="1587" spans="1:3" x14ac:dyDescent="0.25">
      <c r="A1587" t="s">
        <v>6</v>
      </c>
      <c r="B1587" s="1">
        <v>44705</v>
      </c>
      <c r="C1587">
        <v>15.876397000000001</v>
      </c>
    </row>
    <row r="1588" spans="1:3" x14ac:dyDescent="0.25">
      <c r="A1588" t="s">
        <v>6</v>
      </c>
      <c r="B1588" s="1">
        <v>44706</v>
      </c>
      <c r="C1588">
        <v>16.425142000000001</v>
      </c>
    </row>
    <row r="1589" spans="1:3" x14ac:dyDescent="0.25">
      <c r="A1589" t="s">
        <v>6</v>
      </c>
      <c r="B1589" s="1">
        <v>44708</v>
      </c>
      <c r="C1589">
        <v>16.322831999999998</v>
      </c>
    </row>
    <row r="1590" spans="1:3" x14ac:dyDescent="0.25">
      <c r="A1590" t="s">
        <v>6</v>
      </c>
      <c r="B1590" s="1">
        <v>44711</v>
      </c>
      <c r="C1590">
        <v>16.322831999999998</v>
      </c>
    </row>
    <row r="1591" spans="1:3" x14ac:dyDescent="0.25">
      <c r="A1591" t="s">
        <v>6</v>
      </c>
      <c r="B1591" s="1">
        <v>44712</v>
      </c>
      <c r="C1591">
        <v>15.997309</v>
      </c>
    </row>
    <row r="1592" spans="1:3" x14ac:dyDescent="0.25">
      <c r="A1592" t="s">
        <v>6</v>
      </c>
      <c r="B1592" s="1">
        <v>44713</v>
      </c>
      <c r="C1592">
        <v>15.439261</v>
      </c>
    </row>
    <row r="1593" spans="1:3" x14ac:dyDescent="0.25">
      <c r="A1593" t="s">
        <v>6</v>
      </c>
      <c r="B1593" s="1">
        <v>44714</v>
      </c>
      <c r="C1593">
        <v>15.657828</v>
      </c>
    </row>
    <row r="1594" spans="1:3" x14ac:dyDescent="0.25">
      <c r="A1594" t="s">
        <v>6</v>
      </c>
      <c r="B1594" s="1">
        <v>44715</v>
      </c>
      <c r="C1594">
        <v>15.881049000000001</v>
      </c>
    </row>
    <row r="1595" spans="1:3" x14ac:dyDescent="0.25">
      <c r="A1595" t="s">
        <v>6</v>
      </c>
      <c r="B1595" s="1">
        <v>44718</v>
      </c>
      <c r="C1595">
        <v>16.118216</v>
      </c>
    </row>
    <row r="1596" spans="1:3" x14ac:dyDescent="0.25">
      <c r="A1596" t="s">
        <v>6</v>
      </c>
      <c r="B1596" s="1">
        <v>44719</v>
      </c>
      <c r="C1596">
        <v>15.908949</v>
      </c>
    </row>
    <row r="1597" spans="1:3" x14ac:dyDescent="0.25">
      <c r="A1597" t="s">
        <v>6</v>
      </c>
      <c r="B1597" s="1">
        <v>44720</v>
      </c>
      <c r="C1597">
        <v>15.750836</v>
      </c>
    </row>
    <row r="1598" spans="1:3" x14ac:dyDescent="0.25">
      <c r="A1598" t="s">
        <v>6</v>
      </c>
      <c r="B1598" s="1">
        <v>44721</v>
      </c>
      <c r="C1598">
        <v>15.853145</v>
      </c>
    </row>
    <row r="1599" spans="1:3" x14ac:dyDescent="0.25">
      <c r="A1599" t="s">
        <v>6</v>
      </c>
      <c r="B1599" s="1">
        <v>44722</v>
      </c>
      <c r="C1599">
        <v>15.262547</v>
      </c>
    </row>
    <row r="1600" spans="1:3" x14ac:dyDescent="0.25">
      <c r="A1600" t="s">
        <v>6</v>
      </c>
      <c r="B1600" s="1">
        <v>44725</v>
      </c>
      <c r="C1600">
        <v>14.467333</v>
      </c>
    </row>
    <row r="1601" spans="1:3" x14ac:dyDescent="0.25">
      <c r="A1601" t="s">
        <v>6</v>
      </c>
      <c r="B1601" s="1">
        <v>44726</v>
      </c>
      <c r="C1601">
        <v>15.41601</v>
      </c>
    </row>
    <row r="1602" spans="1:3" x14ac:dyDescent="0.25">
      <c r="A1602" t="s">
        <v>6</v>
      </c>
      <c r="B1602" s="1">
        <v>44727</v>
      </c>
      <c r="C1602">
        <v>15.425309</v>
      </c>
    </row>
    <row r="1603" spans="1:3" x14ac:dyDescent="0.25">
      <c r="A1603" t="s">
        <v>6</v>
      </c>
      <c r="B1603" s="1">
        <v>44728</v>
      </c>
      <c r="C1603">
        <v>14.43943</v>
      </c>
    </row>
    <row r="1604" spans="1:3" x14ac:dyDescent="0.25">
      <c r="A1604" t="s">
        <v>6</v>
      </c>
      <c r="B1604" s="1">
        <v>44729</v>
      </c>
      <c r="C1604">
        <v>14.578941</v>
      </c>
    </row>
    <row r="1605" spans="1:3" x14ac:dyDescent="0.25">
      <c r="A1605" t="s">
        <v>6</v>
      </c>
      <c r="B1605" s="1">
        <v>44732</v>
      </c>
      <c r="C1605">
        <v>15.164889000000001</v>
      </c>
    </row>
    <row r="1606" spans="1:3" x14ac:dyDescent="0.25">
      <c r="A1606" t="s">
        <v>6</v>
      </c>
      <c r="B1606" s="1">
        <v>44733</v>
      </c>
      <c r="C1606">
        <v>14.820760999999999</v>
      </c>
    </row>
    <row r="1607" spans="1:3" x14ac:dyDescent="0.25">
      <c r="A1607" t="s">
        <v>6</v>
      </c>
      <c r="B1607" s="1">
        <v>44734</v>
      </c>
      <c r="C1607">
        <v>15.41136</v>
      </c>
    </row>
    <row r="1608" spans="1:3" x14ac:dyDescent="0.25">
      <c r="A1608" t="s">
        <v>6</v>
      </c>
      <c r="B1608" s="1">
        <v>44735</v>
      </c>
      <c r="C1608">
        <v>14.839363000000001</v>
      </c>
    </row>
    <row r="1609" spans="1:3" x14ac:dyDescent="0.25">
      <c r="A1609" t="s">
        <v>6</v>
      </c>
      <c r="B1609" s="1">
        <v>44739</v>
      </c>
      <c r="C1609">
        <v>14.132504000000001</v>
      </c>
    </row>
    <row r="1610" spans="1:3" x14ac:dyDescent="0.25">
      <c r="A1610" t="s">
        <v>6</v>
      </c>
      <c r="B1610" s="1">
        <v>44740</v>
      </c>
      <c r="C1610">
        <v>14.523135999999999</v>
      </c>
    </row>
    <row r="1611" spans="1:3" x14ac:dyDescent="0.25">
      <c r="A1611" t="s">
        <v>6</v>
      </c>
      <c r="B1611" s="1">
        <v>44741</v>
      </c>
      <c r="C1611">
        <v>14.183659</v>
      </c>
    </row>
    <row r="1612" spans="1:3" x14ac:dyDescent="0.25">
      <c r="A1612" t="s">
        <v>6</v>
      </c>
      <c r="B1612" s="1">
        <v>44742</v>
      </c>
      <c r="C1612">
        <v>13.314037000000001</v>
      </c>
    </row>
    <row r="1613" spans="1:3" x14ac:dyDescent="0.25">
      <c r="A1613" t="s">
        <v>6</v>
      </c>
      <c r="B1613" s="1">
        <v>44743</v>
      </c>
      <c r="C1613">
        <v>14.034846999999999</v>
      </c>
    </row>
    <row r="1614" spans="1:3" x14ac:dyDescent="0.25">
      <c r="A1614" t="s">
        <v>6</v>
      </c>
      <c r="B1614" s="1">
        <v>44746</v>
      </c>
      <c r="C1614">
        <v>12.667635000000001</v>
      </c>
    </row>
    <row r="1615" spans="1:3" x14ac:dyDescent="0.25">
      <c r="A1615" t="s">
        <v>6</v>
      </c>
      <c r="B1615" s="1">
        <v>44747</v>
      </c>
      <c r="C1615">
        <v>12.183994999999999</v>
      </c>
    </row>
    <row r="1616" spans="1:3" x14ac:dyDescent="0.25">
      <c r="A1616" t="s">
        <v>6</v>
      </c>
      <c r="B1616" s="1">
        <v>44748</v>
      </c>
      <c r="C1616">
        <v>11.937526</v>
      </c>
    </row>
    <row r="1617" spans="1:3" x14ac:dyDescent="0.25">
      <c r="A1617" t="s">
        <v>6</v>
      </c>
      <c r="B1617" s="1">
        <v>44749</v>
      </c>
      <c r="C1617">
        <v>12.137492</v>
      </c>
    </row>
    <row r="1618" spans="1:3" x14ac:dyDescent="0.25">
      <c r="A1618" t="s">
        <v>6</v>
      </c>
      <c r="B1618" s="1">
        <v>44750</v>
      </c>
      <c r="C1618">
        <v>12.109590000000001</v>
      </c>
    </row>
    <row r="1619" spans="1:3" x14ac:dyDescent="0.25">
      <c r="A1619" t="s">
        <v>6</v>
      </c>
      <c r="B1619" s="1">
        <v>44753</v>
      </c>
      <c r="C1619">
        <v>11.537592999999999</v>
      </c>
    </row>
    <row r="1620" spans="1:3" x14ac:dyDescent="0.25">
      <c r="A1620" t="s">
        <v>6</v>
      </c>
      <c r="B1620" s="1">
        <v>44754</v>
      </c>
      <c r="C1620">
        <v>11.532942</v>
      </c>
    </row>
    <row r="1621" spans="1:3" x14ac:dyDescent="0.25">
      <c r="A1621" t="s">
        <v>6</v>
      </c>
      <c r="B1621" s="1">
        <v>44755</v>
      </c>
      <c r="C1621">
        <v>11.053953999999999</v>
      </c>
    </row>
    <row r="1622" spans="1:3" x14ac:dyDescent="0.25">
      <c r="A1622" t="s">
        <v>6</v>
      </c>
      <c r="B1622" s="1">
        <v>44756</v>
      </c>
      <c r="C1622">
        <v>10.616816999999999</v>
      </c>
    </row>
    <row r="1623" spans="1:3" x14ac:dyDescent="0.25">
      <c r="A1623" t="s">
        <v>6</v>
      </c>
      <c r="B1623" s="1">
        <v>44757</v>
      </c>
      <c r="C1623">
        <v>10.858637999999999</v>
      </c>
    </row>
    <row r="1624" spans="1:3" x14ac:dyDescent="0.25">
      <c r="A1624" t="s">
        <v>6</v>
      </c>
      <c r="B1624" s="1">
        <v>44760</v>
      </c>
      <c r="C1624">
        <v>10.891190999999999</v>
      </c>
    </row>
    <row r="1625" spans="1:3" x14ac:dyDescent="0.25">
      <c r="A1625" t="s">
        <v>6</v>
      </c>
      <c r="B1625" s="1">
        <v>44761</v>
      </c>
      <c r="C1625">
        <v>11.402732</v>
      </c>
    </row>
    <row r="1626" spans="1:3" x14ac:dyDescent="0.25">
      <c r="A1626" t="s">
        <v>6</v>
      </c>
      <c r="B1626" s="1">
        <v>44762</v>
      </c>
      <c r="C1626">
        <v>11.714308000000001</v>
      </c>
    </row>
    <row r="1627" spans="1:3" x14ac:dyDescent="0.25">
      <c r="A1627" t="s">
        <v>6</v>
      </c>
      <c r="B1627" s="1">
        <v>44763</v>
      </c>
      <c r="C1627">
        <v>11.532942</v>
      </c>
    </row>
    <row r="1628" spans="1:3" x14ac:dyDescent="0.25">
      <c r="A1628" t="s">
        <v>6</v>
      </c>
      <c r="B1628" s="1">
        <v>44764</v>
      </c>
      <c r="C1628">
        <v>10.561012</v>
      </c>
    </row>
    <row r="1629" spans="1:3" x14ac:dyDescent="0.25">
      <c r="A1629" t="s">
        <v>6</v>
      </c>
      <c r="B1629" s="1">
        <v>44767</v>
      </c>
      <c r="C1629">
        <v>9.4681739999999994</v>
      </c>
    </row>
    <row r="1630" spans="1:3" x14ac:dyDescent="0.25">
      <c r="A1630" t="s">
        <v>6</v>
      </c>
      <c r="B1630" s="1">
        <v>44768</v>
      </c>
      <c r="C1630">
        <v>9.5472300000000008</v>
      </c>
    </row>
    <row r="1631" spans="1:3" x14ac:dyDescent="0.25">
      <c r="A1631" t="s">
        <v>6</v>
      </c>
      <c r="B1631" s="1">
        <v>44769</v>
      </c>
      <c r="C1631">
        <v>9.6960429999999995</v>
      </c>
    </row>
    <row r="1632" spans="1:3" x14ac:dyDescent="0.25">
      <c r="A1632" t="s">
        <v>6</v>
      </c>
      <c r="B1632" s="1">
        <v>44770</v>
      </c>
      <c r="C1632">
        <v>10.086675</v>
      </c>
    </row>
    <row r="1633" spans="1:3" x14ac:dyDescent="0.25">
      <c r="A1633" t="s">
        <v>6</v>
      </c>
      <c r="B1633" s="1">
        <v>44771</v>
      </c>
      <c r="C1633">
        <v>10.15178</v>
      </c>
    </row>
    <row r="1634" spans="1:3" x14ac:dyDescent="0.25">
      <c r="A1634" t="s">
        <v>6</v>
      </c>
      <c r="B1634" s="1">
        <v>44774</v>
      </c>
      <c r="C1634">
        <v>10.012268000000001</v>
      </c>
    </row>
    <row r="1635" spans="1:3" x14ac:dyDescent="0.25">
      <c r="A1635" t="s">
        <v>6</v>
      </c>
      <c r="B1635" s="1">
        <v>44775</v>
      </c>
      <c r="C1635">
        <v>9.7518469999999997</v>
      </c>
    </row>
    <row r="1636" spans="1:3" x14ac:dyDescent="0.25">
      <c r="A1636" t="s">
        <v>6</v>
      </c>
      <c r="B1636" s="1">
        <v>44776</v>
      </c>
      <c r="C1636">
        <v>10.086675</v>
      </c>
    </row>
    <row r="1637" spans="1:3" x14ac:dyDescent="0.25">
      <c r="A1637" t="s">
        <v>6</v>
      </c>
      <c r="B1637" s="1">
        <v>44777</v>
      </c>
      <c r="C1637">
        <v>10.044821000000001</v>
      </c>
    </row>
    <row r="1638" spans="1:3" x14ac:dyDescent="0.25">
      <c r="A1638" t="s">
        <v>6</v>
      </c>
      <c r="B1638" s="1">
        <v>44778</v>
      </c>
      <c r="C1638">
        <v>10.300591000000001</v>
      </c>
    </row>
    <row r="1639" spans="1:3" x14ac:dyDescent="0.25">
      <c r="A1639" t="s">
        <v>6</v>
      </c>
      <c r="B1639" s="1">
        <v>44781</v>
      </c>
      <c r="C1639">
        <v>10.472656000000001</v>
      </c>
    </row>
    <row r="1640" spans="1:3" x14ac:dyDescent="0.25">
      <c r="A1640" t="s">
        <v>6</v>
      </c>
      <c r="B1640" s="1">
        <v>44782</v>
      </c>
      <c r="C1640">
        <v>10.29594</v>
      </c>
    </row>
    <row r="1641" spans="1:3" x14ac:dyDescent="0.25">
      <c r="A1641" t="s">
        <v>6</v>
      </c>
      <c r="B1641" s="1">
        <v>44783</v>
      </c>
      <c r="C1641">
        <v>10.207584000000001</v>
      </c>
    </row>
    <row r="1642" spans="1:3" x14ac:dyDescent="0.25">
      <c r="A1642" t="s">
        <v>6</v>
      </c>
      <c r="B1642" s="1">
        <v>44784</v>
      </c>
      <c r="C1642">
        <v>10.226186</v>
      </c>
    </row>
    <row r="1643" spans="1:3" x14ac:dyDescent="0.25">
      <c r="A1643" t="s">
        <v>6</v>
      </c>
      <c r="B1643" s="1">
        <v>44785</v>
      </c>
      <c r="C1643">
        <v>10.737728000000001</v>
      </c>
    </row>
    <row r="1644" spans="1:3" x14ac:dyDescent="0.25">
      <c r="A1644" t="s">
        <v>6</v>
      </c>
      <c r="B1644" s="1">
        <v>44788</v>
      </c>
      <c r="C1644">
        <v>10.960945000000001</v>
      </c>
    </row>
    <row r="1645" spans="1:3" x14ac:dyDescent="0.25">
      <c r="A1645" t="s">
        <v>6</v>
      </c>
      <c r="B1645" s="1">
        <v>44789</v>
      </c>
      <c r="C1645">
        <v>11.235317999999999</v>
      </c>
    </row>
    <row r="1646" spans="1:3" x14ac:dyDescent="0.25">
      <c r="A1646" t="s">
        <v>6</v>
      </c>
      <c r="B1646" s="1">
        <v>44790</v>
      </c>
      <c r="C1646">
        <v>10.607517</v>
      </c>
    </row>
    <row r="1647" spans="1:3" x14ac:dyDescent="0.25">
      <c r="A1647" t="s">
        <v>6</v>
      </c>
      <c r="B1647" s="1">
        <v>44791</v>
      </c>
      <c r="C1647">
        <v>10.440104</v>
      </c>
    </row>
    <row r="1648" spans="1:3" x14ac:dyDescent="0.25">
      <c r="A1648" t="s">
        <v>6</v>
      </c>
      <c r="B1648" s="1">
        <v>44792</v>
      </c>
      <c r="C1648">
        <v>10.179682</v>
      </c>
    </row>
    <row r="1649" spans="1:3" x14ac:dyDescent="0.25">
      <c r="A1649" t="s">
        <v>6</v>
      </c>
      <c r="B1649" s="1">
        <v>44795</v>
      </c>
      <c r="C1649">
        <v>9.7332450000000001</v>
      </c>
    </row>
    <row r="1650" spans="1:3" x14ac:dyDescent="0.25">
      <c r="A1650" t="s">
        <v>6</v>
      </c>
      <c r="B1650" s="1">
        <v>44796</v>
      </c>
      <c r="C1650">
        <v>9.9471629999999998</v>
      </c>
    </row>
    <row r="1651" spans="1:3" x14ac:dyDescent="0.25">
      <c r="A1651" t="s">
        <v>6</v>
      </c>
      <c r="B1651" s="1">
        <v>44797</v>
      </c>
      <c r="C1651">
        <v>9.7611469999999994</v>
      </c>
    </row>
    <row r="1652" spans="1:3" x14ac:dyDescent="0.25">
      <c r="A1652" t="s">
        <v>6</v>
      </c>
      <c r="B1652" s="1">
        <v>44798</v>
      </c>
      <c r="C1652">
        <v>9.5937339999999995</v>
      </c>
    </row>
    <row r="1653" spans="1:3" x14ac:dyDescent="0.25">
      <c r="A1653" t="s">
        <v>6</v>
      </c>
      <c r="B1653" s="1">
        <v>44799</v>
      </c>
      <c r="C1653">
        <v>9.3333119999999994</v>
      </c>
    </row>
    <row r="1654" spans="1:3" x14ac:dyDescent="0.25">
      <c r="A1654" t="s">
        <v>6</v>
      </c>
      <c r="B1654" s="1">
        <v>44802</v>
      </c>
      <c r="C1654">
        <v>9.8820580000000007</v>
      </c>
    </row>
    <row r="1655" spans="1:3" x14ac:dyDescent="0.25">
      <c r="A1655" t="s">
        <v>6</v>
      </c>
      <c r="B1655" s="1">
        <v>44803</v>
      </c>
      <c r="C1655">
        <v>9.7564969999999995</v>
      </c>
    </row>
    <row r="1656" spans="1:3" x14ac:dyDescent="0.25">
      <c r="A1656" t="s">
        <v>6</v>
      </c>
      <c r="B1656" s="1">
        <v>44804</v>
      </c>
      <c r="C1656">
        <v>9.5286279999999994</v>
      </c>
    </row>
    <row r="1657" spans="1:3" x14ac:dyDescent="0.25">
      <c r="A1657" t="s">
        <v>6</v>
      </c>
      <c r="B1657" s="1">
        <v>44805</v>
      </c>
      <c r="C1657">
        <v>8.9473310000000001</v>
      </c>
    </row>
    <row r="1658" spans="1:3" x14ac:dyDescent="0.25">
      <c r="A1658" t="s">
        <v>6</v>
      </c>
      <c r="B1658" s="1">
        <v>44806</v>
      </c>
      <c r="C1658">
        <v>9.3937670000000004</v>
      </c>
    </row>
    <row r="1659" spans="1:3" x14ac:dyDescent="0.25">
      <c r="A1659" t="s">
        <v>6</v>
      </c>
      <c r="B1659" s="1">
        <v>44809</v>
      </c>
      <c r="C1659">
        <v>8.5566999999999993</v>
      </c>
    </row>
    <row r="1660" spans="1:3" x14ac:dyDescent="0.25">
      <c r="A1660" t="s">
        <v>6</v>
      </c>
      <c r="B1660" s="1">
        <v>44810</v>
      </c>
      <c r="C1660">
        <v>8.5566999999999993</v>
      </c>
    </row>
    <row r="1661" spans="1:3" x14ac:dyDescent="0.25">
      <c r="A1661" t="s">
        <v>6</v>
      </c>
      <c r="B1661" s="1">
        <v>44811</v>
      </c>
      <c r="C1661">
        <v>9.1352060000000002</v>
      </c>
    </row>
    <row r="1662" spans="1:3" x14ac:dyDescent="0.25">
      <c r="A1662" t="s">
        <v>6</v>
      </c>
      <c r="B1662" s="1">
        <v>44812</v>
      </c>
      <c r="C1662">
        <v>8.8059600000000007</v>
      </c>
    </row>
    <row r="1663" spans="1:3" x14ac:dyDescent="0.25">
      <c r="A1663" t="s">
        <v>6</v>
      </c>
      <c r="B1663" s="1">
        <v>44813</v>
      </c>
      <c r="C1663">
        <v>9.1575279999999992</v>
      </c>
    </row>
    <row r="1664" spans="1:3" x14ac:dyDescent="0.25">
      <c r="A1664" t="s">
        <v>6</v>
      </c>
      <c r="B1664" s="1">
        <v>44816</v>
      </c>
      <c r="C1664">
        <v>9.4821240000000007</v>
      </c>
    </row>
    <row r="1665" spans="1:3" x14ac:dyDescent="0.25">
      <c r="A1665" t="s">
        <v>6</v>
      </c>
      <c r="B1665" s="1">
        <v>44817</v>
      </c>
      <c r="C1665">
        <v>9.0980030000000003</v>
      </c>
    </row>
    <row r="1666" spans="1:3" x14ac:dyDescent="0.25">
      <c r="A1666" t="s">
        <v>6</v>
      </c>
      <c r="B1666" s="1">
        <v>44818</v>
      </c>
      <c r="C1666">
        <v>9.2672779999999992</v>
      </c>
    </row>
    <row r="1667" spans="1:3" x14ac:dyDescent="0.25">
      <c r="A1667" t="s">
        <v>6</v>
      </c>
      <c r="B1667" s="1">
        <v>44819</v>
      </c>
      <c r="C1667">
        <v>9.5193270000000005</v>
      </c>
    </row>
    <row r="1668" spans="1:3" x14ac:dyDescent="0.25">
      <c r="A1668" t="s">
        <v>6</v>
      </c>
      <c r="B1668" s="1">
        <v>44820</v>
      </c>
      <c r="C1668">
        <v>10.258739</v>
      </c>
    </row>
    <row r="1669" spans="1:3" x14ac:dyDescent="0.25">
      <c r="A1669" t="s">
        <v>6</v>
      </c>
      <c r="B1669" s="1">
        <v>44823</v>
      </c>
      <c r="C1669">
        <v>10.277340000000001</v>
      </c>
    </row>
    <row r="1670" spans="1:3" x14ac:dyDescent="0.25">
      <c r="A1670" t="s">
        <v>6</v>
      </c>
      <c r="B1670" s="1">
        <v>44824</v>
      </c>
      <c r="C1670">
        <v>11.253920000000001</v>
      </c>
    </row>
    <row r="1671" spans="1:3" x14ac:dyDescent="0.25">
      <c r="A1671" t="s">
        <v>6</v>
      </c>
      <c r="B1671" s="1">
        <v>44825</v>
      </c>
      <c r="C1671">
        <v>12.323506999999999</v>
      </c>
    </row>
    <row r="1672" spans="1:3" x14ac:dyDescent="0.25">
      <c r="A1672" t="s">
        <v>6</v>
      </c>
      <c r="B1672" s="1">
        <v>44826</v>
      </c>
      <c r="C1672">
        <v>13.300087</v>
      </c>
    </row>
    <row r="1673" spans="1:3" x14ac:dyDescent="0.25">
      <c r="A1673" t="s">
        <v>6</v>
      </c>
      <c r="B1673" s="1">
        <v>44827</v>
      </c>
      <c r="C1673">
        <v>12.881553</v>
      </c>
    </row>
    <row r="1674" spans="1:3" x14ac:dyDescent="0.25">
      <c r="A1674" t="s">
        <v>6</v>
      </c>
      <c r="B1674" s="1">
        <v>44830</v>
      </c>
      <c r="C1674">
        <v>12.872252</v>
      </c>
    </row>
    <row r="1675" spans="1:3" x14ac:dyDescent="0.25">
      <c r="A1675" t="s">
        <v>6</v>
      </c>
      <c r="B1675" s="1">
        <v>44831</v>
      </c>
      <c r="C1675">
        <v>12.486271</v>
      </c>
    </row>
    <row r="1676" spans="1:3" x14ac:dyDescent="0.25">
      <c r="A1676" t="s">
        <v>6</v>
      </c>
      <c r="B1676" s="1">
        <v>44832</v>
      </c>
      <c r="C1676">
        <v>12.481619999999999</v>
      </c>
    </row>
    <row r="1677" spans="1:3" x14ac:dyDescent="0.25">
      <c r="A1677" t="s">
        <v>6</v>
      </c>
      <c r="B1677" s="1">
        <v>44833</v>
      </c>
      <c r="C1677">
        <v>12.221199</v>
      </c>
    </row>
    <row r="1678" spans="1:3" x14ac:dyDescent="0.25">
      <c r="A1678" t="s">
        <v>6</v>
      </c>
      <c r="B1678" s="1">
        <v>44834</v>
      </c>
      <c r="C1678">
        <v>12.807147000000001</v>
      </c>
    </row>
    <row r="1679" spans="1:3" x14ac:dyDescent="0.25">
      <c r="A1679" t="s">
        <v>6</v>
      </c>
      <c r="B1679" s="1">
        <v>44837</v>
      </c>
      <c r="C1679">
        <v>13.030365</v>
      </c>
    </row>
    <row r="1680" spans="1:3" x14ac:dyDescent="0.25">
      <c r="A1680" t="s">
        <v>6</v>
      </c>
      <c r="B1680" s="1">
        <v>44838</v>
      </c>
      <c r="C1680">
        <v>13.002462</v>
      </c>
    </row>
    <row r="1681" spans="1:3" x14ac:dyDescent="0.25">
      <c r="A1681" t="s">
        <v>6</v>
      </c>
      <c r="B1681" s="1">
        <v>44839</v>
      </c>
      <c r="C1681">
        <v>12.649035</v>
      </c>
    </row>
    <row r="1682" spans="1:3" x14ac:dyDescent="0.25">
      <c r="A1682" t="s">
        <v>6</v>
      </c>
      <c r="B1682" s="1">
        <v>44840</v>
      </c>
      <c r="C1682">
        <v>12.574628000000001</v>
      </c>
    </row>
    <row r="1683" spans="1:3" x14ac:dyDescent="0.25">
      <c r="A1683" t="s">
        <v>6</v>
      </c>
      <c r="B1683" s="1">
        <v>44841</v>
      </c>
      <c r="C1683">
        <v>12.239799</v>
      </c>
    </row>
    <row r="1684" spans="1:3" x14ac:dyDescent="0.25">
      <c r="A1684" t="s">
        <v>6</v>
      </c>
      <c r="B1684" s="1">
        <v>44844</v>
      </c>
      <c r="C1684">
        <v>12.225849999999999</v>
      </c>
    </row>
    <row r="1685" spans="1:3" x14ac:dyDescent="0.25">
      <c r="A1685" t="s">
        <v>6</v>
      </c>
      <c r="B1685" s="1">
        <v>44845</v>
      </c>
      <c r="C1685">
        <v>11.891021</v>
      </c>
    </row>
    <row r="1686" spans="1:3" x14ac:dyDescent="0.25">
      <c r="A1686" t="s">
        <v>6</v>
      </c>
      <c r="B1686" s="1">
        <v>44846</v>
      </c>
      <c r="C1686">
        <v>11.839867</v>
      </c>
    </row>
    <row r="1687" spans="1:3" x14ac:dyDescent="0.25">
      <c r="A1687" t="s">
        <v>6</v>
      </c>
      <c r="B1687" s="1">
        <v>44847</v>
      </c>
      <c r="C1687">
        <v>12.490921</v>
      </c>
    </row>
    <row r="1688" spans="1:3" x14ac:dyDescent="0.25">
      <c r="A1688" t="s">
        <v>6</v>
      </c>
      <c r="B1688" s="1">
        <v>44848</v>
      </c>
      <c r="C1688">
        <v>12.760643</v>
      </c>
    </row>
    <row r="1689" spans="1:3" x14ac:dyDescent="0.25">
      <c r="A1689" t="s">
        <v>6</v>
      </c>
      <c r="B1689" s="1">
        <v>44851</v>
      </c>
      <c r="C1689">
        <v>12.862951000000001</v>
      </c>
    </row>
    <row r="1690" spans="1:3" x14ac:dyDescent="0.25">
      <c r="A1690" t="s">
        <v>6</v>
      </c>
      <c r="B1690" s="1">
        <v>44852</v>
      </c>
      <c r="C1690">
        <v>12.909454999999999</v>
      </c>
    </row>
    <row r="1691" spans="1:3" x14ac:dyDescent="0.25">
      <c r="A1691" t="s">
        <v>6</v>
      </c>
      <c r="B1691" s="1">
        <v>44853</v>
      </c>
      <c r="C1691">
        <v>12.932706</v>
      </c>
    </row>
    <row r="1692" spans="1:3" x14ac:dyDescent="0.25">
      <c r="A1692" t="s">
        <v>6</v>
      </c>
      <c r="B1692" s="1">
        <v>44854</v>
      </c>
      <c r="C1692">
        <v>13.016413999999999</v>
      </c>
    </row>
    <row r="1693" spans="1:3" x14ac:dyDescent="0.25">
      <c r="A1693" t="s">
        <v>6</v>
      </c>
      <c r="B1693" s="1">
        <v>44855</v>
      </c>
      <c r="C1693">
        <v>13.016413999999999</v>
      </c>
    </row>
    <row r="1694" spans="1:3" x14ac:dyDescent="0.25">
      <c r="A1694" t="s">
        <v>6</v>
      </c>
      <c r="B1694" s="1">
        <v>44858</v>
      </c>
      <c r="C1694">
        <v>13.007113</v>
      </c>
    </row>
    <row r="1695" spans="1:3" x14ac:dyDescent="0.25">
      <c r="A1695" t="s">
        <v>6</v>
      </c>
      <c r="B1695" s="1">
        <v>44859</v>
      </c>
      <c r="C1695">
        <v>13.002462</v>
      </c>
    </row>
    <row r="1696" spans="1:3" x14ac:dyDescent="0.25">
      <c r="A1696" t="s">
        <v>6</v>
      </c>
      <c r="B1696" s="1">
        <v>44860</v>
      </c>
      <c r="C1696">
        <v>12.909454999999999</v>
      </c>
    </row>
    <row r="1697" spans="1:3" x14ac:dyDescent="0.25">
      <c r="A1697" t="s">
        <v>6</v>
      </c>
      <c r="B1697" s="1">
        <v>44861</v>
      </c>
      <c r="C1697">
        <v>13.007113</v>
      </c>
    </row>
    <row r="1698" spans="1:3" x14ac:dyDescent="0.25">
      <c r="A1698" t="s">
        <v>6</v>
      </c>
      <c r="B1698" s="1">
        <v>44862</v>
      </c>
      <c r="C1698">
        <v>12.85365</v>
      </c>
    </row>
    <row r="1699" spans="1:3" x14ac:dyDescent="0.25">
      <c r="A1699" t="s">
        <v>6</v>
      </c>
      <c r="B1699" s="1">
        <v>44865</v>
      </c>
      <c r="C1699">
        <v>13.248932</v>
      </c>
    </row>
    <row r="1700" spans="1:3" x14ac:dyDescent="0.25">
      <c r="A1700" t="s">
        <v>6</v>
      </c>
      <c r="B1700" s="1">
        <v>44866</v>
      </c>
      <c r="C1700">
        <v>13.300087</v>
      </c>
    </row>
    <row r="1701" spans="1:3" x14ac:dyDescent="0.25">
      <c r="A1701" t="s">
        <v>6</v>
      </c>
      <c r="B1701" s="1">
        <v>44867</v>
      </c>
      <c r="C1701">
        <v>13.420997</v>
      </c>
    </row>
    <row r="1702" spans="1:3" x14ac:dyDescent="0.25">
      <c r="A1702" t="s">
        <v>6</v>
      </c>
      <c r="B1702" s="1">
        <v>44868</v>
      </c>
      <c r="C1702">
        <v>13.128022</v>
      </c>
    </row>
    <row r="1703" spans="1:3" x14ac:dyDescent="0.25">
      <c r="A1703" t="s">
        <v>6</v>
      </c>
      <c r="B1703" s="1">
        <v>44869</v>
      </c>
      <c r="C1703">
        <v>13.379142999999999</v>
      </c>
    </row>
    <row r="1704" spans="1:3" x14ac:dyDescent="0.25">
      <c r="A1704" t="s">
        <v>6</v>
      </c>
      <c r="B1704" s="1">
        <v>44872</v>
      </c>
      <c r="C1704">
        <v>13.681417</v>
      </c>
    </row>
    <row r="1705" spans="1:3" x14ac:dyDescent="0.25">
      <c r="A1705" t="s">
        <v>6</v>
      </c>
      <c r="B1705" s="1">
        <v>44873</v>
      </c>
      <c r="C1705">
        <v>13.690720000000001</v>
      </c>
    </row>
    <row r="1706" spans="1:3" x14ac:dyDescent="0.25">
      <c r="A1706" t="s">
        <v>6</v>
      </c>
      <c r="B1706" s="1">
        <v>44874</v>
      </c>
      <c r="C1706">
        <v>13.723271</v>
      </c>
    </row>
    <row r="1707" spans="1:3" x14ac:dyDescent="0.25">
      <c r="A1707" t="s">
        <v>6</v>
      </c>
      <c r="B1707" s="1">
        <v>44875</v>
      </c>
      <c r="C1707">
        <v>13.374494</v>
      </c>
    </row>
    <row r="1708" spans="1:3" x14ac:dyDescent="0.25">
      <c r="A1708" t="s">
        <v>6</v>
      </c>
      <c r="B1708" s="1">
        <v>44876</v>
      </c>
      <c r="C1708">
        <v>13.644215000000001</v>
      </c>
    </row>
    <row r="1709" spans="1:3" x14ac:dyDescent="0.25">
      <c r="A1709" t="s">
        <v>6</v>
      </c>
      <c r="B1709" s="1">
        <v>44879</v>
      </c>
      <c r="C1709">
        <v>14.002295</v>
      </c>
    </row>
    <row r="1710" spans="1:3" x14ac:dyDescent="0.25">
      <c r="A1710" t="s">
        <v>6</v>
      </c>
      <c r="B1710" s="1">
        <v>44880</v>
      </c>
      <c r="C1710">
        <v>14.137155</v>
      </c>
    </row>
    <row r="1711" spans="1:3" x14ac:dyDescent="0.25">
      <c r="A1711" t="s">
        <v>6</v>
      </c>
      <c r="B1711" s="1">
        <v>44881</v>
      </c>
      <c r="C1711">
        <v>14.141806000000001</v>
      </c>
    </row>
    <row r="1712" spans="1:3" x14ac:dyDescent="0.25">
      <c r="A1712" t="s">
        <v>6</v>
      </c>
      <c r="B1712" s="1">
        <v>44882</v>
      </c>
      <c r="C1712">
        <v>13.82558</v>
      </c>
    </row>
    <row r="1713" spans="1:3" x14ac:dyDescent="0.25">
      <c r="A1713" t="s">
        <v>6</v>
      </c>
      <c r="B1713" s="1">
        <v>44883</v>
      </c>
      <c r="C1713">
        <v>14.006945</v>
      </c>
    </row>
    <row r="1714" spans="1:3" x14ac:dyDescent="0.25">
      <c r="A1714" t="s">
        <v>6</v>
      </c>
      <c r="B1714" s="1">
        <v>44886</v>
      </c>
      <c r="C1714">
        <v>13.793027</v>
      </c>
    </row>
    <row r="1715" spans="1:3" x14ac:dyDescent="0.25">
      <c r="A1715" t="s">
        <v>6</v>
      </c>
      <c r="B1715" s="1">
        <v>44887</v>
      </c>
      <c r="C1715">
        <v>13.737223</v>
      </c>
    </row>
    <row r="1716" spans="1:3" x14ac:dyDescent="0.25">
      <c r="A1716" t="s">
        <v>6</v>
      </c>
      <c r="B1716" s="1">
        <v>44888</v>
      </c>
      <c r="C1716">
        <v>13.639564999999999</v>
      </c>
    </row>
    <row r="1717" spans="1:3" x14ac:dyDescent="0.25">
      <c r="A1717" t="s">
        <v>6</v>
      </c>
      <c r="B1717" s="1">
        <v>44889</v>
      </c>
      <c r="C1717">
        <v>13.546556000000001</v>
      </c>
    </row>
    <row r="1718" spans="1:3" x14ac:dyDescent="0.25">
      <c r="A1718" t="s">
        <v>6</v>
      </c>
      <c r="B1718" s="1">
        <v>44890</v>
      </c>
      <c r="C1718">
        <v>13.797677999999999</v>
      </c>
    </row>
    <row r="1719" spans="1:3" x14ac:dyDescent="0.25">
      <c r="A1719" t="s">
        <v>6</v>
      </c>
      <c r="B1719" s="1">
        <v>44893</v>
      </c>
      <c r="C1719">
        <v>13.937188000000001</v>
      </c>
    </row>
    <row r="1720" spans="1:3" x14ac:dyDescent="0.25">
      <c r="A1720" t="s">
        <v>6</v>
      </c>
      <c r="B1720" s="1">
        <v>44894</v>
      </c>
      <c r="C1720">
        <v>13.969742</v>
      </c>
    </row>
    <row r="1721" spans="1:3" x14ac:dyDescent="0.25">
      <c r="A1721" t="s">
        <v>6</v>
      </c>
      <c r="B1721" s="1">
        <v>44895</v>
      </c>
      <c r="C1721">
        <v>14.151106</v>
      </c>
    </row>
    <row r="1722" spans="1:3" x14ac:dyDescent="0.25">
      <c r="A1722" t="s">
        <v>6</v>
      </c>
      <c r="B1722" s="1">
        <v>44896</v>
      </c>
      <c r="C1722">
        <v>14.890516999999999</v>
      </c>
    </row>
    <row r="1723" spans="1:3" x14ac:dyDescent="0.25">
      <c r="A1723" t="s">
        <v>6</v>
      </c>
      <c r="B1723" s="1">
        <v>44897</v>
      </c>
      <c r="C1723">
        <v>14.853313</v>
      </c>
    </row>
    <row r="1724" spans="1:3" x14ac:dyDescent="0.25">
      <c r="A1724" t="s">
        <v>6</v>
      </c>
      <c r="B1724" s="1">
        <v>44900</v>
      </c>
      <c r="C1724">
        <v>14.755655000000001</v>
      </c>
    </row>
    <row r="1725" spans="1:3" x14ac:dyDescent="0.25">
      <c r="A1725" t="s">
        <v>6</v>
      </c>
      <c r="B1725" s="1">
        <v>44902</v>
      </c>
      <c r="C1725">
        <v>14.444079</v>
      </c>
    </row>
    <row r="1726" spans="1:3" x14ac:dyDescent="0.25">
      <c r="A1726" t="s">
        <v>6</v>
      </c>
      <c r="B1726" s="1">
        <v>44903</v>
      </c>
      <c r="C1726">
        <v>14.206910000000001</v>
      </c>
    </row>
    <row r="1727" spans="1:3" x14ac:dyDescent="0.25">
      <c r="A1727" t="s">
        <v>6</v>
      </c>
      <c r="B1727" s="1">
        <v>44904</v>
      </c>
      <c r="C1727">
        <v>14.425478999999999</v>
      </c>
    </row>
    <row r="1728" spans="1:3" x14ac:dyDescent="0.25">
      <c r="A1728" t="s">
        <v>6</v>
      </c>
      <c r="B1728" s="1">
        <v>44907</v>
      </c>
      <c r="C1728">
        <v>14.295268</v>
      </c>
    </row>
    <row r="1729" spans="1:3" x14ac:dyDescent="0.25">
      <c r="A1729" t="s">
        <v>6</v>
      </c>
      <c r="B1729" s="1">
        <v>44908</v>
      </c>
      <c r="C1729">
        <v>14.313869</v>
      </c>
    </row>
    <row r="1730" spans="1:3" x14ac:dyDescent="0.25">
      <c r="A1730" t="s">
        <v>6</v>
      </c>
      <c r="B1730" s="1">
        <v>44909</v>
      </c>
      <c r="C1730">
        <v>14.141806000000001</v>
      </c>
    </row>
    <row r="1731" spans="1:3" x14ac:dyDescent="0.25">
      <c r="A1731" t="s">
        <v>6</v>
      </c>
      <c r="B1731" s="1">
        <v>44910</v>
      </c>
      <c r="C1731">
        <v>13.83023</v>
      </c>
    </row>
    <row r="1732" spans="1:3" x14ac:dyDescent="0.25">
      <c r="A1732" t="s">
        <v>6</v>
      </c>
      <c r="B1732" s="1">
        <v>44911</v>
      </c>
      <c r="C1732">
        <v>13.327989000000001</v>
      </c>
    </row>
    <row r="1733" spans="1:3" x14ac:dyDescent="0.25">
      <c r="A1733" t="s">
        <v>6</v>
      </c>
      <c r="B1733" s="1">
        <v>44914</v>
      </c>
      <c r="C1733">
        <v>14.095302</v>
      </c>
    </row>
    <row r="1734" spans="1:3" x14ac:dyDescent="0.25">
      <c r="A1734" t="s">
        <v>6</v>
      </c>
      <c r="B1734" s="1">
        <v>44915</v>
      </c>
      <c r="C1734">
        <v>14.80681</v>
      </c>
    </row>
    <row r="1735" spans="1:3" x14ac:dyDescent="0.25">
      <c r="A1735" t="s">
        <v>6</v>
      </c>
      <c r="B1735" s="1">
        <v>44916</v>
      </c>
      <c r="C1735">
        <v>15.048629999999999</v>
      </c>
    </row>
    <row r="1736" spans="1:3" x14ac:dyDescent="0.25">
      <c r="A1736" t="s">
        <v>6</v>
      </c>
      <c r="B1736" s="1">
        <v>44917</v>
      </c>
      <c r="C1736">
        <v>15.095133000000001</v>
      </c>
    </row>
    <row r="1737" spans="1:3" x14ac:dyDescent="0.25">
      <c r="A1737" t="s">
        <v>6</v>
      </c>
      <c r="B1737" s="1">
        <v>44918</v>
      </c>
      <c r="C1737">
        <v>14.769607000000001</v>
      </c>
    </row>
    <row r="1738" spans="1:3" x14ac:dyDescent="0.25">
      <c r="A1738" t="s">
        <v>6</v>
      </c>
      <c r="B1738" s="1">
        <v>44922</v>
      </c>
      <c r="C1738">
        <v>14.68125</v>
      </c>
    </row>
    <row r="1739" spans="1:3" x14ac:dyDescent="0.25">
      <c r="A1739" t="s">
        <v>6</v>
      </c>
      <c r="B1739" s="1">
        <v>44923</v>
      </c>
      <c r="C1739">
        <v>14.695201000000001</v>
      </c>
    </row>
    <row r="1740" spans="1:3" x14ac:dyDescent="0.25">
      <c r="A1740" t="s">
        <v>6</v>
      </c>
      <c r="B1740" s="1">
        <v>44924</v>
      </c>
      <c r="C1740">
        <v>14.732405</v>
      </c>
    </row>
    <row r="1741" spans="1:3" x14ac:dyDescent="0.25">
      <c r="A1741" t="s">
        <v>6</v>
      </c>
      <c r="B1741" s="1">
        <v>44925</v>
      </c>
      <c r="C1741">
        <v>14.453381</v>
      </c>
    </row>
    <row r="1742" spans="1:3" x14ac:dyDescent="0.25">
      <c r="A1742" t="s">
        <v>6</v>
      </c>
      <c r="B1742" s="1">
        <v>44928</v>
      </c>
      <c r="C1742">
        <v>14.830062</v>
      </c>
    </row>
    <row r="1743" spans="1:3" x14ac:dyDescent="0.25">
      <c r="A1743" t="s">
        <v>6</v>
      </c>
      <c r="B1743" s="1">
        <v>44929</v>
      </c>
      <c r="C1743">
        <v>14.620794999999999</v>
      </c>
    </row>
    <row r="1744" spans="1:3" x14ac:dyDescent="0.25">
      <c r="A1744" t="s">
        <v>6</v>
      </c>
      <c r="B1744" s="1">
        <v>44930</v>
      </c>
      <c r="C1744">
        <v>13.988343</v>
      </c>
    </row>
    <row r="1745" spans="1:3" x14ac:dyDescent="0.25">
      <c r="A1745" t="s">
        <v>6</v>
      </c>
      <c r="B1745" s="1">
        <v>44931</v>
      </c>
      <c r="C1745">
        <v>13.997643</v>
      </c>
    </row>
    <row r="1746" spans="1:3" x14ac:dyDescent="0.25">
      <c r="A1746" t="s">
        <v>6</v>
      </c>
      <c r="B1746" s="1">
        <v>44935</v>
      </c>
      <c r="C1746">
        <v>14.165056999999999</v>
      </c>
    </row>
    <row r="1747" spans="1:3" x14ac:dyDescent="0.25">
      <c r="A1747" t="s">
        <v>6</v>
      </c>
      <c r="B1747" s="1">
        <v>44936</v>
      </c>
      <c r="C1747">
        <v>13.71397</v>
      </c>
    </row>
    <row r="1748" spans="1:3" x14ac:dyDescent="0.25">
      <c r="A1748" t="s">
        <v>6</v>
      </c>
      <c r="B1748" s="1">
        <v>44937</v>
      </c>
      <c r="C1748">
        <v>13.546556000000001</v>
      </c>
    </row>
    <row r="1749" spans="1:3" x14ac:dyDescent="0.25">
      <c r="A1749" t="s">
        <v>6</v>
      </c>
      <c r="B1749" s="1">
        <v>44938</v>
      </c>
      <c r="C1749">
        <v>13.672116000000001</v>
      </c>
    </row>
    <row r="1750" spans="1:3" x14ac:dyDescent="0.25">
      <c r="A1750" t="s">
        <v>6</v>
      </c>
      <c r="B1750" s="1">
        <v>44939</v>
      </c>
      <c r="C1750">
        <v>13.653516</v>
      </c>
    </row>
    <row r="1751" spans="1:3" x14ac:dyDescent="0.25">
      <c r="A1751" t="s">
        <v>6</v>
      </c>
      <c r="B1751" s="1">
        <v>44942</v>
      </c>
      <c r="C1751">
        <v>13.360541</v>
      </c>
    </row>
    <row r="1752" spans="1:3" x14ac:dyDescent="0.25">
      <c r="A1752" t="s">
        <v>6</v>
      </c>
      <c r="B1752" s="1">
        <v>44943</v>
      </c>
      <c r="C1752">
        <v>12.928056</v>
      </c>
    </row>
    <row r="1753" spans="1:3" x14ac:dyDescent="0.25">
      <c r="A1753" t="s">
        <v>6</v>
      </c>
      <c r="B1753" s="1">
        <v>44944</v>
      </c>
      <c r="C1753">
        <v>12.904804</v>
      </c>
    </row>
    <row r="1754" spans="1:3" x14ac:dyDescent="0.25">
      <c r="A1754" t="s">
        <v>6</v>
      </c>
      <c r="B1754" s="1">
        <v>44945</v>
      </c>
      <c r="C1754">
        <v>13.169876</v>
      </c>
    </row>
    <row r="1755" spans="1:3" x14ac:dyDescent="0.25">
      <c r="A1755" t="s">
        <v>6</v>
      </c>
      <c r="B1755" s="1">
        <v>44946</v>
      </c>
      <c r="C1755">
        <v>13.276833999999999</v>
      </c>
    </row>
    <row r="1756" spans="1:3" x14ac:dyDescent="0.25">
      <c r="A1756" t="s">
        <v>6</v>
      </c>
      <c r="B1756" s="1">
        <v>44949</v>
      </c>
      <c r="C1756">
        <v>13.33264</v>
      </c>
    </row>
    <row r="1757" spans="1:3" x14ac:dyDescent="0.25">
      <c r="A1757" t="s">
        <v>6</v>
      </c>
      <c r="B1757" s="1">
        <v>44950</v>
      </c>
      <c r="C1757">
        <v>13.402395</v>
      </c>
    </row>
    <row r="1758" spans="1:3" x14ac:dyDescent="0.25">
      <c r="A1758" t="s">
        <v>6</v>
      </c>
      <c r="B1758" s="1">
        <v>44951</v>
      </c>
      <c r="C1758">
        <v>13.179176999999999</v>
      </c>
    </row>
    <row r="1759" spans="1:3" x14ac:dyDescent="0.25">
      <c r="A1759" t="s">
        <v>6</v>
      </c>
      <c r="B1759" s="1">
        <v>44952</v>
      </c>
      <c r="C1759">
        <v>12.881553</v>
      </c>
    </row>
    <row r="1760" spans="1:3" x14ac:dyDescent="0.25">
      <c r="A1760" t="s">
        <v>6</v>
      </c>
      <c r="B1760" s="1">
        <v>44953</v>
      </c>
      <c r="C1760">
        <v>12.774592999999999</v>
      </c>
    </row>
    <row r="1761" spans="1:3" x14ac:dyDescent="0.25">
      <c r="A1761" t="s">
        <v>6</v>
      </c>
      <c r="B1761" s="1">
        <v>44956</v>
      </c>
      <c r="C1761">
        <v>12.96991</v>
      </c>
    </row>
    <row r="1762" spans="1:3" x14ac:dyDescent="0.25">
      <c r="A1762" t="s">
        <v>6</v>
      </c>
      <c r="B1762" s="1">
        <v>44957</v>
      </c>
      <c r="C1762">
        <v>12.848998999999999</v>
      </c>
    </row>
    <row r="1763" spans="1:3" x14ac:dyDescent="0.25">
      <c r="A1763" t="s">
        <v>6</v>
      </c>
      <c r="B1763" s="1">
        <v>44958</v>
      </c>
      <c r="C1763">
        <v>12.960609</v>
      </c>
    </row>
    <row r="1764" spans="1:3" x14ac:dyDescent="0.25">
      <c r="A1764" t="s">
        <v>6</v>
      </c>
      <c r="B1764" s="1">
        <v>44959</v>
      </c>
      <c r="C1764">
        <v>13.155925999999999</v>
      </c>
    </row>
    <row r="1765" spans="1:3" x14ac:dyDescent="0.25">
      <c r="A1765" t="s">
        <v>6</v>
      </c>
      <c r="B1765" s="1">
        <v>44960</v>
      </c>
      <c r="C1765">
        <v>13.062917000000001</v>
      </c>
    </row>
    <row r="1766" spans="1:3" x14ac:dyDescent="0.25">
      <c r="A1766" t="s">
        <v>6</v>
      </c>
      <c r="B1766" s="1">
        <v>44963</v>
      </c>
      <c r="C1766">
        <v>13.021064000000001</v>
      </c>
    </row>
    <row r="1767" spans="1:3" x14ac:dyDescent="0.25">
      <c r="A1767" t="s">
        <v>6</v>
      </c>
      <c r="B1767" s="1">
        <v>44964</v>
      </c>
      <c r="C1767">
        <v>13.067568</v>
      </c>
    </row>
    <row r="1768" spans="1:3" x14ac:dyDescent="0.25">
      <c r="A1768" t="s">
        <v>6</v>
      </c>
      <c r="B1768" s="1">
        <v>44965</v>
      </c>
      <c r="C1768">
        <v>13.076869</v>
      </c>
    </row>
    <row r="1769" spans="1:3" x14ac:dyDescent="0.25">
      <c r="A1769" t="s">
        <v>6</v>
      </c>
      <c r="B1769" s="1">
        <v>44966</v>
      </c>
      <c r="C1769">
        <v>13.197778</v>
      </c>
    </row>
    <row r="1770" spans="1:3" x14ac:dyDescent="0.25">
      <c r="A1770" t="s">
        <v>6</v>
      </c>
      <c r="B1770" s="1">
        <v>44967</v>
      </c>
      <c r="C1770">
        <v>13.086168000000001</v>
      </c>
    </row>
    <row r="1771" spans="1:3" x14ac:dyDescent="0.25">
      <c r="A1771" t="s">
        <v>6</v>
      </c>
      <c r="B1771" s="1">
        <v>44970</v>
      </c>
      <c r="C1771">
        <v>13.211729999999999</v>
      </c>
    </row>
    <row r="1772" spans="1:3" x14ac:dyDescent="0.25">
      <c r="A1772" t="s">
        <v>6</v>
      </c>
      <c r="B1772" s="1">
        <v>44971</v>
      </c>
      <c r="C1772">
        <v>13.439598</v>
      </c>
    </row>
    <row r="1773" spans="1:3" x14ac:dyDescent="0.25">
      <c r="A1773" t="s">
        <v>6</v>
      </c>
      <c r="B1773" s="1">
        <v>44972</v>
      </c>
      <c r="C1773">
        <v>13.4582</v>
      </c>
    </row>
    <row r="1774" spans="1:3" x14ac:dyDescent="0.25">
      <c r="A1774" t="s">
        <v>6</v>
      </c>
      <c r="B1774" s="1">
        <v>44973</v>
      </c>
      <c r="C1774">
        <v>13.420997</v>
      </c>
    </row>
    <row r="1775" spans="1:3" x14ac:dyDescent="0.25">
      <c r="A1775" t="s">
        <v>6</v>
      </c>
      <c r="B1775" s="1">
        <v>44974</v>
      </c>
      <c r="C1775">
        <v>13.420997</v>
      </c>
    </row>
    <row r="1776" spans="1:3" x14ac:dyDescent="0.25">
      <c r="A1776" t="s">
        <v>6</v>
      </c>
      <c r="B1776" s="1">
        <v>44977</v>
      </c>
      <c r="C1776">
        <v>13.346591</v>
      </c>
    </row>
    <row r="1777" spans="1:3" x14ac:dyDescent="0.25">
      <c r="A1777" t="s">
        <v>6</v>
      </c>
      <c r="B1777" s="1">
        <v>44978</v>
      </c>
      <c r="C1777">
        <v>13.379142999999999</v>
      </c>
    </row>
    <row r="1778" spans="1:3" x14ac:dyDescent="0.25">
      <c r="A1778" t="s">
        <v>6</v>
      </c>
      <c r="B1778" s="1">
        <v>44979</v>
      </c>
      <c r="C1778">
        <v>13.109422</v>
      </c>
    </row>
    <row r="1779" spans="1:3" x14ac:dyDescent="0.25">
      <c r="A1779" t="s">
        <v>6</v>
      </c>
      <c r="B1779" s="1">
        <v>44980</v>
      </c>
      <c r="C1779">
        <v>13.137324</v>
      </c>
    </row>
    <row r="1780" spans="1:3" x14ac:dyDescent="0.25">
      <c r="A1780" t="s">
        <v>6</v>
      </c>
      <c r="B1780" s="1">
        <v>44981</v>
      </c>
      <c r="C1780">
        <v>13.179176999999999</v>
      </c>
    </row>
    <row r="1781" spans="1:3" x14ac:dyDescent="0.25">
      <c r="A1781" t="s">
        <v>6</v>
      </c>
      <c r="B1781" s="1">
        <v>44984</v>
      </c>
      <c r="C1781">
        <v>13.495403</v>
      </c>
    </row>
    <row r="1782" spans="1:3" x14ac:dyDescent="0.25">
      <c r="A1782" t="s">
        <v>6</v>
      </c>
      <c r="B1782" s="1">
        <v>44985</v>
      </c>
      <c r="C1782">
        <v>13.448899000000001</v>
      </c>
    </row>
    <row r="1783" spans="1:3" x14ac:dyDescent="0.25">
      <c r="A1783" t="s">
        <v>6</v>
      </c>
      <c r="B1783" s="1">
        <v>44986</v>
      </c>
      <c r="C1783">
        <v>13.281485</v>
      </c>
    </row>
    <row r="1784" spans="1:3" x14ac:dyDescent="0.25">
      <c r="A1784" t="s">
        <v>6</v>
      </c>
      <c r="B1784" s="1">
        <v>44987</v>
      </c>
      <c r="C1784">
        <v>13.607011999999999</v>
      </c>
    </row>
    <row r="1785" spans="1:3" x14ac:dyDescent="0.25">
      <c r="A1785" t="s">
        <v>6</v>
      </c>
      <c r="B1785" s="1">
        <v>44988</v>
      </c>
      <c r="C1785">
        <v>13.793027</v>
      </c>
    </row>
    <row r="1786" spans="1:3" x14ac:dyDescent="0.25">
      <c r="A1786" t="s">
        <v>6</v>
      </c>
      <c r="B1786" s="1">
        <v>44991</v>
      </c>
      <c r="C1786">
        <v>13.751173</v>
      </c>
    </row>
    <row r="1787" spans="1:3" x14ac:dyDescent="0.25">
      <c r="A1787" t="s">
        <v>6</v>
      </c>
      <c r="B1787" s="1">
        <v>44992</v>
      </c>
      <c r="C1787">
        <v>13.532605999999999</v>
      </c>
    </row>
    <row r="1788" spans="1:3" x14ac:dyDescent="0.25">
      <c r="A1788" t="s">
        <v>6</v>
      </c>
      <c r="B1788" s="1">
        <v>44993</v>
      </c>
      <c r="C1788">
        <v>13.411695</v>
      </c>
    </row>
    <row r="1789" spans="1:3" x14ac:dyDescent="0.25">
      <c r="A1789" t="s">
        <v>6</v>
      </c>
      <c r="B1789" s="1">
        <v>44994</v>
      </c>
      <c r="C1789">
        <v>13.411695</v>
      </c>
    </row>
    <row r="1790" spans="1:3" x14ac:dyDescent="0.25">
      <c r="A1790" t="s">
        <v>6</v>
      </c>
      <c r="B1790" s="1">
        <v>44995</v>
      </c>
      <c r="C1790">
        <v>13.504704</v>
      </c>
    </row>
    <row r="1791" spans="1:3" x14ac:dyDescent="0.25">
      <c r="A1791" t="s">
        <v>6</v>
      </c>
      <c r="B1791" s="1">
        <v>44998</v>
      </c>
      <c r="C1791">
        <v>13.472151</v>
      </c>
    </row>
    <row r="1792" spans="1:3" x14ac:dyDescent="0.25">
      <c r="A1792" t="s">
        <v>6</v>
      </c>
      <c r="B1792" s="1">
        <v>44999</v>
      </c>
      <c r="C1792">
        <v>13.523305000000001</v>
      </c>
    </row>
    <row r="1793" spans="1:3" x14ac:dyDescent="0.25">
      <c r="A1793" t="s">
        <v>6</v>
      </c>
      <c r="B1793" s="1">
        <v>45000</v>
      </c>
      <c r="C1793">
        <v>12.73274</v>
      </c>
    </row>
    <row r="1794" spans="1:3" x14ac:dyDescent="0.25">
      <c r="A1794" t="s">
        <v>6</v>
      </c>
      <c r="B1794" s="1">
        <v>45001</v>
      </c>
      <c r="C1794">
        <v>12.802496</v>
      </c>
    </row>
    <row r="1795" spans="1:3" x14ac:dyDescent="0.25">
      <c r="A1795" t="s">
        <v>6</v>
      </c>
      <c r="B1795" s="1">
        <v>45002</v>
      </c>
      <c r="C1795">
        <v>12.472319000000001</v>
      </c>
    </row>
    <row r="1796" spans="1:3" x14ac:dyDescent="0.25">
      <c r="A1796" t="s">
        <v>6</v>
      </c>
      <c r="B1796" s="1">
        <v>45005</v>
      </c>
      <c r="C1796">
        <v>12.360709999999999</v>
      </c>
    </row>
    <row r="1797" spans="1:3" x14ac:dyDescent="0.25">
      <c r="A1797" t="s">
        <v>6</v>
      </c>
      <c r="B1797" s="1">
        <v>45006</v>
      </c>
      <c r="C1797">
        <v>12.509520999999999</v>
      </c>
    </row>
    <row r="1798" spans="1:3" x14ac:dyDescent="0.25">
      <c r="A1798" t="s">
        <v>6</v>
      </c>
      <c r="B1798" s="1">
        <v>45007</v>
      </c>
      <c r="C1798">
        <v>12.72344</v>
      </c>
    </row>
    <row r="1799" spans="1:3" x14ac:dyDescent="0.25">
      <c r="A1799" t="s">
        <v>6</v>
      </c>
      <c r="B1799" s="1">
        <v>45008</v>
      </c>
      <c r="C1799">
        <v>12.597879000000001</v>
      </c>
    </row>
    <row r="1800" spans="1:3" x14ac:dyDescent="0.25">
      <c r="A1800" t="s">
        <v>6</v>
      </c>
      <c r="B1800" s="1">
        <v>45009</v>
      </c>
      <c r="C1800">
        <v>12.249101</v>
      </c>
    </row>
    <row r="1801" spans="1:3" x14ac:dyDescent="0.25">
      <c r="A1801" t="s">
        <v>6</v>
      </c>
      <c r="B1801" s="1">
        <v>45012</v>
      </c>
      <c r="C1801">
        <v>12.486271</v>
      </c>
    </row>
    <row r="1802" spans="1:3" x14ac:dyDescent="0.25">
      <c r="A1802" t="s">
        <v>6</v>
      </c>
      <c r="B1802" s="1">
        <v>45013</v>
      </c>
      <c r="C1802">
        <v>12.588578</v>
      </c>
    </row>
    <row r="1803" spans="1:3" x14ac:dyDescent="0.25">
      <c r="A1803" t="s">
        <v>6</v>
      </c>
      <c r="B1803" s="1">
        <v>45014</v>
      </c>
      <c r="C1803">
        <v>12.672285</v>
      </c>
    </row>
    <row r="1804" spans="1:3" x14ac:dyDescent="0.25">
      <c r="A1804" t="s">
        <v>6</v>
      </c>
      <c r="B1804" s="1">
        <v>45015</v>
      </c>
      <c r="C1804">
        <v>12.983860999999999</v>
      </c>
    </row>
    <row r="1805" spans="1:3" x14ac:dyDescent="0.25">
      <c r="A1805" t="s">
        <v>6</v>
      </c>
      <c r="B1805" s="1">
        <v>45016</v>
      </c>
      <c r="C1805">
        <v>13.128022</v>
      </c>
    </row>
    <row r="1806" spans="1:3" x14ac:dyDescent="0.25">
      <c r="A1806" t="s">
        <v>6</v>
      </c>
      <c r="B1806" s="1">
        <v>45019</v>
      </c>
      <c r="C1806">
        <v>13.314037000000001</v>
      </c>
    </row>
    <row r="1807" spans="1:3" x14ac:dyDescent="0.25">
      <c r="A1807" t="s">
        <v>6</v>
      </c>
      <c r="B1807" s="1">
        <v>45020</v>
      </c>
      <c r="C1807">
        <v>13.486101</v>
      </c>
    </row>
    <row r="1808" spans="1:3" x14ac:dyDescent="0.25">
      <c r="A1808" t="s">
        <v>6</v>
      </c>
      <c r="B1808" s="1">
        <v>45021</v>
      </c>
      <c r="C1808">
        <v>13.444248</v>
      </c>
    </row>
    <row r="1809" spans="1:3" x14ac:dyDescent="0.25">
      <c r="A1809" t="s">
        <v>6</v>
      </c>
      <c r="B1809" s="1">
        <v>45022</v>
      </c>
      <c r="C1809">
        <v>13.58841</v>
      </c>
    </row>
    <row r="1810" spans="1:3" x14ac:dyDescent="0.25">
      <c r="A1810" t="s">
        <v>6</v>
      </c>
      <c r="B1810" s="1">
        <v>45027</v>
      </c>
      <c r="C1810">
        <v>13.844181000000001</v>
      </c>
    </row>
    <row r="1811" spans="1:3" x14ac:dyDescent="0.25">
      <c r="A1811" t="s">
        <v>6</v>
      </c>
      <c r="B1811" s="1">
        <v>45028</v>
      </c>
      <c r="C1811">
        <v>13.700018999999999</v>
      </c>
    </row>
    <row r="1812" spans="1:3" x14ac:dyDescent="0.25">
      <c r="A1812" t="s">
        <v>6</v>
      </c>
      <c r="B1812" s="1">
        <v>45029</v>
      </c>
      <c r="C1812">
        <v>13.662815999999999</v>
      </c>
    </row>
    <row r="1813" spans="1:3" x14ac:dyDescent="0.25">
      <c r="A1813" t="s">
        <v>6</v>
      </c>
      <c r="B1813" s="1">
        <v>45030</v>
      </c>
      <c r="C1813">
        <v>13.441984</v>
      </c>
    </row>
    <row r="1814" spans="1:3" x14ac:dyDescent="0.25">
      <c r="A1814" t="s">
        <v>6</v>
      </c>
      <c r="B1814" s="1">
        <v>45033</v>
      </c>
      <c r="C1814">
        <v>13.317164999999999</v>
      </c>
    </row>
    <row r="1815" spans="1:3" x14ac:dyDescent="0.25">
      <c r="A1815" t="s">
        <v>6</v>
      </c>
      <c r="B1815" s="1">
        <v>45034</v>
      </c>
      <c r="C1815">
        <v>13.192347</v>
      </c>
    </row>
    <row r="1816" spans="1:3" x14ac:dyDescent="0.25">
      <c r="A1816" t="s">
        <v>6</v>
      </c>
      <c r="B1816" s="1">
        <v>45035</v>
      </c>
      <c r="C1816">
        <v>13.345969</v>
      </c>
    </row>
    <row r="1817" spans="1:3" x14ac:dyDescent="0.25">
      <c r="A1817" t="s">
        <v>6</v>
      </c>
      <c r="B1817" s="1">
        <v>45036</v>
      </c>
      <c r="C1817">
        <v>13.398778</v>
      </c>
    </row>
    <row r="1818" spans="1:3" x14ac:dyDescent="0.25">
      <c r="A1818" t="s">
        <v>6</v>
      </c>
      <c r="B1818" s="1">
        <v>45037</v>
      </c>
      <c r="C1818">
        <v>13.173144000000001</v>
      </c>
    </row>
    <row r="1819" spans="1:3" x14ac:dyDescent="0.25">
      <c r="A1819" t="s">
        <v>6</v>
      </c>
      <c r="B1819" s="1">
        <v>45040</v>
      </c>
      <c r="C1819">
        <v>13.029121999999999</v>
      </c>
    </row>
    <row r="1820" spans="1:3" x14ac:dyDescent="0.25">
      <c r="A1820" t="s">
        <v>6</v>
      </c>
      <c r="B1820" s="1">
        <v>45041</v>
      </c>
      <c r="C1820">
        <v>12.894704000000001</v>
      </c>
    </row>
    <row r="1821" spans="1:3" x14ac:dyDescent="0.25">
      <c r="A1821" t="s">
        <v>6</v>
      </c>
      <c r="B1821" s="1">
        <v>45042</v>
      </c>
      <c r="C1821">
        <v>12.894704000000001</v>
      </c>
    </row>
    <row r="1822" spans="1:3" x14ac:dyDescent="0.25">
      <c r="A1822" t="s">
        <v>6</v>
      </c>
      <c r="B1822" s="1">
        <v>45043</v>
      </c>
      <c r="C1822">
        <v>12.889903</v>
      </c>
    </row>
    <row r="1823" spans="1:3" x14ac:dyDescent="0.25">
      <c r="A1823" t="s">
        <v>6</v>
      </c>
      <c r="B1823" s="1">
        <v>45044</v>
      </c>
      <c r="C1823">
        <v>12.990717</v>
      </c>
    </row>
    <row r="1824" spans="1:3" x14ac:dyDescent="0.25">
      <c r="A1824" t="s">
        <v>6</v>
      </c>
      <c r="B1824" s="1">
        <v>45048</v>
      </c>
      <c r="C1824">
        <v>12.702674999999999</v>
      </c>
    </row>
    <row r="1825" spans="1:3" x14ac:dyDescent="0.25">
      <c r="A1825" t="s">
        <v>6</v>
      </c>
      <c r="B1825" s="1">
        <v>45049</v>
      </c>
      <c r="C1825">
        <v>12.664268</v>
      </c>
    </row>
    <row r="1826" spans="1:3" x14ac:dyDescent="0.25">
      <c r="A1826" t="s">
        <v>6</v>
      </c>
      <c r="B1826" s="1">
        <v>45050</v>
      </c>
      <c r="C1826">
        <v>12.707476</v>
      </c>
    </row>
    <row r="1827" spans="1:3" x14ac:dyDescent="0.25">
      <c r="A1827" t="s">
        <v>6</v>
      </c>
      <c r="B1827" s="1">
        <v>45051</v>
      </c>
      <c r="C1827">
        <v>13.029121999999999</v>
      </c>
    </row>
    <row r="1828" spans="1:3" x14ac:dyDescent="0.25">
      <c r="A1828" t="s">
        <v>6</v>
      </c>
      <c r="B1828" s="1">
        <v>45054</v>
      </c>
      <c r="C1828">
        <v>13.057928</v>
      </c>
    </row>
    <row r="1829" spans="1:3" x14ac:dyDescent="0.25">
      <c r="A1829" t="s">
        <v>6</v>
      </c>
      <c r="B1829" s="1">
        <v>45055</v>
      </c>
      <c r="C1829">
        <v>13.158742</v>
      </c>
    </row>
    <row r="1830" spans="1:3" x14ac:dyDescent="0.25">
      <c r="A1830" t="s">
        <v>6</v>
      </c>
      <c r="B1830" s="1">
        <v>45056</v>
      </c>
      <c r="C1830">
        <v>13.20675</v>
      </c>
    </row>
    <row r="1831" spans="1:3" x14ac:dyDescent="0.25">
      <c r="A1831" t="s">
        <v>6</v>
      </c>
      <c r="B1831" s="1">
        <v>45057</v>
      </c>
      <c r="C1831">
        <v>13.072329999999999</v>
      </c>
    </row>
    <row r="1832" spans="1:3" x14ac:dyDescent="0.25">
      <c r="A1832" t="s">
        <v>6</v>
      </c>
      <c r="B1832" s="1">
        <v>45058</v>
      </c>
      <c r="C1832">
        <v>13.225951999999999</v>
      </c>
    </row>
    <row r="1833" spans="1:3" x14ac:dyDescent="0.25">
      <c r="A1833" t="s">
        <v>6</v>
      </c>
      <c r="B1833" s="1">
        <v>45061</v>
      </c>
      <c r="C1833">
        <v>13.408379999999999</v>
      </c>
    </row>
    <row r="1834" spans="1:3" x14ac:dyDescent="0.25">
      <c r="A1834" t="s">
        <v>6</v>
      </c>
      <c r="B1834" s="1">
        <v>45062</v>
      </c>
      <c r="C1834">
        <v>13.043526</v>
      </c>
    </row>
    <row r="1835" spans="1:3" x14ac:dyDescent="0.25">
      <c r="A1835" t="s">
        <v>6</v>
      </c>
      <c r="B1835" s="1">
        <v>45063</v>
      </c>
      <c r="C1835">
        <v>12.856297</v>
      </c>
    </row>
    <row r="1836" spans="1:3" x14ac:dyDescent="0.25">
      <c r="A1836" t="s">
        <v>6</v>
      </c>
      <c r="B1836" s="1">
        <v>45065</v>
      </c>
      <c r="C1836">
        <v>12.621062999999999</v>
      </c>
    </row>
    <row r="1837" spans="1:3" x14ac:dyDescent="0.25">
      <c r="A1837" t="s">
        <v>6</v>
      </c>
      <c r="B1837" s="1">
        <v>45068</v>
      </c>
      <c r="C1837">
        <v>12.539452000000001</v>
      </c>
    </row>
    <row r="1838" spans="1:3" x14ac:dyDescent="0.25">
      <c r="A1838" t="s">
        <v>6</v>
      </c>
      <c r="B1838" s="1">
        <v>45069</v>
      </c>
      <c r="C1838">
        <v>12.837094</v>
      </c>
    </row>
    <row r="1839" spans="1:3" x14ac:dyDescent="0.25">
      <c r="A1839" t="s">
        <v>6</v>
      </c>
      <c r="B1839" s="1">
        <v>45070</v>
      </c>
      <c r="C1839">
        <v>12.505845000000001</v>
      </c>
    </row>
    <row r="1840" spans="1:3" x14ac:dyDescent="0.25">
      <c r="A1840" t="s">
        <v>6</v>
      </c>
      <c r="B1840" s="1">
        <v>45071</v>
      </c>
      <c r="C1840">
        <v>12.270611000000001</v>
      </c>
    </row>
    <row r="1841" spans="1:3" x14ac:dyDescent="0.25">
      <c r="A1841" t="s">
        <v>6</v>
      </c>
      <c r="B1841" s="1">
        <v>45072</v>
      </c>
      <c r="C1841">
        <v>12.035377</v>
      </c>
    </row>
    <row r="1842" spans="1:3" x14ac:dyDescent="0.25">
      <c r="A1842" t="s">
        <v>6</v>
      </c>
      <c r="B1842" s="1">
        <v>45075</v>
      </c>
      <c r="C1842">
        <v>12.184198</v>
      </c>
    </row>
    <row r="1843" spans="1:3" x14ac:dyDescent="0.25">
      <c r="A1843" t="s">
        <v>6</v>
      </c>
      <c r="B1843" s="1">
        <v>45076</v>
      </c>
      <c r="C1843">
        <v>12.198601</v>
      </c>
    </row>
    <row r="1844" spans="1:3" x14ac:dyDescent="0.25">
      <c r="A1844" t="s">
        <v>6</v>
      </c>
      <c r="B1844" s="1">
        <v>45077</v>
      </c>
      <c r="C1844">
        <v>11.934562</v>
      </c>
    </row>
    <row r="1845" spans="1:3" x14ac:dyDescent="0.25">
      <c r="A1845" t="s">
        <v>6</v>
      </c>
      <c r="B1845" s="1">
        <v>45078</v>
      </c>
      <c r="C1845">
        <v>11.531302</v>
      </c>
    </row>
    <row r="1846" spans="1:3" x14ac:dyDescent="0.25">
      <c r="A1846" t="s">
        <v>6</v>
      </c>
      <c r="B1846" s="1">
        <v>45079</v>
      </c>
      <c r="C1846">
        <v>11.718529999999999</v>
      </c>
    </row>
    <row r="1847" spans="1:3" x14ac:dyDescent="0.25">
      <c r="A1847" t="s">
        <v>6</v>
      </c>
      <c r="B1847" s="1">
        <v>45082</v>
      </c>
      <c r="C1847">
        <v>11.804942</v>
      </c>
    </row>
    <row r="1848" spans="1:3" x14ac:dyDescent="0.25">
      <c r="A1848" t="s">
        <v>6</v>
      </c>
      <c r="B1848" s="1">
        <v>45083</v>
      </c>
      <c r="C1848">
        <v>11.713729000000001</v>
      </c>
    </row>
    <row r="1849" spans="1:3" x14ac:dyDescent="0.25">
      <c r="A1849" t="s">
        <v>6</v>
      </c>
      <c r="B1849" s="1">
        <v>45084</v>
      </c>
      <c r="C1849">
        <v>11.65132</v>
      </c>
    </row>
    <row r="1850" spans="1:3" x14ac:dyDescent="0.25">
      <c r="A1850" t="s">
        <v>6</v>
      </c>
      <c r="B1850" s="1">
        <v>45085</v>
      </c>
      <c r="C1850">
        <v>11.737733</v>
      </c>
    </row>
    <row r="1851" spans="1:3" x14ac:dyDescent="0.25">
      <c r="A1851" t="s">
        <v>6</v>
      </c>
      <c r="B1851" s="1">
        <v>45086</v>
      </c>
      <c r="C1851">
        <v>11.910558</v>
      </c>
    </row>
    <row r="1852" spans="1:3" x14ac:dyDescent="0.25">
      <c r="A1852" t="s">
        <v>6</v>
      </c>
      <c r="B1852" s="1">
        <v>45089</v>
      </c>
      <c r="C1852">
        <v>12.092985000000001</v>
      </c>
    </row>
    <row r="1853" spans="1:3" x14ac:dyDescent="0.25">
      <c r="A1853" t="s">
        <v>6</v>
      </c>
      <c r="B1853" s="1">
        <v>45090</v>
      </c>
      <c r="C1853">
        <v>12.275411999999999</v>
      </c>
    </row>
    <row r="1854" spans="1:3" x14ac:dyDescent="0.25">
      <c r="A1854" t="s">
        <v>6</v>
      </c>
      <c r="B1854" s="1">
        <v>45091</v>
      </c>
      <c r="C1854">
        <v>12.664268</v>
      </c>
    </row>
    <row r="1855" spans="1:3" x14ac:dyDescent="0.25">
      <c r="A1855" t="s">
        <v>6</v>
      </c>
      <c r="B1855" s="1">
        <v>45092</v>
      </c>
      <c r="C1855">
        <v>12.553853</v>
      </c>
    </row>
    <row r="1856" spans="1:3" x14ac:dyDescent="0.25">
      <c r="A1856" t="s">
        <v>6</v>
      </c>
      <c r="B1856" s="1">
        <v>45093</v>
      </c>
      <c r="C1856">
        <v>12.424232999999999</v>
      </c>
    </row>
    <row r="1857" spans="1:3" x14ac:dyDescent="0.25">
      <c r="A1857" t="s">
        <v>6</v>
      </c>
      <c r="B1857" s="1">
        <v>45096</v>
      </c>
      <c r="C1857">
        <v>12.121789</v>
      </c>
    </row>
    <row r="1858" spans="1:3" x14ac:dyDescent="0.25">
      <c r="A1858" t="s">
        <v>6</v>
      </c>
      <c r="B1858" s="1">
        <v>45097</v>
      </c>
      <c r="C1858">
        <v>12.275411999999999</v>
      </c>
    </row>
    <row r="1859" spans="1:3" x14ac:dyDescent="0.25">
      <c r="A1859" t="s">
        <v>6</v>
      </c>
      <c r="B1859" s="1">
        <v>45098</v>
      </c>
      <c r="C1859">
        <v>12.078583</v>
      </c>
    </row>
    <row r="1860" spans="1:3" x14ac:dyDescent="0.25">
      <c r="A1860" t="s">
        <v>6</v>
      </c>
      <c r="B1860" s="1">
        <v>45099</v>
      </c>
      <c r="C1860">
        <v>11.900957</v>
      </c>
    </row>
    <row r="1861" spans="1:3" x14ac:dyDescent="0.25">
      <c r="A1861" t="s">
        <v>6</v>
      </c>
      <c r="B1861" s="1">
        <v>45103</v>
      </c>
      <c r="C1861">
        <v>11.713729000000001</v>
      </c>
    </row>
    <row r="1862" spans="1:3" x14ac:dyDescent="0.25">
      <c r="A1862" t="s">
        <v>6</v>
      </c>
      <c r="B1862" s="1">
        <v>45104</v>
      </c>
      <c r="C1862">
        <v>11.953764</v>
      </c>
    </row>
    <row r="1863" spans="1:3" x14ac:dyDescent="0.25">
      <c r="A1863" t="s">
        <v>6</v>
      </c>
      <c r="B1863" s="1">
        <v>45105</v>
      </c>
      <c r="C1863">
        <v>11.867352</v>
      </c>
    </row>
    <row r="1864" spans="1:3" x14ac:dyDescent="0.25">
      <c r="A1864" t="s">
        <v>6</v>
      </c>
      <c r="B1864" s="1">
        <v>45106</v>
      </c>
      <c r="C1864">
        <v>11.857751</v>
      </c>
    </row>
    <row r="1865" spans="1:3" x14ac:dyDescent="0.25">
      <c r="A1865" t="s">
        <v>6</v>
      </c>
      <c r="B1865" s="1">
        <v>45107</v>
      </c>
      <c r="C1865">
        <v>11.776138</v>
      </c>
    </row>
    <row r="1866" spans="1:3" x14ac:dyDescent="0.25">
      <c r="A1866" t="s">
        <v>6</v>
      </c>
      <c r="B1866" s="1">
        <v>45110</v>
      </c>
      <c r="C1866">
        <v>12.049778999999999</v>
      </c>
    </row>
    <row r="1867" spans="1:3" x14ac:dyDescent="0.25">
      <c r="A1867" t="s">
        <v>6</v>
      </c>
      <c r="B1867" s="1">
        <v>45111</v>
      </c>
      <c r="C1867">
        <v>12.016173999999999</v>
      </c>
    </row>
    <row r="1868" spans="1:3" x14ac:dyDescent="0.25">
      <c r="A1868" t="s">
        <v>6</v>
      </c>
      <c r="B1868" s="1">
        <v>45112</v>
      </c>
      <c r="C1868">
        <v>11.900957</v>
      </c>
    </row>
    <row r="1869" spans="1:3" x14ac:dyDescent="0.25">
      <c r="A1869" t="s">
        <v>6</v>
      </c>
      <c r="B1869" s="1">
        <v>45113</v>
      </c>
      <c r="C1869">
        <v>11.771338</v>
      </c>
    </row>
    <row r="1870" spans="1:3" x14ac:dyDescent="0.25">
      <c r="A1870" t="s">
        <v>6</v>
      </c>
      <c r="B1870" s="1">
        <v>45114</v>
      </c>
      <c r="C1870">
        <v>11.684925</v>
      </c>
    </row>
    <row r="1871" spans="1:3" x14ac:dyDescent="0.25">
      <c r="A1871" t="s">
        <v>6</v>
      </c>
      <c r="B1871" s="1">
        <v>45117</v>
      </c>
      <c r="C1871">
        <v>11.536103000000001</v>
      </c>
    </row>
    <row r="1872" spans="1:3" x14ac:dyDescent="0.25">
      <c r="A1872" t="s">
        <v>6</v>
      </c>
      <c r="B1872" s="1">
        <v>45118</v>
      </c>
      <c r="C1872">
        <v>11.492896999999999</v>
      </c>
    </row>
    <row r="1873" spans="1:3" x14ac:dyDescent="0.25">
      <c r="A1873" t="s">
        <v>6</v>
      </c>
      <c r="B1873" s="1">
        <v>45119</v>
      </c>
      <c r="C1873">
        <v>11.281665</v>
      </c>
    </row>
    <row r="1874" spans="1:3" x14ac:dyDescent="0.25">
      <c r="A1874" t="s">
        <v>6</v>
      </c>
      <c r="B1874" s="1">
        <v>45120</v>
      </c>
      <c r="C1874">
        <v>11.464091</v>
      </c>
    </row>
    <row r="1875" spans="1:3" x14ac:dyDescent="0.25">
      <c r="A1875" t="s">
        <v>6</v>
      </c>
      <c r="B1875" s="1">
        <v>45121</v>
      </c>
      <c r="C1875">
        <v>11.507298</v>
      </c>
    </row>
    <row r="1876" spans="1:3" x14ac:dyDescent="0.25">
      <c r="A1876" t="s">
        <v>6</v>
      </c>
      <c r="B1876" s="1">
        <v>45124</v>
      </c>
      <c r="C1876">
        <v>11.348875</v>
      </c>
    </row>
    <row r="1877" spans="1:3" x14ac:dyDescent="0.25">
      <c r="A1877" t="s">
        <v>6</v>
      </c>
      <c r="B1877" s="1">
        <v>45125</v>
      </c>
      <c r="C1877">
        <v>11.521701</v>
      </c>
    </row>
    <row r="1878" spans="1:3" x14ac:dyDescent="0.25">
      <c r="A1878" t="s">
        <v>6</v>
      </c>
      <c r="B1878" s="1">
        <v>45126</v>
      </c>
      <c r="C1878">
        <v>11.646519</v>
      </c>
    </row>
    <row r="1879" spans="1:3" x14ac:dyDescent="0.25">
      <c r="A1879" t="s">
        <v>6</v>
      </c>
      <c r="B1879" s="1">
        <v>45127</v>
      </c>
      <c r="C1879">
        <v>11.814544</v>
      </c>
    </row>
    <row r="1880" spans="1:3" x14ac:dyDescent="0.25">
      <c r="A1880" t="s">
        <v>6</v>
      </c>
      <c r="B1880" s="1">
        <v>45128</v>
      </c>
      <c r="C1880">
        <v>11.953764</v>
      </c>
    </row>
    <row r="1881" spans="1:3" x14ac:dyDescent="0.25">
      <c r="A1881" t="s">
        <v>6</v>
      </c>
      <c r="B1881" s="1">
        <v>45131</v>
      </c>
      <c r="C1881">
        <v>12.030576</v>
      </c>
    </row>
    <row r="1882" spans="1:3" x14ac:dyDescent="0.25">
      <c r="A1882" t="s">
        <v>6</v>
      </c>
      <c r="B1882" s="1">
        <v>45132</v>
      </c>
      <c r="C1882">
        <v>12.131391000000001</v>
      </c>
    </row>
    <row r="1883" spans="1:3" x14ac:dyDescent="0.25">
      <c r="A1883" t="s">
        <v>6</v>
      </c>
      <c r="B1883" s="1">
        <v>45133</v>
      </c>
      <c r="C1883">
        <v>11.838547999999999</v>
      </c>
    </row>
    <row r="1884" spans="1:3" x14ac:dyDescent="0.25">
      <c r="A1884" t="s">
        <v>6</v>
      </c>
      <c r="B1884" s="1">
        <v>45134</v>
      </c>
      <c r="C1884">
        <v>11.660921999999999</v>
      </c>
    </row>
    <row r="1885" spans="1:3" x14ac:dyDescent="0.25">
      <c r="A1885" t="s">
        <v>6</v>
      </c>
      <c r="B1885" s="1">
        <v>45135</v>
      </c>
      <c r="C1885">
        <v>11.540903999999999</v>
      </c>
    </row>
    <row r="1886" spans="1:3" x14ac:dyDescent="0.25">
      <c r="A1886" t="s">
        <v>6</v>
      </c>
      <c r="B1886" s="1">
        <v>45138</v>
      </c>
      <c r="C1886">
        <v>11.819345</v>
      </c>
    </row>
    <row r="1887" spans="1:3" x14ac:dyDescent="0.25">
      <c r="A1887" t="s">
        <v>6</v>
      </c>
      <c r="B1887" s="1">
        <v>45139</v>
      </c>
      <c r="C1887">
        <v>11.694527000000001</v>
      </c>
    </row>
    <row r="1888" spans="1:3" x14ac:dyDescent="0.25">
      <c r="A1888" t="s">
        <v>6</v>
      </c>
      <c r="B1888" s="1">
        <v>45140</v>
      </c>
      <c r="C1888">
        <v>11.420885999999999</v>
      </c>
    </row>
    <row r="1889" spans="1:3" x14ac:dyDescent="0.25">
      <c r="A1889" t="s">
        <v>6</v>
      </c>
      <c r="B1889" s="1">
        <v>45141</v>
      </c>
      <c r="C1889">
        <v>11.204853999999999</v>
      </c>
    </row>
    <row r="1890" spans="1:3" x14ac:dyDescent="0.25">
      <c r="A1890" t="s">
        <v>6</v>
      </c>
      <c r="B1890" s="1">
        <v>45142</v>
      </c>
      <c r="C1890">
        <v>11.344074000000001</v>
      </c>
    </row>
    <row r="1891" spans="1:3" x14ac:dyDescent="0.25">
      <c r="A1891" t="s">
        <v>6</v>
      </c>
      <c r="B1891" s="1">
        <v>45145</v>
      </c>
      <c r="C1891">
        <v>11.473693000000001</v>
      </c>
    </row>
    <row r="1892" spans="1:3" x14ac:dyDescent="0.25">
      <c r="A1892" t="s">
        <v>6</v>
      </c>
      <c r="B1892" s="1">
        <v>45146</v>
      </c>
      <c r="C1892">
        <v>11.579309</v>
      </c>
    </row>
    <row r="1893" spans="1:3" x14ac:dyDescent="0.25">
      <c r="A1893" t="s">
        <v>6</v>
      </c>
      <c r="B1893" s="1">
        <v>45147</v>
      </c>
      <c r="C1893">
        <v>11.742533</v>
      </c>
    </row>
    <row r="1894" spans="1:3" x14ac:dyDescent="0.25">
      <c r="A1894" t="s">
        <v>6</v>
      </c>
      <c r="B1894" s="1">
        <v>45148</v>
      </c>
      <c r="C1894">
        <v>11.550504999999999</v>
      </c>
    </row>
    <row r="1895" spans="1:3" x14ac:dyDescent="0.25">
      <c r="A1895" t="s">
        <v>6</v>
      </c>
      <c r="B1895" s="1">
        <v>45149</v>
      </c>
      <c r="C1895">
        <v>11.363277</v>
      </c>
    </row>
    <row r="1896" spans="1:3" x14ac:dyDescent="0.25">
      <c r="A1896" t="s">
        <v>6</v>
      </c>
      <c r="B1896" s="1">
        <v>45152</v>
      </c>
      <c r="C1896">
        <v>11.233658</v>
      </c>
    </row>
    <row r="1897" spans="1:3" x14ac:dyDescent="0.25">
      <c r="A1897" t="s">
        <v>6</v>
      </c>
      <c r="B1897" s="1">
        <v>45153</v>
      </c>
      <c r="C1897">
        <v>11.248060000000001</v>
      </c>
    </row>
    <row r="1898" spans="1:3" x14ac:dyDescent="0.25">
      <c r="A1898" t="s">
        <v>6</v>
      </c>
      <c r="B1898" s="1">
        <v>45154</v>
      </c>
      <c r="C1898">
        <v>11.320071</v>
      </c>
    </row>
    <row r="1899" spans="1:3" x14ac:dyDescent="0.25">
      <c r="A1899" t="s">
        <v>6</v>
      </c>
      <c r="B1899" s="1">
        <v>45155</v>
      </c>
      <c r="C1899">
        <v>11.329673</v>
      </c>
    </row>
    <row r="1900" spans="1:3" x14ac:dyDescent="0.25">
      <c r="A1900" t="s">
        <v>6</v>
      </c>
      <c r="B1900" s="1">
        <v>45156</v>
      </c>
      <c r="C1900">
        <v>11.387280000000001</v>
      </c>
    </row>
    <row r="1901" spans="1:3" x14ac:dyDescent="0.25">
      <c r="A1901" t="s">
        <v>6</v>
      </c>
      <c r="B1901" s="1">
        <v>45159</v>
      </c>
      <c r="C1901">
        <v>11.440087999999999</v>
      </c>
    </row>
    <row r="1902" spans="1:3" x14ac:dyDescent="0.25">
      <c r="A1902" t="s">
        <v>6</v>
      </c>
      <c r="B1902" s="1">
        <v>45160</v>
      </c>
      <c r="C1902">
        <v>11.550504999999999</v>
      </c>
    </row>
    <row r="1903" spans="1:3" x14ac:dyDescent="0.25">
      <c r="A1903" t="s">
        <v>6</v>
      </c>
      <c r="B1903" s="1">
        <v>45161</v>
      </c>
      <c r="C1903">
        <v>11.598511999999999</v>
      </c>
    </row>
    <row r="1904" spans="1:3" x14ac:dyDescent="0.25">
      <c r="A1904" t="s">
        <v>6</v>
      </c>
      <c r="B1904" s="1">
        <v>45162</v>
      </c>
      <c r="C1904">
        <v>11.411284</v>
      </c>
    </row>
    <row r="1905" spans="1:3" x14ac:dyDescent="0.25">
      <c r="A1905" t="s">
        <v>6</v>
      </c>
      <c r="B1905" s="1">
        <v>45163</v>
      </c>
      <c r="C1905">
        <v>11.574509000000001</v>
      </c>
    </row>
    <row r="1906" spans="1:3" x14ac:dyDescent="0.25">
      <c r="A1906" t="s">
        <v>6</v>
      </c>
      <c r="B1906" s="1">
        <v>45166</v>
      </c>
      <c r="C1906">
        <v>11.665722000000001</v>
      </c>
    </row>
    <row r="1907" spans="1:3" x14ac:dyDescent="0.25">
      <c r="A1907" t="s">
        <v>6</v>
      </c>
      <c r="B1907" s="1">
        <v>45167</v>
      </c>
      <c r="C1907">
        <v>11.929760999999999</v>
      </c>
    </row>
    <row r="1908" spans="1:3" x14ac:dyDescent="0.25">
      <c r="A1908" t="s">
        <v>6</v>
      </c>
      <c r="B1908" s="1">
        <v>45168</v>
      </c>
      <c r="C1908">
        <v>11.972967000000001</v>
      </c>
    </row>
    <row r="1909" spans="1:3" x14ac:dyDescent="0.25">
      <c r="A1909" t="s">
        <v>6</v>
      </c>
      <c r="B1909" s="1">
        <v>45169</v>
      </c>
      <c r="C1909">
        <v>11.905756999999999</v>
      </c>
    </row>
    <row r="1910" spans="1:3" x14ac:dyDescent="0.25">
      <c r="A1910" t="s">
        <v>6</v>
      </c>
      <c r="B1910" s="1">
        <v>45170</v>
      </c>
      <c r="C1910">
        <v>11.944162</v>
      </c>
    </row>
    <row r="1911" spans="1:3" x14ac:dyDescent="0.25">
      <c r="A1911" t="s">
        <v>6</v>
      </c>
      <c r="B1911" s="1">
        <v>45173</v>
      </c>
      <c r="C1911">
        <v>11.713729000000001</v>
      </c>
    </row>
    <row r="1912" spans="1:3" x14ac:dyDescent="0.25">
      <c r="A1912" t="s">
        <v>6</v>
      </c>
      <c r="B1912" s="1">
        <v>45174</v>
      </c>
      <c r="C1912">
        <v>11.675323000000001</v>
      </c>
    </row>
    <row r="1913" spans="1:3" x14ac:dyDescent="0.25">
      <c r="A1913" t="s">
        <v>6</v>
      </c>
      <c r="B1913" s="1">
        <v>45175</v>
      </c>
      <c r="C1913">
        <v>11.632116</v>
      </c>
    </row>
    <row r="1914" spans="1:3" x14ac:dyDescent="0.25">
      <c r="A1914" t="s">
        <v>6</v>
      </c>
      <c r="B1914" s="1">
        <v>45176</v>
      </c>
      <c r="C1914">
        <v>11.660921999999999</v>
      </c>
    </row>
    <row r="1915" spans="1:3" x14ac:dyDescent="0.25">
      <c r="A1915" t="s">
        <v>6</v>
      </c>
      <c r="B1915" s="1">
        <v>45177</v>
      </c>
      <c r="C1915">
        <v>11.785739</v>
      </c>
    </row>
    <row r="1916" spans="1:3" x14ac:dyDescent="0.25">
      <c r="A1916" t="s">
        <v>6</v>
      </c>
      <c r="B1916" s="1">
        <v>45180</v>
      </c>
      <c r="C1916">
        <v>11.876953</v>
      </c>
    </row>
    <row r="1917" spans="1:3" x14ac:dyDescent="0.25">
      <c r="A1917" t="s">
        <v>6</v>
      </c>
      <c r="B1917" s="1">
        <v>45181</v>
      </c>
      <c r="C1917">
        <v>11.862551</v>
      </c>
    </row>
    <row r="1918" spans="1:3" x14ac:dyDescent="0.25">
      <c r="A1918" t="s">
        <v>6</v>
      </c>
      <c r="B1918" s="1">
        <v>45182</v>
      </c>
      <c r="C1918">
        <v>11.929760999999999</v>
      </c>
    </row>
    <row r="1919" spans="1:3" x14ac:dyDescent="0.25">
      <c r="A1919" t="s">
        <v>6</v>
      </c>
      <c r="B1919" s="1">
        <v>45183</v>
      </c>
      <c r="C1919">
        <v>12.294615</v>
      </c>
    </row>
    <row r="1920" spans="1:3" x14ac:dyDescent="0.25">
      <c r="A1920" t="s">
        <v>6</v>
      </c>
      <c r="B1920" s="1">
        <v>45184</v>
      </c>
      <c r="C1920">
        <v>12.227404999999999</v>
      </c>
    </row>
    <row r="1921" spans="1:3" x14ac:dyDescent="0.25">
      <c r="A1921" t="s">
        <v>6</v>
      </c>
      <c r="B1921" s="1">
        <v>45187</v>
      </c>
      <c r="C1921">
        <v>11.915359</v>
      </c>
    </row>
    <row r="1922" spans="1:3" x14ac:dyDescent="0.25">
      <c r="A1922" t="s">
        <v>6</v>
      </c>
      <c r="B1922" s="1">
        <v>45188</v>
      </c>
      <c r="C1922">
        <v>11.828946</v>
      </c>
    </row>
    <row r="1923" spans="1:3" x14ac:dyDescent="0.25">
      <c r="A1923" t="s">
        <v>6</v>
      </c>
      <c r="B1923" s="1">
        <v>45189</v>
      </c>
      <c r="C1923">
        <v>11.780939</v>
      </c>
    </row>
    <row r="1924" spans="1:3" x14ac:dyDescent="0.25">
      <c r="A1924" t="s">
        <v>6</v>
      </c>
      <c r="B1924" s="1">
        <v>45190</v>
      </c>
      <c r="C1924">
        <v>11.492896999999999</v>
      </c>
    </row>
    <row r="1925" spans="1:3" x14ac:dyDescent="0.25">
      <c r="A1925" t="s">
        <v>6</v>
      </c>
      <c r="B1925" s="1">
        <v>45191</v>
      </c>
      <c r="C1925">
        <v>11.401683</v>
      </c>
    </row>
    <row r="1926" spans="1:3" x14ac:dyDescent="0.25">
      <c r="A1926" t="s">
        <v>6</v>
      </c>
      <c r="B1926" s="1">
        <v>45194</v>
      </c>
      <c r="C1926">
        <v>11.089637</v>
      </c>
    </row>
    <row r="1927" spans="1:3" x14ac:dyDescent="0.25">
      <c r="A1927" t="s">
        <v>6</v>
      </c>
      <c r="B1927" s="1">
        <v>45195</v>
      </c>
      <c r="C1927">
        <v>10.849602000000001</v>
      </c>
    </row>
    <row r="1928" spans="1:3" x14ac:dyDescent="0.25">
      <c r="A1928" t="s">
        <v>6</v>
      </c>
      <c r="B1928" s="1">
        <v>45196</v>
      </c>
      <c r="C1928">
        <v>10.796794</v>
      </c>
    </row>
    <row r="1929" spans="1:3" x14ac:dyDescent="0.25">
      <c r="A1929" t="s">
        <v>6</v>
      </c>
      <c r="B1929" s="1">
        <v>45197</v>
      </c>
      <c r="C1929">
        <v>10.84</v>
      </c>
    </row>
    <row r="1930" spans="1:3" x14ac:dyDescent="0.25">
      <c r="A1930" t="s">
        <v>6</v>
      </c>
      <c r="B1930" s="1">
        <v>45198</v>
      </c>
      <c r="C1930">
        <v>10.994999999999999</v>
      </c>
    </row>
    <row r="1931" spans="1:3" x14ac:dyDescent="0.25">
      <c r="A1931" t="s">
        <v>6</v>
      </c>
      <c r="B1931" s="1">
        <v>45201</v>
      </c>
      <c r="C1931">
        <v>10.65</v>
      </c>
    </row>
    <row r="1932" spans="1:3" x14ac:dyDescent="0.25">
      <c r="A1932" t="s">
        <v>6</v>
      </c>
      <c r="B1932" s="1">
        <v>45202</v>
      </c>
      <c r="C1932">
        <v>10.36</v>
      </c>
    </row>
    <row r="1933" spans="1:3" x14ac:dyDescent="0.25">
      <c r="A1933" t="s">
        <v>6</v>
      </c>
      <c r="B1933" s="1">
        <v>45203</v>
      </c>
      <c r="C1933">
        <v>10.31</v>
      </c>
    </row>
    <row r="1934" spans="1:3" x14ac:dyDescent="0.25">
      <c r="A1934" t="s">
        <v>6</v>
      </c>
      <c r="B1934" s="1">
        <v>45204</v>
      </c>
      <c r="C1934">
        <v>10.465</v>
      </c>
    </row>
    <row r="1935" spans="1:3" x14ac:dyDescent="0.25">
      <c r="A1935" t="s">
        <v>6</v>
      </c>
      <c r="B1935" s="1">
        <v>45205</v>
      </c>
      <c r="C1935">
        <v>10.615</v>
      </c>
    </row>
    <row r="1936" spans="1:3" x14ac:dyDescent="0.25">
      <c r="A1936" t="s">
        <v>6</v>
      </c>
      <c r="B1936" s="1">
        <v>45208</v>
      </c>
      <c r="C1936">
        <v>10.85</v>
      </c>
    </row>
    <row r="1937" spans="1:3" x14ac:dyDescent="0.25">
      <c r="A1937" t="s">
        <v>6</v>
      </c>
      <c r="B1937" s="1">
        <v>45209</v>
      </c>
      <c r="C1937">
        <v>11.35</v>
      </c>
    </row>
    <row r="1938" spans="1:3" x14ac:dyDescent="0.25">
      <c r="A1938" t="s">
        <v>6</v>
      </c>
      <c r="B1938" s="1">
        <v>45210</v>
      </c>
      <c r="C1938">
        <v>11.375</v>
      </c>
    </row>
    <row r="1939" spans="1:3" x14ac:dyDescent="0.25">
      <c r="A1939" t="s">
        <v>6</v>
      </c>
      <c r="B1939" s="1">
        <v>45211</v>
      </c>
      <c r="C1939">
        <v>11.42</v>
      </c>
    </row>
    <row r="1940" spans="1:3" x14ac:dyDescent="0.25">
      <c r="A1940" t="s">
        <v>6</v>
      </c>
      <c r="B1940" s="1">
        <v>45212</v>
      </c>
      <c r="C1940">
        <v>11.53</v>
      </c>
    </row>
    <row r="1941" spans="1:3" x14ac:dyDescent="0.25">
      <c r="A1941" t="s">
        <v>6</v>
      </c>
      <c r="B1941" s="1">
        <v>45215</v>
      </c>
      <c r="C1941">
        <v>11.55</v>
      </c>
    </row>
    <row r="1942" spans="1:3" x14ac:dyDescent="0.25">
      <c r="A1942" t="s">
        <v>6</v>
      </c>
      <c r="B1942" s="1">
        <v>45216</v>
      </c>
      <c r="C1942">
        <v>11.285</v>
      </c>
    </row>
    <row r="1943" spans="1:3" x14ac:dyDescent="0.25">
      <c r="A1943" t="s">
        <v>6</v>
      </c>
      <c r="B1943" s="1">
        <v>45217</v>
      </c>
      <c r="C1943">
        <v>11.145</v>
      </c>
    </row>
    <row r="1944" spans="1:3" x14ac:dyDescent="0.25">
      <c r="A1944" t="s">
        <v>6</v>
      </c>
      <c r="B1944" s="1">
        <v>45218</v>
      </c>
      <c r="C1944">
        <v>11.01</v>
      </c>
    </row>
    <row r="1945" spans="1:3" x14ac:dyDescent="0.25">
      <c r="A1945" t="s">
        <v>6</v>
      </c>
      <c r="B1945" s="1">
        <v>45219</v>
      </c>
      <c r="C1945">
        <v>10.82</v>
      </c>
    </row>
    <row r="1946" spans="1:3" x14ac:dyDescent="0.25">
      <c r="A1946" t="s">
        <v>6</v>
      </c>
      <c r="B1946" s="1">
        <v>45222</v>
      </c>
      <c r="C1946">
        <v>10.625</v>
      </c>
    </row>
    <row r="1947" spans="1:3" x14ac:dyDescent="0.25">
      <c r="A1947" t="s">
        <v>6</v>
      </c>
      <c r="B1947" s="1">
        <v>45223</v>
      </c>
      <c r="C1947">
        <v>10.865</v>
      </c>
    </row>
    <row r="1948" spans="1:3" x14ac:dyDescent="0.25">
      <c r="A1948" t="s">
        <v>6</v>
      </c>
      <c r="B1948" s="1">
        <v>45224</v>
      </c>
      <c r="C1948">
        <v>10.96</v>
      </c>
    </row>
    <row r="1949" spans="1:3" x14ac:dyDescent="0.25">
      <c r="A1949" t="s">
        <v>6</v>
      </c>
      <c r="B1949" s="1">
        <v>45225</v>
      </c>
      <c r="C1949">
        <v>11.05</v>
      </c>
    </row>
    <row r="1950" spans="1:3" x14ac:dyDescent="0.25">
      <c r="A1950" t="s">
        <v>6</v>
      </c>
      <c r="B1950" s="1">
        <v>45226</v>
      </c>
      <c r="C1950">
        <v>11.225</v>
      </c>
    </row>
    <row r="1951" spans="1:3" x14ac:dyDescent="0.25">
      <c r="A1951" t="s">
        <v>6</v>
      </c>
      <c r="B1951" s="1">
        <v>45229</v>
      </c>
      <c r="C1951">
        <v>11.055</v>
      </c>
    </row>
    <row r="1952" spans="1:3" x14ac:dyDescent="0.25">
      <c r="A1952" t="s">
        <v>6</v>
      </c>
      <c r="B1952" s="1">
        <v>45230</v>
      </c>
      <c r="C1952">
        <v>11.2</v>
      </c>
    </row>
    <row r="1953" spans="1:3" x14ac:dyDescent="0.25">
      <c r="A1953" t="s">
        <v>6</v>
      </c>
      <c r="B1953" s="1">
        <v>45231</v>
      </c>
      <c r="C1953">
        <v>11.2</v>
      </c>
    </row>
    <row r="1954" spans="1:3" x14ac:dyDescent="0.25">
      <c r="A1954" t="s">
        <v>6</v>
      </c>
      <c r="B1954" s="1">
        <v>45232</v>
      </c>
      <c r="C1954">
        <v>12.065</v>
      </c>
    </row>
    <row r="1955" spans="1:3" x14ac:dyDescent="0.25">
      <c r="A1955" t="s">
        <v>6</v>
      </c>
      <c r="B1955" s="1">
        <v>45233</v>
      </c>
      <c r="C1955">
        <v>12.085000000000001</v>
      </c>
    </row>
    <row r="1956" spans="1:3" x14ac:dyDescent="0.25">
      <c r="A1956" t="s">
        <v>6</v>
      </c>
      <c r="B1956" s="1">
        <v>45236</v>
      </c>
      <c r="C1956">
        <v>12.145</v>
      </c>
    </row>
    <row r="1957" spans="1:3" x14ac:dyDescent="0.25">
      <c r="A1957" t="s">
        <v>6</v>
      </c>
      <c r="B1957" s="1">
        <v>45237</v>
      </c>
      <c r="C1957">
        <v>12.01</v>
      </c>
    </row>
    <row r="1958" spans="1:3" x14ac:dyDescent="0.25">
      <c r="A1958" t="s">
        <v>6</v>
      </c>
      <c r="B1958" s="1">
        <v>45238</v>
      </c>
      <c r="C1958">
        <v>11.865</v>
      </c>
    </row>
    <row r="1959" spans="1:3" x14ac:dyDescent="0.25">
      <c r="A1959" t="s">
        <v>6</v>
      </c>
      <c r="B1959" s="1">
        <v>45239</v>
      </c>
      <c r="C1959">
        <v>12.23</v>
      </c>
    </row>
    <row r="1960" spans="1:3" x14ac:dyDescent="0.25">
      <c r="A1960" t="s">
        <v>6</v>
      </c>
      <c r="B1960" s="1">
        <v>45240</v>
      </c>
      <c r="C1960">
        <v>12.185</v>
      </c>
    </row>
    <row r="1961" spans="1:3" x14ac:dyDescent="0.25">
      <c r="A1961" t="s">
        <v>6</v>
      </c>
      <c r="B1961" s="1">
        <v>45243</v>
      </c>
      <c r="C1961">
        <v>12.135</v>
      </c>
    </row>
    <row r="1962" spans="1:3" x14ac:dyDescent="0.25">
      <c r="A1962" t="s">
        <v>6</v>
      </c>
      <c r="B1962" s="1">
        <v>45244</v>
      </c>
      <c r="C1962">
        <v>12.445</v>
      </c>
    </row>
    <row r="1963" spans="1:3" x14ac:dyDescent="0.25">
      <c r="A1963" t="s">
        <v>6</v>
      </c>
      <c r="B1963" s="1">
        <v>45245</v>
      </c>
      <c r="C1963">
        <v>12.55</v>
      </c>
    </row>
    <row r="1964" spans="1:3" x14ac:dyDescent="0.25">
      <c r="A1964" t="s">
        <v>6</v>
      </c>
      <c r="B1964" s="1">
        <v>45246</v>
      </c>
      <c r="C1964">
        <v>12.595000000000001</v>
      </c>
    </row>
    <row r="1965" spans="1:3" x14ac:dyDescent="0.25">
      <c r="A1965" t="s">
        <v>6</v>
      </c>
      <c r="B1965" s="1">
        <v>45247</v>
      </c>
      <c r="C1965">
        <v>12.675000000000001</v>
      </c>
    </row>
    <row r="1966" spans="1:3" x14ac:dyDescent="0.25">
      <c r="A1966" t="s">
        <v>6</v>
      </c>
      <c r="B1966" s="1">
        <v>45250</v>
      </c>
      <c r="C1966">
        <v>12.695</v>
      </c>
    </row>
    <row r="1967" spans="1:3" x14ac:dyDescent="0.25">
      <c r="A1967" t="s">
        <v>6</v>
      </c>
      <c r="B1967" s="1">
        <v>45251</v>
      </c>
      <c r="C1967">
        <v>12.43</v>
      </c>
    </row>
    <row r="1968" spans="1:3" x14ac:dyDescent="0.25">
      <c r="A1968" t="s">
        <v>6</v>
      </c>
      <c r="B1968" s="1">
        <v>45252</v>
      </c>
      <c r="C1968">
        <v>12.37</v>
      </c>
    </row>
    <row r="1969" spans="1:3" x14ac:dyDescent="0.25">
      <c r="A1969" t="s">
        <v>6</v>
      </c>
      <c r="B1969" s="1">
        <v>45253</v>
      </c>
      <c r="C1969">
        <v>12.56</v>
      </c>
    </row>
    <row r="1970" spans="1:3" x14ac:dyDescent="0.25">
      <c r="A1970" t="s">
        <v>6</v>
      </c>
      <c r="B1970" s="1">
        <v>45254</v>
      </c>
      <c r="C1970">
        <v>12.685</v>
      </c>
    </row>
    <row r="1971" spans="1:3" x14ac:dyDescent="0.25">
      <c r="A1971" t="s">
        <v>6</v>
      </c>
      <c r="B1971" s="1">
        <v>45257</v>
      </c>
      <c r="C1971">
        <v>12.765000000000001</v>
      </c>
    </row>
    <row r="1972" spans="1:3" x14ac:dyDescent="0.25">
      <c r="A1972" t="s">
        <v>6</v>
      </c>
      <c r="B1972" s="1">
        <v>45258</v>
      </c>
      <c r="C1972">
        <v>12.815</v>
      </c>
    </row>
    <row r="1973" spans="1:3" x14ac:dyDescent="0.25">
      <c r="A1973" t="s">
        <v>6</v>
      </c>
      <c r="B1973" s="1">
        <v>45259</v>
      </c>
      <c r="C1973">
        <v>12.96</v>
      </c>
    </row>
    <row r="1974" spans="1:3" x14ac:dyDescent="0.25">
      <c r="A1974" t="s">
        <v>6</v>
      </c>
      <c r="B1974" s="1">
        <v>45260</v>
      </c>
      <c r="C1974">
        <v>12.885</v>
      </c>
    </row>
    <row r="1975" spans="1:3" x14ac:dyDescent="0.25">
      <c r="A1975" t="s">
        <v>6</v>
      </c>
      <c r="B1975" s="1">
        <v>45261</v>
      </c>
      <c r="C1975">
        <v>13.05</v>
      </c>
    </row>
    <row r="1976" spans="1:3" x14ac:dyDescent="0.25">
      <c r="A1976" t="s">
        <v>6</v>
      </c>
      <c r="B1976" s="1">
        <v>45264</v>
      </c>
      <c r="C1976">
        <v>13.275</v>
      </c>
    </row>
    <row r="1977" spans="1:3" x14ac:dyDescent="0.25">
      <c r="A1977" t="s">
        <v>6</v>
      </c>
      <c r="B1977" s="1">
        <v>45265</v>
      </c>
      <c r="C1977">
        <v>13.33</v>
      </c>
    </row>
    <row r="1978" spans="1:3" x14ac:dyDescent="0.25">
      <c r="A1978" t="s">
        <v>6</v>
      </c>
      <c r="B1978" s="1">
        <v>45267</v>
      </c>
      <c r="C1978">
        <v>13.55</v>
      </c>
    </row>
    <row r="1979" spans="1:3" x14ac:dyDescent="0.25">
      <c r="A1979" t="s">
        <v>6</v>
      </c>
      <c r="B1979" s="1">
        <v>45268</v>
      </c>
      <c r="C1979">
        <v>13.54</v>
      </c>
    </row>
    <row r="1980" spans="1:3" x14ac:dyDescent="0.25">
      <c r="A1980" t="s">
        <v>6</v>
      </c>
      <c r="B1980" s="1">
        <v>45271</v>
      </c>
      <c r="C1980">
        <v>13.164999999999999</v>
      </c>
    </row>
    <row r="1981" spans="1:3" x14ac:dyDescent="0.25">
      <c r="A1981" t="s">
        <v>6</v>
      </c>
      <c r="B1981" s="1">
        <v>45272</v>
      </c>
      <c r="C1981">
        <v>12.865</v>
      </c>
    </row>
    <row r="1982" spans="1:3" x14ac:dyDescent="0.25">
      <c r="A1982" t="s">
        <v>6</v>
      </c>
      <c r="B1982" s="1">
        <v>45273</v>
      </c>
      <c r="C1982">
        <v>12.91</v>
      </c>
    </row>
    <row r="1983" spans="1:3" x14ac:dyDescent="0.25">
      <c r="A1983" t="s">
        <v>6</v>
      </c>
      <c r="B1983" s="1">
        <v>45274</v>
      </c>
      <c r="C1983">
        <v>13.15</v>
      </c>
    </row>
    <row r="1984" spans="1:3" x14ac:dyDescent="0.25">
      <c r="A1984" t="s">
        <v>6</v>
      </c>
      <c r="B1984" s="1">
        <v>45275</v>
      </c>
      <c r="C1984">
        <v>13.2</v>
      </c>
    </row>
    <row r="1985" spans="1:3" x14ac:dyDescent="0.25">
      <c r="A1985" t="s">
        <v>6</v>
      </c>
      <c r="B1985" s="1">
        <v>45278</v>
      </c>
      <c r="C1985">
        <v>13.095000000000001</v>
      </c>
    </row>
    <row r="1986" spans="1:3" x14ac:dyDescent="0.25">
      <c r="A1986" t="s">
        <v>6</v>
      </c>
      <c r="B1986" s="1">
        <v>45279</v>
      </c>
      <c r="C1986">
        <v>13.01</v>
      </c>
    </row>
    <row r="1987" spans="1:3" x14ac:dyDescent="0.25">
      <c r="A1987" t="s">
        <v>6</v>
      </c>
      <c r="B1987" s="1">
        <v>45280</v>
      </c>
      <c r="C1987">
        <v>12.95</v>
      </c>
    </row>
    <row r="1988" spans="1:3" x14ac:dyDescent="0.25">
      <c r="A1988" t="s">
        <v>6</v>
      </c>
      <c r="B1988" s="1">
        <v>45281</v>
      </c>
      <c r="C1988">
        <v>13.015000000000001</v>
      </c>
    </row>
    <row r="1989" spans="1:3" x14ac:dyDescent="0.25">
      <c r="A1989" t="s">
        <v>6</v>
      </c>
      <c r="B1989" s="1">
        <v>45282</v>
      </c>
      <c r="C1989">
        <v>13.115</v>
      </c>
    </row>
    <row r="1990" spans="1:3" x14ac:dyDescent="0.25">
      <c r="A1990" t="s">
        <v>6</v>
      </c>
      <c r="B1990" s="1">
        <v>45287</v>
      </c>
      <c r="C1990">
        <v>13.335000000000001</v>
      </c>
    </row>
    <row r="1991" spans="1:3" x14ac:dyDescent="0.25">
      <c r="A1991" t="s">
        <v>6</v>
      </c>
      <c r="B1991" s="1">
        <v>45288</v>
      </c>
      <c r="C1991">
        <v>13.205</v>
      </c>
    </row>
    <row r="1992" spans="1:3" x14ac:dyDescent="0.25">
      <c r="A1992" t="s">
        <v>6</v>
      </c>
      <c r="B1992" s="1">
        <v>45289</v>
      </c>
      <c r="C1992">
        <v>13.085000000000001</v>
      </c>
    </row>
    <row r="1993" spans="1:3" x14ac:dyDescent="0.25">
      <c r="A1993" t="s">
        <v>6</v>
      </c>
      <c r="B1993" s="1">
        <v>45293</v>
      </c>
      <c r="C1993">
        <v>13.205</v>
      </c>
    </row>
    <row r="1994" spans="1:3" x14ac:dyDescent="0.25">
      <c r="A1994" t="s">
        <v>6</v>
      </c>
      <c r="B1994" s="1">
        <v>45294</v>
      </c>
      <c r="C1994">
        <v>13.26</v>
      </c>
    </row>
    <row r="1995" spans="1:3" x14ac:dyDescent="0.25">
      <c r="A1995" t="s">
        <v>6</v>
      </c>
      <c r="B1995" s="1">
        <v>45295</v>
      </c>
      <c r="C1995">
        <v>13.67</v>
      </c>
    </row>
    <row r="1996" spans="1:3" x14ac:dyDescent="0.25">
      <c r="A1996" t="s">
        <v>6</v>
      </c>
      <c r="B1996" s="1">
        <v>45296</v>
      </c>
      <c r="C1996">
        <v>14.015000000000001</v>
      </c>
    </row>
    <row r="1997" spans="1:3" x14ac:dyDescent="0.25">
      <c r="A1997" t="s">
        <v>6</v>
      </c>
      <c r="B1997" s="1">
        <v>45299</v>
      </c>
      <c r="C1997">
        <v>14.04</v>
      </c>
    </row>
    <row r="1998" spans="1:3" x14ac:dyDescent="0.25">
      <c r="A1998" t="s">
        <v>6</v>
      </c>
      <c r="B1998" s="1">
        <v>45300</v>
      </c>
      <c r="C1998">
        <v>13.86</v>
      </c>
    </row>
    <row r="1999" spans="1:3" x14ac:dyDescent="0.25">
      <c r="A1999" t="s">
        <v>6</v>
      </c>
      <c r="B1999" s="1">
        <v>45301</v>
      </c>
      <c r="C1999">
        <v>13.795</v>
      </c>
    </row>
    <row r="2000" spans="1:3" x14ac:dyDescent="0.25">
      <c r="A2000" t="s">
        <v>6</v>
      </c>
      <c r="B2000" s="1">
        <v>45302</v>
      </c>
      <c r="C2000">
        <v>13.49</v>
      </c>
    </row>
    <row r="2001" spans="1:3" x14ac:dyDescent="0.25">
      <c r="A2001" t="s">
        <v>6</v>
      </c>
      <c r="B2001" s="1">
        <v>45303</v>
      </c>
      <c r="C2001">
        <v>13.335000000000001</v>
      </c>
    </row>
    <row r="2002" spans="1:3" x14ac:dyDescent="0.25">
      <c r="A2002" t="s">
        <v>6</v>
      </c>
      <c r="B2002" s="1">
        <v>45306</v>
      </c>
      <c r="C2002">
        <v>13.29</v>
      </c>
    </row>
    <row r="2003" spans="1:3" x14ac:dyDescent="0.25">
      <c r="A2003" t="s">
        <v>6</v>
      </c>
      <c r="B2003" s="1">
        <v>45307</v>
      </c>
      <c r="C2003">
        <v>12.94</v>
      </c>
    </row>
    <row r="2004" spans="1:3" x14ac:dyDescent="0.25">
      <c r="A2004" t="s">
        <v>6</v>
      </c>
      <c r="B2004" s="1">
        <v>45308</v>
      </c>
      <c r="C2004">
        <v>12.335000000000001</v>
      </c>
    </row>
    <row r="2005" spans="1:3" x14ac:dyDescent="0.25">
      <c r="A2005" t="s">
        <v>6</v>
      </c>
      <c r="B2005" s="1">
        <v>45309</v>
      </c>
      <c r="C2005">
        <v>12.17</v>
      </c>
    </row>
    <row r="2006" spans="1:3" x14ac:dyDescent="0.25">
      <c r="A2006" t="s">
        <v>6</v>
      </c>
      <c r="B2006" s="1">
        <v>45310</v>
      </c>
      <c r="C2006">
        <v>12.285</v>
      </c>
    </row>
    <row r="2007" spans="1:3" x14ac:dyDescent="0.25">
      <c r="A2007" t="s">
        <v>6</v>
      </c>
      <c r="B2007" s="1">
        <v>45313</v>
      </c>
      <c r="C2007">
        <v>12.32</v>
      </c>
    </row>
    <row r="2008" spans="1:3" x14ac:dyDescent="0.25">
      <c r="A2008" t="s">
        <v>6</v>
      </c>
      <c r="B2008" s="1">
        <v>45314</v>
      </c>
      <c r="C2008">
        <v>12.31</v>
      </c>
    </row>
    <row r="2009" spans="1:3" x14ac:dyDescent="0.25">
      <c r="A2009" t="s">
        <v>6</v>
      </c>
      <c r="B2009" s="1">
        <v>45315</v>
      </c>
      <c r="C2009">
        <v>12.605</v>
      </c>
    </row>
    <row r="2010" spans="1:3" x14ac:dyDescent="0.25">
      <c r="A2010" t="s">
        <v>6</v>
      </c>
      <c r="B2010" s="1">
        <v>45316</v>
      </c>
      <c r="C2010">
        <v>12.615</v>
      </c>
    </row>
    <row r="2011" spans="1:3" x14ac:dyDescent="0.25">
      <c r="A2011" t="s">
        <v>6</v>
      </c>
      <c r="B2011" s="1">
        <v>45317</v>
      </c>
      <c r="C2011">
        <v>12.435</v>
      </c>
    </row>
    <row r="2012" spans="1:3" x14ac:dyDescent="0.25">
      <c r="A2012" t="s">
        <v>6</v>
      </c>
      <c r="B2012" s="1">
        <v>45320</v>
      </c>
      <c r="C2012">
        <v>12.4</v>
      </c>
    </row>
    <row r="2013" spans="1:3" x14ac:dyDescent="0.25">
      <c r="A2013" t="s">
        <v>6</v>
      </c>
      <c r="B2013" s="1">
        <v>45321</v>
      </c>
      <c r="C2013">
        <v>12.535</v>
      </c>
    </row>
    <row r="2014" spans="1:3" x14ac:dyDescent="0.25">
      <c r="A2014" t="s">
        <v>6</v>
      </c>
      <c r="B2014" s="1">
        <v>45322</v>
      </c>
      <c r="C2014">
        <v>12.69</v>
      </c>
    </row>
    <row r="2015" spans="1:3" x14ac:dyDescent="0.25">
      <c r="A2015" t="s">
        <v>6</v>
      </c>
      <c r="B2015" s="1">
        <v>45323</v>
      </c>
      <c r="C2015">
        <v>12.37</v>
      </c>
    </row>
    <row r="2016" spans="1:3" x14ac:dyDescent="0.25">
      <c r="A2016" t="s">
        <v>6</v>
      </c>
      <c r="B2016" s="1">
        <v>45324</v>
      </c>
      <c r="C2016">
        <v>12.31</v>
      </c>
    </row>
    <row r="2017" spans="1:3" x14ac:dyDescent="0.25">
      <c r="A2017" t="s">
        <v>6</v>
      </c>
      <c r="B2017" s="1">
        <v>45327</v>
      </c>
      <c r="C2017">
        <v>12.34</v>
      </c>
    </row>
    <row r="2018" spans="1:3" x14ac:dyDescent="0.25">
      <c r="A2018" t="s">
        <v>6</v>
      </c>
      <c r="B2018" s="1">
        <v>45328</v>
      </c>
      <c r="C2018">
        <v>12.404999999999999</v>
      </c>
    </row>
    <row r="2019" spans="1:3" x14ac:dyDescent="0.25">
      <c r="A2019" t="s">
        <v>6</v>
      </c>
      <c r="B2019" s="1">
        <v>45329</v>
      </c>
      <c r="C2019">
        <v>11.78</v>
      </c>
    </row>
    <row r="2020" spans="1:3" x14ac:dyDescent="0.25">
      <c r="A2020" t="s">
        <v>6</v>
      </c>
      <c r="B2020" s="1">
        <v>45330</v>
      </c>
      <c r="C2020">
        <v>11.57</v>
      </c>
    </row>
    <row r="2021" spans="1:3" x14ac:dyDescent="0.25">
      <c r="A2021" t="s">
        <v>6</v>
      </c>
      <c r="B2021" s="1">
        <v>45331</v>
      </c>
      <c r="C2021">
        <v>11.2</v>
      </c>
    </row>
    <row r="2022" spans="1:3" x14ac:dyDescent="0.25">
      <c r="A2022" t="s">
        <v>7</v>
      </c>
      <c r="B2022" s="1">
        <v>44603</v>
      </c>
      <c r="C2022">
        <v>22.194710000000001</v>
      </c>
    </row>
    <row r="2023" spans="1:3" x14ac:dyDescent="0.25">
      <c r="A2023" t="s">
        <v>7</v>
      </c>
      <c r="B2023" s="1">
        <v>44606</v>
      </c>
      <c r="C2023">
        <v>21.836010000000002</v>
      </c>
    </row>
    <row r="2024" spans="1:3" x14ac:dyDescent="0.25">
      <c r="A2024" t="s">
        <v>7</v>
      </c>
      <c r="B2024" s="1">
        <v>44607</v>
      </c>
      <c r="C2024">
        <v>22.418900000000001</v>
      </c>
    </row>
    <row r="2025" spans="1:3" x14ac:dyDescent="0.25">
      <c r="A2025" t="s">
        <v>7</v>
      </c>
      <c r="B2025" s="1">
        <v>44608</v>
      </c>
      <c r="C2025">
        <v>22.239547999999999</v>
      </c>
    </row>
    <row r="2026" spans="1:3" x14ac:dyDescent="0.25">
      <c r="A2026" t="s">
        <v>7</v>
      </c>
      <c r="B2026" s="1">
        <v>44609</v>
      </c>
      <c r="C2026">
        <v>22.060193999999999</v>
      </c>
    </row>
    <row r="2027" spans="1:3" x14ac:dyDescent="0.25">
      <c r="A2027" t="s">
        <v>7</v>
      </c>
      <c r="B2027" s="1">
        <v>44610</v>
      </c>
      <c r="C2027">
        <v>21.791166</v>
      </c>
    </row>
    <row r="2028" spans="1:3" x14ac:dyDescent="0.25">
      <c r="A2028" t="s">
        <v>7</v>
      </c>
      <c r="B2028" s="1">
        <v>44613</v>
      </c>
      <c r="C2028">
        <v>21.432466999999999</v>
      </c>
    </row>
    <row r="2029" spans="1:3" x14ac:dyDescent="0.25">
      <c r="A2029" t="s">
        <v>7</v>
      </c>
      <c r="B2029" s="1">
        <v>44614</v>
      </c>
      <c r="C2029">
        <v>21.253117</v>
      </c>
    </row>
    <row r="2030" spans="1:3" x14ac:dyDescent="0.25">
      <c r="A2030" t="s">
        <v>7</v>
      </c>
      <c r="B2030" s="1">
        <v>44615</v>
      </c>
      <c r="C2030">
        <v>21.208276999999999</v>
      </c>
    </row>
    <row r="2031" spans="1:3" x14ac:dyDescent="0.25">
      <c r="A2031" t="s">
        <v>7</v>
      </c>
      <c r="B2031" s="1">
        <v>44616</v>
      </c>
      <c r="C2031">
        <v>20.715064999999999</v>
      </c>
    </row>
    <row r="2032" spans="1:3" x14ac:dyDescent="0.25">
      <c r="A2032" t="s">
        <v>7</v>
      </c>
      <c r="B2032" s="1">
        <v>44617</v>
      </c>
      <c r="C2032">
        <v>21.611818</v>
      </c>
    </row>
    <row r="2033" spans="1:3" x14ac:dyDescent="0.25">
      <c r="A2033" t="s">
        <v>7</v>
      </c>
      <c r="B2033" s="1">
        <v>44620</v>
      </c>
      <c r="C2033">
        <v>21.611818</v>
      </c>
    </row>
    <row r="2034" spans="1:3" x14ac:dyDescent="0.25">
      <c r="A2034" t="s">
        <v>7</v>
      </c>
      <c r="B2034" s="1">
        <v>44621</v>
      </c>
      <c r="C2034">
        <v>20.625387</v>
      </c>
    </row>
    <row r="2035" spans="1:3" x14ac:dyDescent="0.25">
      <c r="A2035" t="s">
        <v>7</v>
      </c>
      <c r="B2035" s="1">
        <v>44622</v>
      </c>
      <c r="C2035">
        <v>20.132172000000001</v>
      </c>
    </row>
    <row r="2036" spans="1:3" x14ac:dyDescent="0.25">
      <c r="A2036" t="s">
        <v>7</v>
      </c>
      <c r="B2036" s="1">
        <v>44623</v>
      </c>
      <c r="C2036">
        <v>19.54928</v>
      </c>
    </row>
    <row r="2037" spans="1:3" x14ac:dyDescent="0.25">
      <c r="A2037" t="s">
        <v>7</v>
      </c>
      <c r="B2037" s="1">
        <v>44624</v>
      </c>
      <c r="C2037">
        <v>19.145741000000001</v>
      </c>
    </row>
    <row r="2038" spans="1:3" x14ac:dyDescent="0.25">
      <c r="A2038" t="s">
        <v>7</v>
      </c>
      <c r="B2038" s="1">
        <v>44627</v>
      </c>
      <c r="C2038">
        <v>18.787037000000002</v>
      </c>
    </row>
    <row r="2039" spans="1:3" x14ac:dyDescent="0.25">
      <c r="A2039" t="s">
        <v>7</v>
      </c>
      <c r="B2039" s="1">
        <v>44628</v>
      </c>
      <c r="C2039">
        <v>19.056063000000002</v>
      </c>
    </row>
    <row r="2040" spans="1:3" x14ac:dyDescent="0.25">
      <c r="A2040" t="s">
        <v>7</v>
      </c>
      <c r="B2040" s="1">
        <v>44629</v>
      </c>
      <c r="C2040">
        <v>20.266684999999999</v>
      </c>
    </row>
    <row r="2041" spans="1:3" x14ac:dyDescent="0.25">
      <c r="A2041" t="s">
        <v>7</v>
      </c>
      <c r="B2041" s="1">
        <v>44630</v>
      </c>
      <c r="C2041">
        <v>20.177008000000001</v>
      </c>
    </row>
    <row r="2042" spans="1:3" x14ac:dyDescent="0.25">
      <c r="A2042" t="s">
        <v>7</v>
      </c>
      <c r="B2042" s="1">
        <v>44631</v>
      </c>
      <c r="C2042">
        <v>20.625387</v>
      </c>
    </row>
    <row r="2043" spans="1:3" x14ac:dyDescent="0.25">
      <c r="A2043" t="s">
        <v>7</v>
      </c>
      <c r="B2043" s="1">
        <v>44634</v>
      </c>
      <c r="C2043">
        <v>21.522141999999999</v>
      </c>
    </row>
    <row r="2044" spans="1:3" x14ac:dyDescent="0.25">
      <c r="A2044" t="s">
        <v>7</v>
      </c>
      <c r="B2044" s="1">
        <v>44635</v>
      </c>
      <c r="C2044">
        <v>20.984090999999999</v>
      </c>
    </row>
    <row r="2045" spans="1:3" x14ac:dyDescent="0.25">
      <c r="A2045" t="s">
        <v>7</v>
      </c>
      <c r="B2045" s="1">
        <v>44636</v>
      </c>
      <c r="C2045">
        <v>21.836010000000002</v>
      </c>
    </row>
    <row r="2046" spans="1:3" x14ac:dyDescent="0.25">
      <c r="A2046" t="s">
        <v>7</v>
      </c>
      <c r="B2046" s="1">
        <v>44637</v>
      </c>
      <c r="C2046">
        <v>21.297951000000001</v>
      </c>
    </row>
    <row r="2047" spans="1:3" x14ac:dyDescent="0.25">
      <c r="A2047" t="s">
        <v>7</v>
      </c>
      <c r="B2047" s="1">
        <v>44638</v>
      </c>
      <c r="C2047">
        <v>20.984090999999999</v>
      </c>
    </row>
    <row r="2048" spans="1:3" x14ac:dyDescent="0.25">
      <c r="A2048" t="s">
        <v>7</v>
      </c>
      <c r="B2048" s="1">
        <v>44641</v>
      </c>
      <c r="C2048">
        <v>21.163440999999999</v>
      </c>
    </row>
    <row r="2049" spans="1:3" x14ac:dyDescent="0.25">
      <c r="A2049" t="s">
        <v>7</v>
      </c>
      <c r="B2049" s="1">
        <v>44642</v>
      </c>
      <c r="C2049">
        <v>20.984090999999999</v>
      </c>
    </row>
    <row r="2050" spans="1:3" x14ac:dyDescent="0.25">
      <c r="A2050" t="s">
        <v>7</v>
      </c>
      <c r="B2050" s="1">
        <v>44643</v>
      </c>
      <c r="C2050">
        <v>21.163440999999999</v>
      </c>
    </row>
    <row r="2051" spans="1:3" x14ac:dyDescent="0.25">
      <c r="A2051" t="s">
        <v>7</v>
      </c>
      <c r="B2051" s="1">
        <v>44644</v>
      </c>
      <c r="C2051">
        <v>20.894413</v>
      </c>
    </row>
    <row r="2052" spans="1:3" x14ac:dyDescent="0.25">
      <c r="A2052" t="s">
        <v>7</v>
      </c>
      <c r="B2052" s="1">
        <v>44645</v>
      </c>
      <c r="C2052">
        <v>20.715064999999999</v>
      </c>
    </row>
    <row r="2053" spans="1:3" x14ac:dyDescent="0.25">
      <c r="A2053" t="s">
        <v>7</v>
      </c>
      <c r="B2053" s="1">
        <v>44648</v>
      </c>
      <c r="C2053">
        <v>20.849577</v>
      </c>
    </row>
    <row r="2054" spans="1:3" x14ac:dyDescent="0.25">
      <c r="A2054" t="s">
        <v>7</v>
      </c>
      <c r="B2054" s="1">
        <v>44649</v>
      </c>
      <c r="C2054">
        <v>21.701491999999998</v>
      </c>
    </row>
    <row r="2055" spans="1:3" x14ac:dyDescent="0.25">
      <c r="A2055" t="s">
        <v>7</v>
      </c>
      <c r="B2055" s="1">
        <v>44650</v>
      </c>
      <c r="C2055">
        <v>21.836010000000002</v>
      </c>
    </row>
    <row r="2056" spans="1:3" x14ac:dyDescent="0.25">
      <c r="A2056" t="s">
        <v>7</v>
      </c>
      <c r="B2056" s="1">
        <v>44651</v>
      </c>
      <c r="C2056">
        <v>20.984090999999999</v>
      </c>
    </row>
    <row r="2057" spans="1:3" x14ac:dyDescent="0.25">
      <c r="A2057" t="s">
        <v>7</v>
      </c>
      <c r="B2057" s="1">
        <v>44652</v>
      </c>
      <c r="C2057">
        <v>20.939250999999999</v>
      </c>
    </row>
    <row r="2058" spans="1:3" x14ac:dyDescent="0.25">
      <c r="A2058" t="s">
        <v>7</v>
      </c>
      <c r="B2058" s="1">
        <v>44655</v>
      </c>
      <c r="C2058">
        <v>20.984090999999999</v>
      </c>
    </row>
    <row r="2059" spans="1:3" x14ac:dyDescent="0.25">
      <c r="A2059" t="s">
        <v>7</v>
      </c>
      <c r="B2059" s="1">
        <v>44656</v>
      </c>
      <c r="C2059">
        <v>20.670221000000002</v>
      </c>
    </row>
    <row r="2060" spans="1:3" x14ac:dyDescent="0.25">
      <c r="A2060" t="s">
        <v>7</v>
      </c>
      <c r="B2060" s="1">
        <v>44657</v>
      </c>
      <c r="C2060">
        <v>20.311523000000001</v>
      </c>
    </row>
    <row r="2061" spans="1:3" x14ac:dyDescent="0.25">
      <c r="A2061" t="s">
        <v>7</v>
      </c>
      <c r="B2061" s="1">
        <v>44658</v>
      </c>
      <c r="C2061">
        <v>20.894413</v>
      </c>
    </row>
    <row r="2062" spans="1:3" x14ac:dyDescent="0.25">
      <c r="A2062" t="s">
        <v>7</v>
      </c>
      <c r="B2062" s="1">
        <v>44659</v>
      </c>
      <c r="C2062">
        <v>20.821835</v>
      </c>
    </row>
    <row r="2063" spans="1:3" x14ac:dyDescent="0.25">
      <c r="A2063" t="s">
        <v>7</v>
      </c>
      <c r="B2063" s="1">
        <v>44662</v>
      </c>
      <c r="C2063">
        <v>20.186744999999998</v>
      </c>
    </row>
    <row r="2064" spans="1:3" x14ac:dyDescent="0.25">
      <c r="A2064" t="s">
        <v>7</v>
      </c>
      <c r="B2064" s="1">
        <v>44663</v>
      </c>
      <c r="C2064">
        <v>19.914560000000002</v>
      </c>
    </row>
    <row r="2065" spans="1:3" x14ac:dyDescent="0.25">
      <c r="A2065" t="s">
        <v>7</v>
      </c>
      <c r="B2065" s="1">
        <v>44664</v>
      </c>
      <c r="C2065">
        <v>19.687742</v>
      </c>
    </row>
    <row r="2066" spans="1:3" x14ac:dyDescent="0.25">
      <c r="A2066" t="s">
        <v>7</v>
      </c>
      <c r="B2066" s="1">
        <v>44665</v>
      </c>
      <c r="C2066">
        <v>19.869198000000001</v>
      </c>
    </row>
    <row r="2067" spans="1:3" x14ac:dyDescent="0.25">
      <c r="A2067" t="s">
        <v>7</v>
      </c>
      <c r="B2067" s="1">
        <v>44670</v>
      </c>
      <c r="C2067">
        <v>20.232109000000001</v>
      </c>
    </row>
    <row r="2068" spans="1:3" x14ac:dyDescent="0.25">
      <c r="A2068" t="s">
        <v>7</v>
      </c>
      <c r="B2068" s="1">
        <v>44671</v>
      </c>
      <c r="C2068">
        <v>20.54965</v>
      </c>
    </row>
    <row r="2069" spans="1:3" x14ac:dyDescent="0.25">
      <c r="A2069" t="s">
        <v>7</v>
      </c>
      <c r="B2069" s="1">
        <v>44672</v>
      </c>
      <c r="C2069">
        <v>20.595015</v>
      </c>
    </row>
    <row r="2070" spans="1:3" x14ac:dyDescent="0.25">
      <c r="A2070" t="s">
        <v>7</v>
      </c>
      <c r="B2070" s="1">
        <v>44673</v>
      </c>
      <c r="C2070">
        <v>20.685739999999999</v>
      </c>
    </row>
    <row r="2071" spans="1:3" x14ac:dyDescent="0.25">
      <c r="A2071" t="s">
        <v>7</v>
      </c>
      <c r="B2071" s="1">
        <v>44676</v>
      </c>
      <c r="C2071">
        <v>19.959927</v>
      </c>
    </row>
    <row r="2072" spans="1:3" x14ac:dyDescent="0.25">
      <c r="A2072" t="s">
        <v>7</v>
      </c>
      <c r="B2072" s="1">
        <v>44677</v>
      </c>
      <c r="C2072">
        <v>21.275466999999999</v>
      </c>
    </row>
    <row r="2073" spans="1:3" x14ac:dyDescent="0.25">
      <c r="A2073" t="s">
        <v>7</v>
      </c>
      <c r="B2073" s="1">
        <v>44678</v>
      </c>
      <c r="C2073">
        <v>21.139375999999999</v>
      </c>
    </row>
    <row r="2074" spans="1:3" x14ac:dyDescent="0.25">
      <c r="A2074" t="s">
        <v>7</v>
      </c>
      <c r="B2074" s="1">
        <v>44679</v>
      </c>
      <c r="C2074">
        <v>21.139375999999999</v>
      </c>
    </row>
    <row r="2075" spans="1:3" x14ac:dyDescent="0.25">
      <c r="A2075" t="s">
        <v>7</v>
      </c>
      <c r="B2075" s="1">
        <v>44680</v>
      </c>
      <c r="C2075">
        <v>20.322831999999998</v>
      </c>
    </row>
    <row r="2076" spans="1:3" x14ac:dyDescent="0.25">
      <c r="A2076" t="s">
        <v>7</v>
      </c>
      <c r="B2076" s="1">
        <v>44683</v>
      </c>
      <c r="C2076">
        <v>20.731106</v>
      </c>
    </row>
    <row r="2077" spans="1:3" x14ac:dyDescent="0.25">
      <c r="A2077" t="s">
        <v>7</v>
      </c>
      <c r="B2077" s="1">
        <v>44684</v>
      </c>
      <c r="C2077">
        <v>20.640374999999999</v>
      </c>
    </row>
    <row r="2078" spans="1:3" x14ac:dyDescent="0.25">
      <c r="A2078" t="s">
        <v>7</v>
      </c>
      <c r="B2078" s="1">
        <v>44685</v>
      </c>
      <c r="C2078">
        <v>20.050651999999999</v>
      </c>
    </row>
    <row r="2079" spans="1:3" x14ac:dyDescent="0.25">
      <c r="A2079" t="s">
        <v>7</v>
      </c>
      <c r="B2079" s="1">
        <v>44686</v>
      </c>
      <c r="C2079">
        <v>20.005289000000001</v>
      </c>
    </row>
    <row r="2080" spans="1:3" x14ac:dyDescent="0.25">
      <c r="A2080" t="s">
        <v>7</v>
      </c>
      <c r="B2080" s="1">
        <v>44687</v>
      </c>
      <c r="C2080">
        <v>19.597017000000001</v>
      </c>
    </row>
    <row r="2081" spans="1:3" x14ac:dyDescent="0.25">
      <c r="A2081" t="s">
        <v>7</v>
      </c>
      <c r="B2081" s="1">
        <v>44690</v>
      </c>
      <c r="C2081">
        <v>19.597017000000001</v>
      </c>
    </row>
    <row r="2082" spans="1:3" x14ac:dyDescent="0.25">
      <c r="A2082" t="s">
        <v>7</v>
      </c>
      <c r="B2082" s="1">
        <v>44691</v>
      </c>
      <c r="C2082">
        <v>19.687742</v>
      </c>
    </row>
    <row r="2083" spans="1:3" x14ac:dyDescent="0.25">
      <c r="A2083" t="s">
        <v>7</v>
      </c>
      <c r="B2083" s="1">
        <v>44692</v>
      </c>
      <c r="C2083">
        <v>20.141380000000002</v>
      </c>
    </row>
    <row r="2084" spans="1:3" x14ac:dyDescent="0.25">
      <c r="A2084" t="s">
        <v>7</v>
      </c>
      <c r="B2084" s="1">
        <v>44693</v>
      </c>
      <c r="C2084">
        <v>20.186744999999998</v>
      </c>
    </row>
    <row r="2085" spans="1:3" x14ac:dyDescent="0.25">
      <c r="A2085" t="s">
        <v>7</v>
      </c>
      <c r="B2085" s="1">
        <v>44694</v>
      </c>
      <c r="C2085">
        <v>20.368198</v>
      </c>
    </row>
    <row r="2086" spans="1:3" x14ac:dyDescent="0.25">
      <c r="A2086" t="s">
        <v>7</v>
      </c>
      <c r="B2086" s="1">
        <v>44697</v>
      </c>
      <c r="C2086">
        <v>21.003284000000001</v>
      </c>
    </row>
    <row r="2087" spans="1:3" x14ac:dyDescent="0.25">
      <c r="A2087" t="s">
        <v>7</v>
      </c>
      <c r="B2087" s="1">
        <v>44698</v>
      </c>
      <c r="C2087">
        <v>21.003284000000001</v>
      </c>
    </row>
    <row r="2088" spans="1:3" x14ac:dyDescent="0.25">
      <c r="A2088" t="s">
        <v>7</v>
      </c>
      <c r="B2088" s="1">
        <v>44699</v>
      </c>
      <c r="C2088">
        <v>20.595015</v>
      </c>
    </row>
    <row r="2089" spans="1:3" x14ac:dyDescent="0.25">
      <c r="A2089" t="s">
        <v>7</v>
      </c>
      <c r="B2089" s="1">
        <v>44700</v>
      </c>
      <c r="C2089">
        <v>19.914560000000002</v>
      </c>
    </row>
    <row r="2090" spans="1:3" x14ac:dyDescent="0.25">
      <c r="A2090" t="s">
        <v>7</v>
      </c>
      <c r="B2090" s="1">
        <v>44701</v>
      </c>
      <c r="C2090">
        <v>19.733108999999999</v>
      </c>
    </row>
    <row r="2091" spans="1:3" x14ac:dyDescent="0.25">
      <c r="A2091" t="s">
        <v>7</v>
      </c>
      <c r="B2091" s="1">
        <v>44704</v>
      </c>
      <c r="C2091">
        <v>20.413563</v>
      </c>
    </row>
    <row r="2092" spans="1:3" x14ac:dyDescent="0.25">
      <c r="A2092" t="s">
        <v>7</v>
      </c>
      <c r="B2092" s="1">
        <v>44705</v>
      </c>
      <c r="C2092">
        <v>19.869198000000001</v>
      </c>
    </row>
    <row r="2093" spans="1:3" x14ac:dyDescent="0.25">
      <c r="A2093" t="s">
        <v>7</v>
      </c>
      <c r="B2093" s="1">
        <v>44706</v>
      </c>
      <c r="C2093">
        <v>19.234112</v>
      </c>
    </row>
    <row r="2094" spans="1:3" x14ac:dyDescent="0.25">
      <c r="A2094" t="s">
        <v>7</v>
      </c>
      <c r="B2094" s="1">
        <v>44708</v>
      </c>
      <c r="C2094">
        <v>19.597017000000001</v>
      </c>
    </row>
    <row r="2095" spans="1:3" x14ac:dyDescent="0.25">
      <c r="A2095" t="s">
        <v>7</v>
      </c>
      <c r="B2095" s="1">
        <v>44711</v>
      </c>
      <c r="C2095">
        <v>19.642384</v>
      </c>
    </row>
    <row r="2096" spans="1:3" x14ac:dyDescent="0.25">
      <c r="A2096" t="s">
        <v>7</v>
      </c>
      <c r="B2096" s="1">
        <v>44712</v>
      </c>
      <c r="C2096">
        <v>19.597017000000001</v>
      </c>
    </row>
    <row r="2097" spans="1:3" x14ac:dyDescent="0.25">
      <c r="A2097" t="s">
        <v>7</v>
      </c>
      <c r="B2097" s="1">
        <v>44713</v>
      </c>
      <c r="C2097">
        <v>19.279475999999999</v>
      </c>
    </row>
    <row r="2098" spans="1:3" x14ac:dyDescent="0.25">
      <c r="A2098" t="s">
        <v>7</v>
      </c>
      <c r="B2098" s="1">
        <v>44714</v>
      </c>
      <c r="C2098">
        <v>19.597017000000001</v>
      </c>
    </row>
    <row r="2099" spans="1:3" x14ac:dyDescent="0.25">
      <c r="A2099" t="s">
        <v>7</v>
      </c>
      <c r="B2099" s="1">
        <v>44715</v>
      </c>
      <c r="C2099">
        <v>19.687742</v>
      </c>
    </row>
    <row r="2100" spans="1:3" x14ac:dyDescent="0.25">
      <c r="A2100" t="s">
        <v>7</v>
      </c>
      <c r="B2100" s="1">
        <v>44718</v>
      </c>
      <c r="C2100">
        <v>19.778473000000002</v>
      </c>
    </row>
    <row r="2101" spans="1:3" x14ac:dyDescent="0.25">
      <c r="A2101" t="s">
        <v>7</v>
      </c>
      <c r="B2101" s="1">
        <v>44719</v>
      </c>
      <c r="C2101">
        <v>19.370201000000002</v>
      </c>
    </row>
    <row r="2102" spans="1:3" x14ac:dyDescent="0.25">
      <c r="A2102" t="s">
        <v>7</v>
      </c>
      <c r="B2102" s="1">
        <v>44720</v>
      </c>
      <c r="C2102">
        <v>19.506291999999998</v>
      </c>
    </row>
    <row r="2103" spans="1:3" x14ac:dyDescent="0.25">
      <c r="A2103" t="s">
        <v>7</v>
      </c>
      <c r="B2103" s="1">
        <v>44721</v>
      </c>
      <c r="C2103">
        <v>19.324835</v>
      </c>
    </row>
    <row r="2104" spans="1:3" x14ac:dyDescent="0.25">
      <c r="A2104" t="s">
        <v>7</v>
      </c>
      <c r="B2104" s="1">
        <v>44722</v>
      </c>
      <c r="C2104">
        <v>19.007294000000002</v>
      </c>
    </row>
    <row r="2105" spans="1:3" x14ac:dyDescent="0.25">
      <c r="A2105" t="s">
        <v>7</v>
      </c>
      <c r="B2105" s="1">
        <v>44725</v>
      </c>
      <c r="C2105">
        <v>18.553659</v>
      </c>
    </row>
    <row r="2106" spans="1:3" x14ac:dyDescent="0.25">
      <c r="A2106" t="s">
        <v>7</v>
      </c>
      <c r="B2106" s="1">
        <v>44726</v>
      </c>
      <c r="C2106">
        <v>18.599022000000001</v>
      </c>
    </row>
    <row r="2107" spans="1:3" x14ac:dyDescent="0.25">
      <c r="A2107" t="s">
        <v>7</v>
      </c>
      <c r="B2107" s="1">
        <v>44727</v>
      </c>
      <c r="C2107">
        <v>18.735109000000001</v>
      </c>
    </row>
    <row r="2108" spans="1:3" x14ac:dyDescent="0.25">
      <c r="A2108" t="s">
        <v>7</v>
      </c>
      <c r="B2108" s="1">
        <v>44728</v>
      </c>
      <c r="C2108">
        <v>18.326841000000002</v>
      </c>
    </row>
    <row r="2109" spans="1:3" x14ac:dyDescent="0.25">
      <c r="A2109" t="s">
        <v>7</v>
      </c>
      <c r="B2109" s="1">
        <v>44729</v>
      </c>
      <c r="C2109">
        <v>18.236115000000002</v>
      </c>
    </row>
    <row r="2110" spans="1:3" x14ac:dyDescent="0.25">
      <c r="A2110" t="s">
        <v>7</v>
      </c>
      <c r="B2110" s="1">
        <v>44732</v>
      </c>
      <c r="C2110">
        <v>18.372204</v>
      </c>
    </row>
    <row r="2111" spans="1:3" x14ac:dyDescent="0.25">
      <c r="A2111" t="s">
        <v>7</v>
      </c>
      <c r="B2111" s="1">
        <v>44733</v>
      </c>
      <c r="C2111">
        <v>18.307870999999999</v>
      </c>
    </row>
    <row r="2112" spans="1:3" x14ac:dyDescent="0.25">
      <c r="A2112" t="s">
        <v>7</v>
      </c>
      <c r="B2112" s="1">
        <v>44734</v>
      </c>
      <c r="C2112">
        <v>18.326252</v>
      </c>
    </row>
    <row r="2113" spans="1:3" x14ac:dyDescent="0.25">
      <c r="A2113" t="s">
        <v>7</v>
      </c>
      <c r="B2113" s="1">
        <v>44735</v>
      </c>
      <c r="C2113">
        <v>18.381397</v>
      </c>
    </row>
    <row r="2114" spans="1:3" x14ac:dyDescent="0.25">
      <c r="A2114" t="s">
        <v>7</v>
      </c>
      <c r="B2114" s="1">
        <v>44739</v>
      </c>
      <c r="C2114">
        <v>18.978788000000002</v>
      </c>
    </row>
    <row r="2115" spans="1:3" x14ac:dyDescent="0.25">
      <c r="A2115" t="s">
        <v>7</v>
      </c>
      <c r="B2115" s="1">
        <v>44740</v>
      </c>
      <c r="C2115">
        <v>19.162604999999999</v>
      </c>
    </row>
    <row r="2116" spans="1:3" x14ac:dyDescent="0.25">
      <c r="A2116" t="s">
        <v>7</v>
      </c>
      <c r="B2116" s="1">
        <v>44741</v>
      </c>
      <c r="C2116">
        <v>18.978788000000002</v>
      </c>
    </row>
    <row r="2117" spans="1:3" x14ac:dyDescent="0.25">
      <c r="A2117" t="s">
        <v>7</v>
      </c>
      <c r="B2117" s="1">
        <v>44742</v>
      </c>
      <c r="C2117">
        <v>18.978788000000002</v>
      </c>
    </row>
    <row r="2118" spans="1:3" x14ac:dyDescent="0.25">
      <c r="A2118" t="s">
        <v>7</v>
      </c>
      <c r="B2118" s="1">
        <v>44743</v>
      </c>
      <c r="C2118">
        <v>19.162604999999999</v>
      </c>
    </row>
    <row r="2119" spans="1:3" x14ac:dyDescent="0.25">
      <c r="A2119" t="s">
        <v>7</v>
      </c>
      <c r="B2119" s="1">
        <v>44746</v>
      </c>
      <c r="C2119">
        <v>19.346418</v>
      </c>
    </row>
    <row r="2120" spans="1:3" x14ac:dyDescent="0.25">
      <c r="A2120" t="s">
        <v>7</v>
      </c>
      <c r="B2120" s="1">
        <v>44747</v>
      </c>
      <c r="C2120">
        <v>19.714046</v>
      </c>
    </row>
    <row r="2121" spans="1:3" x14ac:dyDescent="0.25">
      <c r="A2121" t="s">
        <v>7</v>
      </c>
      <c r="B2121" s="1">
        <v>44748</v>
      </c>
      <c r="C2121">
        <v>19.530231000000001</v>
      </c>
    </row>
    <row r="2122" spans="1:3" x14ac:dyDescent="0.25">
      <c r="A2122" t="s">
        <v>7</v>
      </c>
      <c r="B2122" s="1">
        <v>44749</v>
      </c>
      <c r="C2122">
        <v>19.622140999999999</v>
      </c>
    </row>
    <row r="2123" spans="1:3" x14ac:dyDescent="0.25">
      <c r="A2123" t="s">
        <v>7</v>
      </c>
      <c r="B2123" s="1">
        <v>44750</v>
      </c>
      <c r="C2123">
        <v>19.760002</v>
      </c>
    </row>
    <row r="2124" spans="1:3" x14ac:dyDescent="0.25">
      <c r="A2124" t="s">
        <v>7</v>
      </c>
      <c r="B2124" s="1">
        <v>44753</v>
      </c>
      <c r="C2124">
        <v>19.760002</v>
      </c>
    </row>
    <row r="2125" spans="1:3" x14ac:dyDescent="0.25">
      <c r="A2125" t="s">
        <v>7</v>
      </c>
      <c r="B2125" s="1">
        <v>44754</v>
      </c>
      <c r="C2125">
        <v>19.897860000000001</v>
      </c>
    </row>
    <row r="2126" spans="1:3" x14ac:dyDescent="0.25">
      <c r="A2126" t="s">
        <v>7</v>
      </c>
      <c r="B2126" s="1">
        <v>44755</v>
      </c>
      <c r="C2126">
        <v>20.219536000000002</v>
      </c>
    </row>
    <row r="2127" spans="1:3" x14ac:dyDescent="0.25">
      <c r="A2127" t="s">
        <v>7</v>
      </c>
      <c r="B2127" s="1">
        <v>44756</v>
      </c>
      <c r="C2127">
        <v>19.714046</v>
      </c>
    </row>
    <row r="2128" spans="1:3" x14ac:dyDescent="0.25">
      <c r="A2128" t="s">
        <v>7</v>
      </c>
      <c r="B2128" s="1">
        <v>44757</v>
      </c>
      <c r="C2128">
        <v>19.989767000000001</v>
      </c>
    </row>
    <row r="2129" spans="1:3" x14ac:dyDescent="0.25">
      <c r="A2129" t="s">
        <v>7</v>
      </c>
      <c r="B2129" s="1">
        <v>44760</v>
      </c>
      <c r="C2129">
        <v>20.127625999999999</v>
      </c>
    </row>
    <row r="2130" spans="1:3" x14ac:dyDescent="0.25">
      <c r="A2130" t="s">
        <v>7</v>
      </c>
      <c r="B2130" s="1">
        <v>44761</v>
      </c>
      <c r="C2130">
        <v>20.127625999999999</v>
      </c>
    </row>
    <row r="2131" spans="1:3" x14ac:dyDescent="0.25">
      <c r="A2131" t="s">
        <v>7</v>
      </c>
      <c r="B2131" s="1">
        <v>44762</v>
      </c>
      <c r="C2131">
        <v>19.989767000000001</v>
      </c>
    </row>
    <row r="2132" spans="1:3" x14ac:dyDescent="0.25">
      <c r="A2132" t="s">
        <v>7</v>
      </c>
      <c r="B2132" s="1">
        <v>44763</v>
      </c>
      <c r="C2132">
        <v>20.265485999999999</v>
      </c>
    </row>
    <row r="2133" spans="1:3" x14ac:dyDescent="0.25">
      <c r="A2133" t="s">
        <v>7</v>
      </c>
      <c r="B2133" s="1">
        <v>44764</v>
      </c>
      <c r="C2133">
        <v>20.357395</v>
      </c>
    </row>
    <row r="2134" spans="1:3" x14ac:dyDescent="0.25">
      <c r="A2134" t="s">
        <v>7</v>
      </c>
      <c r="B2134" s="1">
        <v>44767</v>
      </c>
      <c r="C2134">
        <v>20.587161999999999</v>
      </c>
    </row>
    <row r="2135" spans="1:3" x14ac:dyDescent="0.25">
      <c r="A2135" t="s">
        <v>7</v>
      </c>
      <c r="B2135" s="1">
        <v>44768</v>
      </c>
      <c r="C2135">
        <v>19.668095000000001</v>
      </c>
    </row>
    <row r="2136" spans="1:3" x14ac:dyDescent="0.25">
      <c r="A2136" t="s">
        <v>7</v>
      </c>
      <c r="B2136" s="1">
        <v>44769</v>
      </c>
      <c r="C2136">
        <v>19.668095000000001</v>
      </c>
    </row>
    <row r="2137" spans="1:3" x14ac:dyDescent="0.25">
      <c r="A2137" t="s">
        <v>7</v>
      </c>
      <c r="B2137" s="1">
        <v>44770</v>
      </c>
      <c r="C2137">
        <v>19.760002</v>
      </c>
    </row>
    <row r="2138" spans="1:3" x14ac:dyDescent="0.25">
      <c r="A2138" t="s">
        <v>7</v>
      </c>
      <c r="B2138" s="1">
        <v>44771</v>
      </c>
      <c r="C2138">
        <v>20.357395</v>
      </c>
    </row>
    <row r="2139" spans="1:3" x14ac:dyDescent="0.25">
      <c r="A2139" t="s">
        <v>7</v>
      </c>
      <c r="B2139" s="1">
        <v>44774</v>
      </c>
      <c r="C2139">
        <v>20.954789999999999</v>
      </c>
    </row>
    <row r="2140" spans="1:3" x14ac:dyDescent="0.25">
      <c r="A2140" t="s">
        <v>7</v>
      </c>
      <c r="B2140" s="1">
        <v>44775</v>
      </c>
      <c r="C2140">
        <v>20.633118</v>
      </c>
    </row>
    <row r="2141" spans="1:3" x14ac:dyDescent="0.25">
      <c r="A2141" t="s">
        <v>7</v>
      </c>
      <c r="B2141" s="1">
        <v>44776</v>
      </c>
      <c r="C2141">
        <v>20.587161999999999</v>
      </c>
    </row>
    <row r="2142" spans="1:3" x14ac:dyDescent="0.25">
      <c r="A2142" t="s">
        <v>7</v>
      </c>
      <c r="B2142" s="1">
        <v>44777</v>
      </c>
      <c r="C2142">
        <v>20.449303</v>
      </c>
    </row>
    <row r="2143" spans="1:3" x14ac:dyDescent="0.25">
      <c r="A2143" t="s">
        <v>7</v>
      </c>
      <c r="B2143" s="1">
        <v>44778</v>
      </c>
      <c r="C2143">
        <v>20.127625999999999</v>
      </c>
    </row>
    <row r="2144" spans="1:3" x14ac:dyDescent="0.25">
      <c r="A2144" t="s">
        <v>7</v>
      </c>
      <c r="B2144" s="1">
        <v>44781</v>
      </c>
      <c r="C2144">
        <v>20.403348999999999</v>
      </c>
    </row>
    <row r="2145" spans="1:3" x14ac:dyDescent="0.25">
      <c r="A2145" t="s">
        <v>7</v>
      </c>
      <c r="B2145" s="1">
        <v>44782</v>
      </c>
      <c r="C2145">
        <v>19.989767000000001</v>
      </c>
    </row>
    <row r="2146" spans="1:3" x14ac:dyDescent="0.25">
      <c r="A2146" t="s">
        <v>7</v>
      </c>
      <c r="B2146" s="1">
        <v>44783</v>
      </c>
      <c r="C2146">
        <v>20.54121</v>
      </c>
    </row>
    <row r="2147" spans="1:3" x14ac:dyDescent="0.25">
      <c r="A2147" t="s">
        <v>7</v>
      </c>
      <c r="B2147" s="1">
        <v>44784</v>
      </c>
      <c r="C2147">
        <v>20.725021000000002</v>
      </c>
    </row>
    <row r="2148" spans="1:3" x14ac:dyDescent="0.25">
      <c r="A2148" t="s">
        <v>7</v>
      </c>
      <c r="B2148" s="1">
        <v>44785</v>
      </c>
      <c r="C2148">
        <v>19.943812999999999</v>
      </c>
    </row>
    <row r="2149" spans="1:3" x14ac:dyDescent="0.25">
      <c r="A2149" t="s">
        <v>7</v>
      </c>
      <c r="B2149" s="1">
        <v>44788</v>
      </c>
      <c r="C2149">
        <v>19.943812999999999</v>
      </c>
    </row>
    <row r="2150" spans="1:3" x14ac:dyDescent="0.25">
      <c r="A2150" t="s">
        <v>7</v>
      </c>
      <c r="B2150" s="1">
        <v>44789</v>
      </c>
      <c r="C2150">
        <v>20.081676000000002</v>
      </c>
    </row>
    <row r="2151" spans="1:3" x14ac:dyDescent="0.25">
      <c r="A2151" t="s">
        <v>7</v>
      </c>
      <c r="B2151" s="1">
        <v>44790</v>
      </c>
      <c r="C2151">
        <v>19.851906</v>
      </c>
    </row>
    <row r="2152" spans="1:3" x14ac:dyDescent="0.25">
      <c r="A2152" t="s">
        <v>7</v>
      </c>
      <c r="B2152" s="1">
        <v>44791</v>
      </c>
      <c r="C2152">
        <v>19.897860000000001</v>
      </c>
    </row>
    <row r="2153" spans="1:3" x14ac:dyDescent="0.25">
      <c r="A2153" t="s">
        <v>7</v>
      </c>
      <c r="B2153" s="1">
        <v>44792</v>
      </c>
      <c r="C2153">
        <v>19.714046</v>
      </c>
    </row>
    <row r="2154" spans="1:3" x14ac:dyDescent="0.25">
      <c r="A2154" t="s">
        <v>7</v>
      </c>
      <c r="B2154" s="1">
        <v>44795</v>
      </c>
      <c r="C2154">
        <v>19.576184999999999</v>
      </c>
    </row>
    <row r="2155" spans="1:3" x14ac:dyDescent="0.25">
      <c r="A2155" t="s">
        <v>7</v>
      </c>
      <c r="B2155" s="1">
        <v>44796</v>
      </c>
      <c r="C2155">
        <v>19.346418</v>
      </c>
    </row>
    <row r="2156" spans="1:3" x14ac:dyDescent="0.25">
      <c r="A2156" t="s">
        <v>7</v>
      </c>
      <c r="B2156" s="1">
        <v>44797</v>
      </c>
      <c r="C2156">
        <v>19.208559000000001</v>
      </c>
    </row>
    <row r="2157" spans="1:3" x14ac:dyDescent="0.25">
      <c r="A2157" t="s">
        <v>7</v>
      </c>
      <c r="B2157" s="1">
        <v>44798</v>
      </c>
      <c r="C2157">
        <v>19.254512999999999</v>
      </c>
    </row>
    <row r="2158" spans="1:3" x14ac:dyDescent="0.25">
      <c r="A2158" t="s">
        <v>7</v>
      </c>
      <c r="B2158" s="1">
        <v>44799</v>
      </c>
      <c r="C2158">
        <v>18.794979000000001</v>
      </c>
    </row>
    <row r="2159" spans="1:3" x14ac:dyDescent="0.25">
      <c r="A2159" t="s">
        <v>7</v>
      </c>
      <c r="B2159" s="1">
        <v>44802</v>
      </c>
      <c r="C2159">
        <v>18.381397</v>
      </c>
    </row>
    <row r="2160" spans="1:3" x14ac:dyDescent="0.25">
      <c r="A2160" t="s">
        <v>7</v>
      </c>
      <c r="B2160" s="1">
        <v>44803</v>
      </c>
      <c r="C2160">
        <v>18.565207000000001</v>
      </c>
    </row>
    <row r="2161" spans="1:3" x14ac:dyDescent="0.25">
      <c r="A2161" t="s">
        <v>7</v>
      </c>
      <c r="B2161" s="1">
        <v>44804</v>
      </c>
      <c r="C2161">
        <v>18.840931000000001</v>
      </c>
    </row>
    <row r="2162" spans="1:3" x14ac:dyDescent="0.25">
      <c r="A2162" t="s">
        <v>7</v>
      </c>
      <c r="B2162" s="1">
        <v>44805</v>
      </c>
      <c r="C2162">
        <v>18.519252999999999</v>
      </c>
    </row>
    <row r="2163" spans="1:3" x14ac:dyDescent="0.25">
      <c r="A2163" t="s">
        <v>7</v>
      </c>
      <c r="B2163" s="1">
        <v>44806</v>
      </c>
      <c r="C2163">
        <v>18.657115999999998</v>
      </c>
    </row>
    <row r="2164" spans="1:3" x14ac:dyDescent="0.25">
      <c r="A2164" t="s">
        <v>7</v>
      </c>
      <c r="B2164" s="1">
        <v>44809</v>
      </c>
      <c r="C2164">
        <v>18.427349</v>
      </c>
    </row>
    <row r="2165" spans="1:3" x14ac:dyDescent="0.25">
      <c r="A2165" t="s">
        <v>7</v>
      </c>
      <c r="B2165" s="1">
        <v>44810</v>
      </c>
      <c r="C2165">
        <v>18.363012000000001</v>
      </c>
    </row>
    <row r="2166" spans="1:3" x14ac:dyDescent="0.25">
      <c r="A2166" t="s">
        <v>7</v>
      </c>
      <c r="B2166" s="1">
        <v>44811</v>
      </c>
      <c r="C2166">
        <v>18.611163999999999</v>
      </c>
    </row>
    <row r="2167" spans="1:3" x14ac:dyDescent="0.25">
      <c r="A2167" t="s">
        <v>7</v>
      </c>
      <c r="B2167" s="1">
        <v>44812</v>
      </c>
      <c r="C2167">
        <v>18.427349</v>
      </c>
    </row>
    <row r="2168" spans="1:3" x14ac:dyDescent="0.25">
      <c r="A2168" t="s">
        <v>7</v>
      </c>
      <c r="B2168" s="1">
        <v>44813</v>
      </c>
      <c r="C2168">
        <v>18.657115999999998</v>
      </c>
    </row>
    <row r="2169" spans="1:3" x14ac:dyDescent="0.25">
      <c r="A2169" t="s">
        <v>7</v>
      </c>
      <c r="B2169" s="1">
        <v>44816</v>
      </c>
      <c r="C2169">
        <v>19.188047000000001</v>
      </c>
    </row>
    <row r="2170" spans="1:3" x14ac:dyDescent="0.25">
      <c r="A2170" t="s">
        <v>7</v>
      </c>
      <c r="B2170" s="1">
        <v>44817</v>
      </c>
      <c r="C2170">
        <v>18.722318999999999</v>
      </c>
    </row>
    <row r="2171" spans="1:3" x14ac:dyDescent="0.25">
      <c r="A2171" t="s">
        <v>7</v>
      </c>
      <c r="B2171" s="1">
        <v>44818</v>
      </c>
      <c r="C2171">
        <v>18.498767999999998</v>
      </c>
    </row>
    <row r="2172" spans="1:3" x14ac:dyDescent="0.25">
      <c r="A2172" t="s">
        <v>7</v>
      </c>
      <c r="B2172" s="1">
        <v>44819</v>
      </c>
      <c r="C2172">
        <v>18.498767999999998</v>
      </c>
    </row>
    <row r="2173" spans="1:3" x14ac:dyDescent="0.25">
      <c r="A2173" t="s">
        <v>7</v>
      </c>
      <c r="B2173" s="1">
        <v>44820</v>
      </c>
      <c r="C2173">
        <v>18.405622000000001</v>
      </c>
    </row>
    <row r="2174" spans="1:3" x14ac:dyDescent="0.25">
      <c r="A2174" t="s">
        <v>7</v>
      </c>
      <c r="B2174" s="1">
        <v>44823</v>
      </c>
      <c r="C2174">
        <v>18.498767999999998</v>
      </c>
    </row>
    <row r="2175" spans="1:3" x14ac:dyDescent="0.25">
      <c r="A2175" t="s">
        <v>7</v>
      </c>
      <c r="B2175" s="1">
        <v>44824</v>
      </c>
      <c r="C2175">
        <v>17.753601</v>
      </c>
    </row>
    <row r="2176" spans="1:3" x14ac:dyDescent="0.25">
      <c r="A2176" t="s">
        <v>7</v>
      </c>
      <c r="B2176" s="1">
        <v>44825</v>
      </c>
      <c r="C2176">
        <v>17.921263</v>
      </c>
    </row>
    <row r="2177" spans="1:3" x14ac:dyDescent="0.25">
      <c r="A2177" t="s">
        <v>7</v>
      </c>
      <c r="B2177" s="1">
        <v>44826</v>
      </c>
      <c r="C2177">
        <v>17.418278000000001</v>
      </c>
    </row>
    <row r="2178" spans="1:3" x14ac:dyDescent="0.25">
      <c r="A2178" t="s">
        <v>7</v>
      </c>
      <c r="B2178" s="1">
        <v>44827</v>
      </c>
      <c r="C2178">
        <v>17.138838</v>
      </c>
    </row>
    <row r="2179" spans="1:3" x14ac:dyDescent="0.25">
      <c r="A2179" t="s">
        <v>7</v>
      </c>
      <c r="B2179" s="1">
        <v>44830</v>
      </c>
      <c r="C2179">
        <v>17.250613999999999</v>
      </c>
    </row>
    <row r="2180" spans="1:3" x14ac:dyDescent="0.25">
      <c r="A2180" t="s">
        <v>7</v>
      </c>
      <c r="B2180" s="1">
        <v>44831</v>
      </c>
      <c r="C2180">
        <v>17.194724999999998</v>
      </c>
    </row>
    <row r="2181" spans="1:3" x14ac:dyDescent="0.25">
      <c r="A2181" t="s">
        <v>7</v>
      </c>
      <c r="B2181" s="1">
        <v>44832</v>
      </c>
      <c r="C2181">
        <v>17.008436</v>
      </c>
    </row>
    <row r="2182" spans="1:3" x14ac:dyDescent="0.25">
      <c r="A2182" t="s">
        <v>7</v>
      </c>
      <c r="B2182" s="1">
        <v>44833</v>
      </c>
      <c r="C2182">
        <v>16.598593000000001</v>
      </c>
    </row>
    <row r="2183" spans="1:3" x14ac:dyDescent="0.25">
      <c r="A2183" t="s">
        <v>7</v>
      </c>
      <c r="B2183" s="1">
        <v>44834</v>
      </c>
      <c r="C2183">
        <v>17.157468999999999</v>
      </c>
    </row>
    <row r="2184" spans="1:3" x14ac:dyDescent="0.25">
      <c r="A2184" t="s">
        <v>7</v>
      </c>
      <c r="B2184" s="1">
        <v>44837</v>
      </c>
      <c r="C2184">
        <v>17.064323000000002</v>
      </c>
    </row>
    <row r="2185" spans="1:3" x14ac:dyDescent="0.25">
      <c r="A2185" t="s">
        <v>7</v>
      </c>
      <c r="B2185" s="1">
        <v>44838</v>
      </c>
      <c r="C2185">
        <v>17.082951000000001</v>
      </c>
    </row>
    <row r="2186" spans="1:3" x14ac:dyDescent="0.25">
      <c r="A2186" t="s">
        <v>7</v>
      </c>
      <c r="B2186" s="1">
        <v>44839</v>
      </c>
      <c r="C2186">
        <v>16.859400000000001</v>
      </c>
    </row>
    <row r="2187" spans="1:3" x14ac:dyDescent="0.25">
      <c r="A2187" t="s">
        <v>7</v>
      </c>
      <c r="B2187" s="1">
        <v>44840</v>
      </c>
      <c r="C2187">
        <v>16.747623000000001</v>
      </c>
    </row>
    <row r="2188" spans="1:3" x14ac:dyDescent="0.25">
      <c r="A2188" t="s">
        <v>7</v>
      </c>
      <c r="B2188" s="1">
        <v>44841</v>
      </c>
      <c r="C2188">
        <v>16.319154999999999</v>
      </c>
    </row>
    <row r="2189" spans="1:3" x14ac:dyDescent="0.25">
      <c r="A2189" t="s">
        <v>7</v>
      </c>
      <c r="B2189" s="1">
        <v>44844</v>
      </c>
      <c r="C2189">
        <v>16.319154999999999</v>
      </c>
    </row>
    <row r="2190" spans="1:3" x14ac:dyDescent="0.25">
      <c r="A2190" t="s">
        <v>7</v>
      </c>
      <c r="B2190" s="1">
        <v>44845</v>
      </c>
      <c r="C2190">
        <v>16.524076000000001</v>
      </c>
    </row>
    <row r="2191" spans="1:3" x14ac:dyDescent="0.25">
      <c r="A2191" t="s">
        <v>7</v>
      </c>
      <c r="B2191" s="1">
        <v>44846</v>
      </c>
      <c r="C2191">
        <v>16.393671000000001</v>
      </c>
    </row>
    <row r="2192" spans="1:3" x14ac:dyDescent="0.25">
      <c r="A2192" t="s">
        <v>7</v>
      </c>
      <c r="B2192" s="1">
        <v>44847</v>
      </c>
      <c r="C2192">
        <v>16.430927000000001</v>
      </c>
    </row>
    <row r="2193" spans="1:3" x14ac:dyDescent="0.25">
      <c r="A2193" t="s">
        <v>7</v>
      </c>
      <c r="B2193" s="1">
        <v>44848</v>
      </c>
      <c r="C2193">
        <v>16.822144000000002</v>
      </c>
    </row>
    <row r="2194" spans="1:3" x14ac:dyDescent="0.25">
      <c r="A2194" t="s">
        <v>7</v>
      </c>
      <c r="B2194" s="1">
        <v>44851</v>
      </c>
      <c r="C2194">
        <v>17.157468999999999</v>
      </c>
    </row>
    <row r="2195" spans="1:3" x14ac:dyDescent="0.25">
      <c r="A2195" t="s">
        <v>7</v>
      </c>
      <c r="B2195" s="1">
        <v>44852</v>
      </c>
      <c r="C2195">
        <v>17.176098</v>
      </c>
    </row>
    <row r="2196" spans="1:3" x14ac:dyDescent="0.25">
      <c r="A2196" t="s">
        <v>7</v>
      </c>
      <c r="B2196" s="1">
        <v>44853</v>
      </c>
      <c r="C2196">
        <v>16.878032999999999</v>
      </c>
    </row>
    <row r="2197" spans="1:3" x14ac:dyDescent="0.25">
      <c r="A2197" t="s">
        <v>7</v>
      </c>
      <c r="B2197" s="1">
        <v>44854</v>
      </c>
      <c r="C2197">
        <v>16.803514</v>
      </c>
    </row>
    <row r="2198" spans="1:3" x14ac:dyDescent="0.25">
      <c r="A2198" t="s">
        <v>7</v>
      </c>
      <c r="B2198" s="1">
        <v>44855</v>
      </c>
      <c r="C2198">
        <v>16.822144000000002</v>
      </c>
    </row>
    <row r="2199" spans="1:3" x14ac:dyDescent="0.25">
      <c r="A2199" t="s">
        <v>7</v>
      </c>
      <c r="B2199" s="1">
        <v>44858</v>
      </c>
      <c r="C2199">
        <v>16.989802999999998</v>
      </c>
    </row>
    <row r="2200" spans="1:3" x14ac:dyDescent="0.25">
      <c r="A2200" t="s">
        <v>7</v>
      </c>
      <c r="B2200" s="1">
        <v>44859</v>
      </c>
      <c r="C2200">
        <v>17.213353999999999</v>
      </c>
    </row>
    <row r="2201" spans="1:3" x14ac:dyDescent="0.25">
      <c r="A2201" t="s">
        <v>7</v>
      </c>
      <c r="B2201" s="1">
        <v>44860</v>
      </c>
      <c r="C2201">
        <v>17.231983</v>
      </c>
    </row>
    <row r="2202" spans="1:3" x14ac:dyDescent="0.25">
      <c r="A2202" t="s">
        <v>7</v>
      </c>
      <c r="B2202" s="1">
        <v>44861</v>
      </c>
      <c r="C2202">
        <v>18.051663999999999</v>
      </c>
    </row>
    <row r="2203" spans="1:3" x14ac:dyDescent="0.25">
      <c r="A2203" t="s">
        <v>7</v>
      </c>
      <c r="B2203" s="1">
        <v>44862</v>
      </c>
      <c r="C2203">
        <v>17.567309999999999</v>
      </c>
    </row>
    <row r="2204" spans="1:3" x14ac:dyDescent="0.25">
      <c r="A2204" t="s">
        <v>7</v>
      </c>
      <c r="B2204" s="1">
        <v>44865</v>
      </c>
      <c r="C2204">
        <v>18.126180999999999</v>
      </c>
    </row>
    <row r="2205" spans="1:3" x14ac:dyDescent="0.25">
      <c r="A2205" t="s">
        <v>7</v>
      </c>
      <c r="B2205" s="1">
        <v>44866</v>
      </c>
      <c r="C2205">
        <v>18.219329999999999</v>
      </c>
    </row>
    <row r="2206" spans="1:3" x14ac:dyDescent="0.25">
      <c r="A2206" t="s">
        <v>7</v>
      </c>
      <c r="B2206" s="1">
        <v>44867</v>
      </c>
      <c r="C2206">
        <v>18.163443000000001</v>
      </c>
    </row>
    <row r="2207" spans="1:3" x14ac:dyDescent="0.25">
      <c r="A2207" t="s">
        <v>7</v>
      </c>
      <c r="B2207" s="1">
        <v>44868</v>
      </c>
      <c r="C2207">
        <v>18.405622000000001</v>
      </c>
    </row>
    <row r="2208" spans="1:3" x14ac:dyDescent="0.25">
      <c r="A2208" t="s">
        <v>7</v>
      </c>
      <c r="B2208" s="1">
        <v>44869</v>
      </c>
      <c r="C2208">
        <v>18.862037999999998</v>
      </c>
    </row>
    <row r="2209" spans="1:3" x14ac:dyDescent="0.25">
      <c r="A2209" t="s">
        <v>7</v>
      </c>
      <c r="B2209" s="1">
        <v>44872</v>
      </c>
      <c r="C2209">
        <v>19.001757000000001</v>
      </c>
    </row>
    <row r="2210" spans="1:3" x14ac:dyDescent="0.25">
      <c r="A2210" t="s">
        <v>7</v>
      </c>
      <c r="B2210" s="1">
        <v>44873</v>
      </c>
      <c r="C2210">
        <v>19.374338000000002</v>
      </c>
    </row>
    <row r="2211" spans="1:3" x14ac:dyDescent="0.25">
      <c r="A2211" t="s">
        <v>7</v>
      </c>
      <c r="B2211" s="1">
        <v>44874</v>
      </c>
      <c r="C2211">
        <v>19.420912000000001</v>
      </c>
    </row>
    <row r="2212" spans="1:3" x14ac:dyDescent="0.25">
      <c r="A2212" t="s">
        <v>7</v>
      </c>
      <c r="B2212" s="1">
        <v>44875</v>
      </c>
      <c r="C2212">
        <v>19.607203999999999</v>
      </c>
    </row>
    <row r="2213" spans="1:3" x14ac:dyDescent="0.25">
      <c r="A2213" t="s">
        <v>7</v>
      </c>
      <c r="B2213" s="1">
        <v>44876</v>
      </c>
      <c r="C2213">
        <v>19.840067000000001</v>
      </c>
    </row>
    <row r="2214" spans="1:3" x14ac:dyDescent="0.25">
      <c r="A2214" t="s">
        <v>7</v>
      </c>
      <c r="B2214" s="1">
        <v>44879</v>
      </c>
      <c r="C2214">
        <v>19.653776000000001</v>
      </c>
    </row>
    <row r="2215" spans="1:3" x14ac:dyDescent="0.25">
      <c r="A2215" t="s">
        <v>7</v>
      </c>
      <c r="B2215" s="1">
        <v>44880</v>
      </c>
      <c r="C2215">
        <v>19.560628999999999</v>
      </c>
    </row>
    <row r="2216" spans="1:3" x14ac:dyDescent="0.25">
      <c r="A2216" t="s">
        <v>7</v>
      </c>
      <c r="B2216" s="1">
        <v>44881</v>
      </c>
      <c r="C2216">
        <v>19.327767999999999</v>
      </c>
    </row>
    <row r="2217" spans="1:3" x14ac:dyDescent="0.25">
      <c r="A2217" t="s">
        <v>7</v>
      </c>
      <c r="B2217" s="1">
        <v>44882</v>
      </c>
      <c r="C2217">
        <v>19.141473999999999</v>
      </c>
    </row>
    <row r="2218" spans="1:3" x14ac:dyDescent="0.25">
      <c r="A2218" t="s">
        <v>7</v>
      </c>
      <c r="B2218" s="1">
        <v>44883</v>
      </c>
      <c r="C2218">
        <v>19.141473999999999</v>
      </c>
    </row>
    <row r="2219" spans="1:3" x14ac:dyDescent="0.25">
      <c r="A2219" t="s">
        <v>7</v>
      </c>
      <c r="B2219" s="1">
        <v>44886</v>
      </c>
      <c r="C2219">
        <v>19.141473999999999</v>
      </c>
    </row>
    <row r="2220" spans="1:3" x14ac:dyDescent="0.25">
      <c r="A2220" t="s">
        <v>7</v>
      </c>
      <c r="B2220" s="1">
        <v>44887</v>
      </c>
      <c r="C2220">
        <v>19.04833</v>
      </c>
    </row>
    <row r="2221" spans="1:3" x14ac:dyDescent="0.25">
      <c r="A2221" t="s">
        <v>7</v>
      </c>
      <c r="B2221" s="1">
        <v>44888</v>
      </c>
      <c r="C2221">
        <v>19.141473999999999</v>
      </c>
    </row>
    <row r="2222" spans="1:3" x14ac:dyDescent="0.25">
      <c r="A2222" t="s">
        <v>7</v>
      </c>
      <c r="B2222" s="1">
        <v>44889</v>
      </c>
      <c r="C2222">
        <v>19.374338000000002</v>
      </c>
    </row>
    <row r="2223" spans="1:3" x14ac:dyDescent="0.25">
      <c r="A2223" t="s">
        <v>7</v>
      </c>
      <c r="B2223" s="1">
        <v>44890</v>
      </c>
      <c r="C2223">
        <v>19.141473999999999</v>
      </c>
    </row>
    <row r="2224" spans="1:3" x14ac:dyDescent="0.25">
      <c r="A2224" t="s">
        <v>7</v>
      </c>
      <c r="B2224" s="1">
        <v>44893</v>
      </c>
      <c r="C2224">
        <v>18.908608999999998</v>
      </c>
    </row>
    <row r="2225" spans="1:3" x14ac:dyDescent="0.25">
      <c r="A2225" t="s">
        <v>7</v>
      </c>
      <c r="B2225" s="1">
        <v>44894</v>
      </c>
      <c r="C2225">
        <v>18.815462</v>
      </c>
    </row>
    <row r="2226" spans="1:3" x14ac:dyDescent="0.25">
      <c r="A2226" t="s">
        <v>7</v>
      </c>
      <c r="B2226" s="1">
        <v>44895</v>
      </c>
      <c r="C2226">
        <v>18.629173000000002</v>
      </c>
    </row>
    <row r="2227" spans="1:3" x14ac:dyDescent="0.25">
      <c r="A2227" t="s">
        <v>7</v>
      </c>
      <c r="B2227" s="1">
        <v>44896</v>
      </c>
      <c r="C2227">
        <v>19.420912000000001</v>
      </c>
    </row>
    <row r="2228" spans="1:3" x14ac:dyDescent="0.25">
      <c r="A2228" t="s">
        <v>7</v>
      </c>
      <c r="B2228" s="1">
        <v>44897</v>
      </c>
      <c r="C2228">
        <v>19.281192999999998</v>
      </c>
    </row>
    <row r="2229" spans="1:3" x14ac:dyDescent="0.25">
      <c r="A2229" t="s">
        <v>7</v>
      </c>
      <c r="B2229" s="1">
        <v>44900</v>
      </c>
      <c r="C2229">
        <v>19.374338000000002</v>
      </c>
    </row>
    <row r="2230" spans="1:3" x14ac:dyDescent="0.25">
      <c r="A2230" t="s">
        <v>7</v>
      </c>
      <c r="B2230" s="1">
        <v>44902</v>
      </c>
      <c r="C2230">
        <v>19.141473999999999</v>
      </c>
    </row>
    <row r="2231" spans="1:3" x14ac:dyDescent="0.25">
      <c r="A2231" t="s">
        <v>7</v>
      </c>
      <c r="B2231" s="1">
        <v>44903</v>
      </c>
      <c r="C2231">
        <v>18.815462</v>
      </c>
    </row>
    <row r="2232" spans="1:3" x14ac:dyDescent="0.25">
      <c r="A2232" t="s">
        <v>7</v>
      </c>
      <c r="B2232" s="1">
        <v>44904</v>
      </c>
      <c r="C2232">
        <v>19.188047000000001</v>
      </c>
    </row>
    <row r="2233" spans="1:3" x14ac:dyDescent="0.25">
      <c r="A2233" t="s">
        <v>7</v>
      </c>
      <c r="B2233" s="1">
        <v>44907</v>
      </c>
      <c r="C2233">
        <v>18.914469</v>
      </c>
    </row>
    <row r="2234" spans="1:3" x14ac:dyDescent="0.25">
      <c r="A2234" t="s">
        <v>7</v>
      </c>
      <c r="B2234" s="1">
        <v>44908</v>
      </c>
      <c r="C2234">
        <v>19.055976999999999</v>
      </c>
    </row>
    <row r="2235" spans="1:3" x14ac:dyDescent="0.25">
      <c r="A2235" t="s">
        <v>7</v>
      </c>
      <c r="B2235" s="1">
        <v>44909</v>
      </c>
      <c r="C2235">
        <v>19.103145999999999</v>
      </c>
    </row>
    <row r="2236" spans="1:3" x14ac:dyDescent="0.25">
      <c r="A2236" t="s">
        <v>7</v>
      </c>
      <c r="B2236" s="1">
        <v>44910</v>
      </c>
      <c r="C2236">
        <v>18.914469</v>
      </c>
    </row>
    <row r="2237" spans="1:3" x14ac:dyDescent="0.25">
      <c r="A2237" t="s">
        <v>7</v>
      </c>
      <c r="B2237" s="1">
        <v>44911</v>
      </c>
      <c r="C2237">
        <v>19.055976999999999</v>
      </c>
    </row>
    <row r="2238" spans="1:3" x14ac:dyDescent="0.25">
      <c r="A2238" t="s">
        <v>7</v>
      </c>
      <c r="B2238" s="1">
        <v>44914</v>
      </c>
      <c r="C2238">
        <v>19.055976999999999</v>
      </c>
    </row>
    <row r="2239" spans="1:3" x14ac:dyDescent="0.25">
      <c r="A2239" t="s">
        <v>7</v>
      </c>
      <c r="B2239" s="1">
        <v>44915</v>
      </c>
      <c r="C2239">
        <v>18.961641</v>
      </c>
    </row>
    <row r="2240" spans="1:3" x14ac:dyDescent="0.25">
      <c r="A2240" t="s">
        <v>7</v>
      </c>
      <c r="B2240" s="1">
        <v>44916</v>
      </c>
      <c r="C2240">
        <v>19.386151999999999</v>
      </c>
    </row>
    <row r="2241" spans="1:3" x14ac:dyDescent="0.25">
      <c r="A2241" t="s">
        <v>7</v>
      </c>
      <c r="B2241" s="1">
        <v>44917</v>
      </c>
      <c r="C2241">
        <v>19.197481</v>
      </c>
    </row>
    <row r="2242" spans="1:3" x14ac:dyDescent="0.25">
      <c r="A2242" t="s">
        <v>7</v>
      </c>
      <c r="B2242" s="1">
        <v>44918</v>
      </c>
      <c r="C2242">
        <v>19.197481</v>
      </c>
    </row>
    <row r="2243" spans="1:3" x14ac:dyDescent="0.25">
      <c r="A2243" t="s">
        <v>7</v>
      </c>
      <c r="B2243" s="1">
        <v>44922</v>
      </c>
      <c r="C2243">
        <v>19.197481</v>
      </c>
    </row>
    <row r="2244" spans="1:3" x14ac:dyDescent="0.25">
      <c r="A2244" t="s">
        <v>7</v>
      </c>
      <c r="B2244" s="1">
        <v>44923</v>
      </c>
      <c r="C2244">
        <v>19.150310999999999</v>
      </c>
    </row>
    <row r="2245" spans="1:3" x14ac:dyDescent="0.25">
      <c r="A2245" t="s">
        <v>7</v>
      </c>
      <c r="B2245" s="1">
        <v>44924</v>
      </c>
      <c r="C2245">
        <v>19.291817000000002</v>
      </c>
    </row>
    <row r="2246" spans="1:3" x14ac:dyDescent="0.25">
      <c r="A2246" t="s">
        <v>7</v>
      </c>
      <c r="B2246" s="1">
        <v>44925</v>
      </c>
      <c r="C2246">
        <v>19.197481</v>
      </c>
    </row>
    <row r="2247" spans="1:3" x14ac:dyDescent="0.25">
      <c r="A2247" t="s">
        <v>7</v>
      </c>
      <c r="B2247" s="1">
        <v>44928</v>
      </c>
      <c r="C2247">
        <v>19.244648000000002</v>
      </c>
    </row>
    <row r="2248" spans="1:3" x14ac:dyDescent="0.25">
      <c r="A2248" t="s">
        <v>7</v>
      </c>
      <c r="B2248" s="1">
        <v>44929</v>
      </c>
      <c r="C2248">
        <v>19.48049</v>
      </c>
    </row>
    <row r="2249" spans="1:3" x14ac:dyDescent="0.25">
      <c r="A2249" t="s">
        <v>7</v>
      </c>
      <c r="B2249" s="1">
        <v>44930</v>
      </c>
      <c r="C2249">
        <v>19.763497999999998</v>
      </c>
    </row>
    <row r="2250" spans="1:3" x14ac:dyDescent="0.25">
      <c r="A2250" t="s">
        <v>7</v>
      </c>
      <c r="B2250" s="1">
        <v>44931</v>
      </c>
      <c r="C2250">
        <v>19.527657999999999</v>
      </c>
    </row>
    <row r="2251" spans="1:3" x14ac:dyDescent="0.25">
      <c r="A2251" t="s">
        <v>7</v>
      </c>
      <c r="B2251" s="1">
        <v>44935</v>
      </c>
      <c r="C2251">
        <v>20.046509</v>
      </c>
    </row>
    <row r="2252" spans="1:3" x14ac:dyDescent="0.25">
      <c r="A2252" t="s">
        <v>7</v>
      </c>
      <c r="B2252" s="1">
        <v>44936</v>
      </c>
      <c r="C2252">
        <v>19.763497999999998</v>
      </c>
    </row>
    <row r="2253" spans="1:3" x14ac:dyDescent="0.25">
      <c r="A2253" t="s">
        <v>7</v>
      </c>
      <c r="B2253" s="1">
        <v>44937</v>
      </c>
      <c r="C2253">
        <v>19.763497999999998</v>
      </c>
    </row>
    <row r="2254" spans="1:3" x14ac:dyDescent="0.25">
      <c r="A2254" t="s">
        <v>7</v>
      </c>
      <c r="B2254" s="1">
        <v>44938</v>
      </c>
      <c r="C2254">
        <v>20.093678000000001</v>
      </c>
    </row>
    <row r="2255" spans="1:3" x14ac:dyDescent="0.25">
      <c r="A2255" t="s">
        <v>7</v>
      </c>
      <c r="B2255" s="1">
        <v>44939</v>
      </c>
      <c r="C2255">
        <v>20.140846</v>
      </c>
    </row>
    <row r="2256" spans="1:3" x14ac:dyDescent="0.25">
      <c r="A2256" t="s">
        <v>7</v>
      </c>
      <c r="B2256" s="1">
        <v>44942</v>
      </c>
      <c r="C2256">
        <v>20.659697000000001</v>
      </c>
    </row>
    <row r="2257" spans="1:3" x14ac:dyDescent="0.25">
      <c r="A2257" t="s">
        <v>7</v>
      </c>
      <c r="B2257" s="1">
        <v>44943</v>
      </c>
      <c r="C2257">
        <v>20.518191999999999</v>
      </c>
    </row>
    <row r="2258" spans="1:3" x14ac:dyDescent="0.25">
      <c r="A2258" t="s">
        <v>7</v>
      </c>
      <c r="B2258" s="1">
        <v>44944</v>
      </c>
      <c r="C2258">
        <v>19.810666999999999</v>
      </c>
    </row>
    <row r="2259" spans="1:3" x14ac:dyDescent="0.25">
      <c r="A2259" t="s">
        <v>7</v>
      </c>
      <c r="B2259" s="1">
        <v>44945</v>
      </c>
      <c r="C2259">
        <v>19.716331</v>
      </c>
    </row>
    <row r="2260" spans="1:3" x14ac:dyDescent="0.25">
      <c r="A2260" t="s">
        <v>7</v>
      </c>
      <c r="B2260" s="1">
        <v>44946</v>
      </c>
      <c r="C2260">
        <v>19.857835999999999</v>
      </c>
    </row>
    <row r="2261" spans="1:3" x14ac:dyDescent="0.25">
      <c r="A2261" t="s">
        <v>7</v>
      </c>
      <c r="B2261" s="1">
        <v>44949</v>
      </c>
      <c r="C2261">
        <v>20.235181999999998</v>
      </c>
    </row>
    <row r="2262" spans="1:3" x14ac:dyDescent="0.25">
      <c r="A2262" t="s">
        <v>7</v>
      </c>
      <c r="B2262" s="1">
        <v>44950</v>
      </c>
      <c r="C2262">
        <v>20.282350999999998</v>
      </c>
    </row>
    <row r="2263" spans="1:3" x14ac:dyDescent="0.25">
      <c r="A2263" t="s">
        <v>7</v>
      </c>
      <c r="B2263" s="1">
        <v>44951</v>
      </c>
      <c r="C2263">
        <v>20.140846</v>
      </c>
    </row>
    <row r="2264" spans="1:3" x14ac:dyDescent="0.25">
      <c r="A2264" t="s">
        <v>7</v>
      </c>
      <c r="B2264" s="1">
        <v>44952</v>
      </c>
      <c r="C2264">
        <v>20.140846</v>
      </c>
    </row>
    <row r="2265" spans="1:3" x14ac:dyDescent="0.25">
      <c r="A2265" t="s">
        <v>7</v>
      </c>
      <c r="B2265" s="1">
        <v>44953</v>
      </c>
      <c r="C2265">
        <v>20.518191999999999</v>
      </c>
    </row>
    <row r="2266" spans="1:3" x14ac:dyDescent="0.25">
      <c r="A2266" t="s">
        <v>7</v>
      </c>
      <c r="B2266" s="1">
        <v>44956</v>
      </c>
      <c r="C2266">
        <v>20.61253</v>
      </c>
    </row>
    <row r="2267" spans="1:3" x14ac:dyDescent="0.25">
      <c r="A2267" t="s">
        <v>7</v>
      </c>
      <c r="B2267" s="1">
        <v>44957</v>
      </c>
      <c r="C2267">
        <v>20.046509</v>
      </c>
    </row>
    <row r="2268" spans="1:3" x14ac:dyDescent="0.25">
      <c r="A2268" t="s">
        <v>7</v>
      </c>
      <c r="B2268" s="1">
        <v>44958</v>
      </c>
      <c r="C2268">
        <v>20.282350999999998</v>
      </c>
    </row>
    <row r="2269" spans="1:3" x14ac:dyDescent="0.25">
      <c r="A2269" t="s">
        <v>7</v>
      </c>
      <c r="B2269" s="1">
        <v>44959</v>
      </c>
      <c r="C2269">
        <v>19.857835999999999</v>
      </c>
    </row>
    <row r="2270" spans="1:3" x14ac:dyDescent="0.25">
      <c r="A2270" t="s">
        <v>7</v>
      </c>
      <c r="B2270" s="1">
        <v>44960</v>
      </c>
      <c r="C2270">
        <v>18.772964000000002</v>
      </c>
    </row>
    <row r="2271" spans="1:3" x14ac:dyDescent="0.25">
      <c r="A2271" t="s">
        <v>7</v>
      </c>
      <c r="B2271" s="1">
        <v>44963</v>
      </c>
      <c r="C2271">
        <v>19.103145999999999</v>
      </c>
    </row>
    <row r="2272" spans="1:3" x14ac:dyDescent="0.25">
      <c r="A2272" t="s">
        <v>7</v>
      </c>
      <c r="B2272" s="1">
        <v>44964</v>
      </c>
      <c r="C2272">
        <v>18.754097000000002</v>
      </c>
    </row>
    <row r="2273" spans="1:3" x14ac:dyDescent="0.25">
      <c r="A2273" t="s">
        <v>7</v>
      </c>
      <c r="B2273" s="1">
        <v>44965</v>
      </c>
      <c r="C2273">
        <v>18.791834000000001</v>
      </c>
    </row>
    <row r="2274" spans="1:3" x14ac:dyDescent="0.25">
      <c r="A2274" t="s">
        <v>7</v>
      </c>
      <c r="B2274" s="1">
        <v>44966</v>
      </c>
      <c r="C2274">
        <v>18.914469</v>
      </c>
    </row>
    <row r="2275" spans="1:3" x14ac:dyDescent="0.25">
      <c r="A2275" t="s">
        <v>7</v>
      </c>
      <c r="B2275" s="1">
        <v>44967</v>
      </c>
      <c r="C2275">
        <v>18.867304000000001</v>
      </c>
    </row>
    <row r="2276" spans="1:3" x14ac:dyDescent="0.25">
      <c r="A2276" t="s">
        <v>7</v>
      </c>
      <c r="B2276" s="1">
        <v>44970</v>
      </c>
      <c r="C2276">
        <v>18.961641</v>
      </c>
    </row>
    <row r="2277" spans="1:3" x14ac:dyDescent="0.25">
      <c r="A2277" t="s">
        <v>7</v>
      </c>
      <c r="B2277" s="1">
        <v>44971</v>
      </c>
      <c r="C2277">
        <v>19.150310999999999</v>
      </c>
    </row>
    <row r="2278" spans="1:3" x14ac:dyDescent="0.25">
      <c r="A2278" t="s">
        <v>7</v>
      </c>
      <c r="B2278" s="1">
        <v>44972</v>
      </c>
      <c r="C2278">
        <v>19.150310999999999</v>
      </c>
    </row>
    <row r="2279" spans="1:3" x14ac:dyDescent="0.25">
      <c r="A2279" t="s">
        <v>7</v>
      </c>
      <c r="B2279" s="1">
        <v>44973</v>
      </c>
      <c r="C2279">
        <v>18.961641</v>
      </c>
    </row>
    <row r="2280" spans="1:3" x14ac:dyDescent="0.25">
      <c r="A2280" t="s">
        <v>7</v>
      </c>
      <c r="B2280" s="1">
        <v>44974</v>
      </c>
      <c r="C2280">
        <v>19.197481</v>
      </c>
    </row>
    <row r="2281" spans="1:3" x14ac:dyDescent="0.25">
      <c r="A2281" t="s">
        <v>7</v>
      </c>
      <c r="B2281" s="1">
        <v>44977</v>
      </c>
      <c r="C2281">
        <v>19.338985000000001</v>
      </c>
    </row>
    <row r="2282" spans="1:3" x14ac:dyDescent="0.25">
      <c r="A2282" t="s">
        <v>7</v>
      </c>
      <c r="B2282" s="1">
        <v>44978</v>
      </c>
      <c r="C2282">
        <v>19.103145999999999</v>
      </c>
    </row>
    <row r="2283" spans="1:3" x14ac:dyDescent="0.25">
      <c r="A2283" t="s">
        <v>7</v>
      </c>
      <c r="B2283" s="1">
        <v>44979</v>
      </c>
      <c r="C2283">
        <v>19.244648000000002</v>
      </c>
    </row>
    <row r="2284" spans="1:3" x14ac:dyDescent="0.25">
      <c r="A2284" t="s">
        <v>7</v>
      </c>
      <c r="B2284" s="1">
        <v>44980</v>
      </c>
      <c r="C2284">
        <v>19.055976999999999</v>
      </c>
    </row>
    <row r="2285" spans="1:3" x14ac:dyDescent="0.25">
      <c r="A2285" t="s">
        <v>7</v>
      </c>
      <c r="B2285" s="1">
        <v>44981</v>
      </c>
      <c r="C2285">
        <v>19.008806</v>
      </c>
    </row>
    <row r="2286" spans="1:3" x14ac:dyDescent="0.25">
      <c r="A2286" t="s">
        <v>7</v>
      </c>
      <c r="B2286" s="1">
        <v>44984</v>
      </c>
      <c r="C2286">
        <v>19.197481</v>
      </c>
    </row>
    <row r="2287" spans="1:3" x14ac:dyDescent="0.25">
      <c r="A2287" t="s">
        <v>7</v>
      </c>
      <c r="B2287" s="1">
        <v>44985</v>
      </c>
      <c r="C2287">
        <v>19.433323000000001</v>
      </c>
    </row>
    <row r="2288" spans="1:3" x14ac:dyDescent="0.25">
      <c r="A2288" t="s">
        <v>7</v>
      </c>
      <c r="B2288" s="1">
        <v>44986</v>
      </c>
      <c r="C2288">
        <v>19.150310999999999</v>
      </c>
    </row>
    <row r="2289" spans="1:3" x14ac:dyDescent="0.25">
      <c r="A2289" t="s">
        <v>7</v>
      </c>
      <c r="B2289" s="1">
        <v>44987</v>
      </c>
      <c r="C2289">
        <v>19.338985000000001</v>
      </c>
    </row>
    <row r="2290" spans="1:3" x14ac:dyDescent="0.25">
      <c r="A2290" t="s">
        <v>7</v>
      </c>
      <c r="B2290" s="1">
        <v>44988</v>
      </c>
      <c r="C2290">
        <v>19.433323000000001</v>
      </c>
    </row>
    <row r="2291" spans="1:3" x14ac:dyDescent="0.25">
      <c r="A2291" t="s">
        <v>7</v>
      </c>
      <c r="B2291" s="1">
        <v>44991</v>
      </c>
      <c r="C2291">
        <v>19.244648000000002</v>
      </c>
    </row>
    <row r="2292" spans="1:3" x14ac:dyDescent="0.25">
      <c r="A2292" t="s">
        <v>7</v>
      </c>
      <c r="B2292" s="1">
        <v>44992</v>
      </c>
      <c r="C2292">
        <v>19.386151999999999</v>
      </c>
    </row>
    <row r="2293" spans="1:3" x14ac:dyDescent="0.25">
      <c r="A2293" t="s">
        <v>7</v>
      </c>
      <c r="B2293" s="1">
        <v>44993</v>
      </c>
      <c r="C2293">
        <v>19.433323000000001</v>
      </c>
    </row>
    <row r="2294" spans="1:3" x14ac:dyDescent="0.25">
      <c r="A2294" t="s">
        <v>7</v>
      </c>
      <c r="B2294" s="1">
        <v>44994</v>
      </c>
      <c r="C2294">
        <v>19.150310999999999</v>
      </c>
    </row>
    <row r="2295" spans="1:3" x14ac:dyDescent="0.25">
      <c r="A2295" t="s">
        <v>7</v>
      </c>
      <c r="B2295" s="1">
        <v>44995</v>
      </c>
      <c r="C2295">
        <v>19.008806</v>
      </c>
    </row>
    <row r="2296" spans="1:3" x14ac:dyDescent="0.25">
      <c r="A2296" t="s">
        <v>7</v>
      </c>
      <c r="B2296" s="1">
        <v>44998</v>
      </c>
      <c r="C2296">
        <v>18.584295000000001</v>
      </c>
    </row>
    <row r="2297" spans="1:3" x14ac:dyDescent="0.25">
      <c r="A2297" t="s">
        <v>7</v>
      </c>
      <c r="B2297" s="1">
        <v>44999</v>
      </c>
      <c r="C2297">
        <v>18.659763000000002</v>
      </c>
    </row>
    <row r="2298" spans="1:3" x14ac:dyDescent="0.25">
      <c r="A2298" t="s">
        <v>7</v>
      </c>
      <c r="B2298" s="1">
        <v>45000</v>
      </c>
      <c r="C2298">
        <v>18.640893999999999</v>
      </c>
    </row>
    <row r="2299" spans="1:3" x14ac:dyDescent="0.25">
      <c r="A2299" t="s">
        <v>7</v>
      </c>
      <c r="B2299" s="1">
        <v>45001</v>
      </c>
      <c r="C2299">
        <v>18.244682000000001</v>
      </c>
    </row>
    <row r="2300" spans="1:3" x14ac:dyDescent="0.25">
      <c r="A2300" t="s">
        <v>7</v>
      </c>
      <c r="B2300" s="1">
        <v>45002</v>
      </c>
      <c r="C2300">
        <v>18.074877000000001</v>
      </c>
    </row>
    <row r="2301" spans="1:3" x14ac:dyDescent="0.25">
      <c r="A2301" t="s">
        <v>7</v>
      </c>
      <c r="B2301" s="1">
        <v>45005</v>
      </c>
      <c r="C2301">
        <v>18.395620000000001</v>
      </c>
    </row>
    <row r="2302" spans="1:3" x14ac:dyDescent="0.25">
      <c r="A2302" t="s">
        <v>7</v>
      </c>
      <c r="B2302" s="1">
        <v>45006</v>
      </c>
      <c r="C2302">
        <v>18.433354999999999</v>
      </c>
    </row>
    <row r="2303" spans="1:3" x14ac:dyDescent="0.25">
      <c r="A2303" t="s">
        <v>7</v>
      </c>
      <c r="B2303" s="1">
        <v>45007</v>
      </c>
      <c r="C2303">
        <v>18.376750999999999</v>
      </c>
    </row>
    <row r="2304" spans="1:3" x14ac:dyDescent="0.25">
      <c r="A2304" t="s">
        <v>7</v>
      </c>
      <c r="B2304" s="1">
        <v>45008</v>
      </c>
      <c r="C2304">
        <v>18.301280999999999</v>
      </c>
    </row>
    <row r="2305" spans="1:3" x14ac:dyDescent="0.25">
      <c r="A2305" t="s">
        <v>7</v>
      </c>
      <c r="B2305" s="1">
        <v>45009</v>
      </c>
      <c r="C2305">
        <v>18.074877000000001</v>
      </c>
    </row>
    <row r="2306" spans="1:3" x14ac:dyDescent="0.25">
      <c r="A2306" t="s">
        <v>7</v>
      </c>
      <c r="B2306" s="1">
        <v>45012</v>
      </c>
      <c r="C2306">
        <v>18.339017999999999</v>
      </c>
    </row>
    <row r="2307" spans="1:3" x14ac:dyDescent="0.25">
      <c r="A2307" t="s">
        <v>7</v>
      </c>
      <c r="B2307" s="1">
        <v>45013</v>
      </c>
      <c r="C2307">
        <v>18.471088000000002</v>
      </c>
    </row>
    <row r="2308" spans="1:3" x14ac:dyDescent="0.25">
      <c r="A2308" t="s">
        <v>7</v>
      </c>
      <c r="B2308" s="1">
        <v>45014</v>
      </c>
      <c r="C2308">
        <v>18.603159000000002</v>
      </c>
    </row>
    <row r="2309" spans="1:3" x14ac:dyDescent="0.25">
      <c r="A2309" t="s">
        <v>7</v>
      </c>
      <c r="B2309" s="1">
        <v>45015</v>
      </c>
      <c r="C2309">
        <v>18.867304000000001</v>
      </c>
    </row>
    <row r="2310" spans="1:3" x14ac:dyDescent="0.25">
      <c r="A2310" t="s">
        <v>7</v>
      </c>
      <c r="B2310" s="1">
        <v>45016</v>
      </c>
      <c r="C2310">
        <v>19.087243999999998</v>
      </c>
    </row>
    <row r="2311" spans="1:3" x14ac:dyDescent="0.25">
      <c r="A2311" t="s">
        <v>7</v>
      </c>
      <c r="B2311" s="1">
        <v>45019</v>
      </c>
      <c r="C2311">
        <v>19.048995999999999</v>
      </c>
    </row>
    <row r="2312" spans="1:3" x14ac:dyDescent="0.25">
      <c r="A2312" t="s">
        <v>7</v>
      </c>
      <c r="B2312" s="1">
        <v>45020</v>
      </c>
      <c r="C2312">
        <v>19.029869000000001</v>
      </c>
    </row>
    <row r="2313" spans="1:3" x14ac:dyDescent="0.25">
      <c r="A2313" t="s">
        <v>7</v>
      </c>
      <c r="B2313" s="1">
        <v>45021</v>
      </c>
      <c r="C2313">
        <v>18.934239999999999</v>
      </c>
    </row>
    <row r="2314" spans="1:3" x14ac:dyDescent="0.25">
      <c r="A2314" t="s">
        <v>7</v>
      </c>
      <c r="B2314" s="1">
        <v>45022</v>
      </c>
      <c r="C2314">
        <v>18.876863</v>
      </c>
    </row>
    <row r="2315" spans="1:3" x14ac:dyDescent="0.25">
      <c r="A2315" t="s">
        <v>7</v>
      </c>
      <c r="B2315" s="1">
        <v>45027</v>
      </c>
      <c r="C2315">
        <v>19.173309</v>
      </c>
    </row>
    <row r="2316" spans="1:3" x14ac:dyDescent="0.25">
      <c r="A2316" t="s">
        <v>7</v>
      </c>
      <c r="B2316" s="1">
        <v>45028</v>
      </c>
      <c r="C2316">
        <v>18.972491999999999</v>
      </c>
    </row>
    <row r="2317" spans="1:3" x14ac:dyDescent="0.25">
      <c r="A2317" t="s">
        <v>7</v>
      </c>
      <c r="B2317" s="1">
        <v>45029</v>
      </c>
      <c r="C2317">
        <v>18.915116999999999</v>
      </c>
    </row>
    <row r="2318" spans="1:3" x14ac:dyDescent="0.25">
      <c r="A2318" t="s">
        <v>7</v>
      </c>
      <c r="B2318" s="1">
        <v>45030</v>
      </c>
      <c r="C2318">
        <v>19.029869000000001</v>
      </c>
    </row>
    <row r="2319" spans="1:3" x14ac:dyDescent="0.25">
      <c r="A2319" t="s">
        <v>7</v>
      </c>
      <c r="B2319" s="1">
        <v>45033</v>
      </c>
      <c r="C2319">
        <v>19.029869000000001</v>
      </c>
    </row>
    <row r="2320" spans="1:3" x14ac:dyDescent="0.25">
      <c r="A2320" t="s">
        <v>7</v>
      </c>
      <c r="B2320" s="1">
        <v>45034</v>
      </c>
      <c r="C2320">
        <v>19.106369000000001</v>
      </c>
    </row>
    <row r="2321" spans="1:3" x14ac:dyDescent="0.25">
      <c r="A2321" t="s">
        <v>7</v>
      </c>
      <c r="B2321" s="1">
        <v>45035</v>
      </c>
      <c r="C2321">
        <v>19.125495999999998</v>
      </c>
    </row>
    <row r="2322" spans="1:3" x14ac:dyDescent="0.25">
      <c r="A2322" t="s">
        <v>7</v>
      </c>
      <c r="B2322" s="1">
        <v>45036</v>
      </c>
      <c r="C2322">
        <v>19.316752999999999</v>
      </c>
    </row>
    <row r="2323" spans="1:3" x14ac:dyDescent="0.25">
      <c r="A2323" t="s">
        <v>7</v>
      </c>
      <c r="B2323" s="1">
        <v>45037</v>
      </c>
      <c r="C2323">
        <v>19.268936</v>
      </c>
    </row>
    <row r="2324" spans="1:3" x14ac:dyDescent="0.25">
      <c r="A2324" t="s">
        <v>7</v>
      </c>
      <c r="B2324" s="1">
        <v>45040</v>
      </c>
      <c r="C2324">
        <v>19.268936</v>
      </c>
    </row>
    <row r="2325" spans="1:3" x14ac:dyDescent="0.25">
      <c r="A2325" t="s">
        <v>7</v>
      </c>
      <c r="B2325" s="1">
        <v>45041</v>
      </c>
      <c r="C2325">
        <v>19.221125000000001</v>
      </c>
    </row>
    <row r="2326" spans="1:3" x14ac:dyDescent="0.25">
      <c r="A2326" t="s">
        <v>7</v>
      </c>
      <c r="B2326" s="1">
        <v>45042</v>
      </c>
      <c r="C2326">
        <v>19.508006999999999</v>
      </c>
    </row>
    <row r="2327" spans="1:3" x14ac:dyDescent="0.25">
      <c r="A2327" t="s">
        <v>7</v>
      </c>
      <c r="B2327" s="1">
        <v>45043</v>
      </c>
      <c r="C2327">
        <v>19.460191999999999</v>
      </c>
    </row>
    <row r="2328" spans="1:3" x14ac:dyDescent="0.25">
      <c r="A2328" t="s">
        <v>7</v>
      </c>
      <c r="B2328" s="1">
        <v>45044</v>
      </c>
      <c r="C2328">
        <v>17.997091000000001</v>
      </c>
    </row>
    <row r="2329" spans="1:3" x14ac:dyDescent="0.25">
      <c r="A2329" t="s">
        <v>7</v>
      </c>
      <c r="B2329" s="1">
        <v>45048</v>
      </c>
      <c r="C2329">
        <v>17.671959000000001</v>
      </c>
    </row>
    <row r="2330" spans="1:3" x14ac:dyDescent="0.25">
      <c r="A2330" t="s">
        <v>7</v>
      </c>
      <c r="B2330" s="1">
        <v>45049</v>
      </c>
      <c r="C2330">
        <v>17.863213999999999</v>
      </c>
    </row>
    <row r="2331" spans="1:3" x14ac:dyDescent="0.25">
      <c r="A2331" t="s">
        <v>7</v>
      </c>
      <c r="B2331" s="1">
        <v>45050</v>
      </c>
      <c r="C2331">
        <v>17.997091000000001</v>
      </c>
    </row>
    <row r="2332" spans="1:3" x14ac:dyDescent="0.25">
      <c r="A2332" t="s">
        <v>7</v>
      </c>
      <c r="B2332" s="1">
        <v>45051</v>
      </c>
      <c r="C2332">
        <v>18.169219999999999</v>
      </c>
    </row>
    <row r="2333" spans="1:3" x14ac:dyDescent="0.25">
      <c r="A2333" t="s">
        <v>7</v>
      </c>
      <c r="B2333" s="1">
        <v>45054</v>
      </c>
      <c r="C2333">
        <v>18.303101000000002</v>
      </c>
    </row>
    <row r="2334" spans="1:3" x14ac:dyDescent="0.25">
      <c r="A2334" t="s">
        <v>7</v>
      </c>
      <c r="B2334" s="1">
        <v>45055</v>
      </c>
      <c r="C2334">
        <v>18.111847000000001</v>
      </c>
    </row>
    <row r="2335" spans="1:3" x14ac:dyDescent="0.25">
      <c r="A2335" t="s">
        <v>7</v>
      </c>
      <c r="B2335" s="1">
        <v>45056</v>
      </c>
      <c r="C2335">
        <v>17.997091000000001</v>
      </c>
    </row>
    <row r="2336" spans="1:3" x14ac:dyDescent="0.25">
      <c r="A2336" t="s">
        <v>7</v>
      </c>
      <c r="B2336" s="1">
        <v>45057</v>
      </c>
      <c r="C2336">
        <v>18.150095</v>
      </c>
    </row>
    <row r="2337" spans="1:3" x14ac:dyDescent="0.25">
      <c r="A2337" t="s">
        <v>7</v>
      </c>
      <c r="B2337" s="1">
        <v>45058</v>
      </c>
      <c r="C2337">
        <v>18.264849000000002</v>
      </c>
    </row>
    <row r="2338" spans="1:3" x14ac:dyDescent="0.25">
      <c r="A2338" t="s">
        <v>7</v>
      </c>
      <c r="B2338" s="1">
        <v>45061</v>
      </c>
      <c r="C2338">
        <v>17.863213999999999</v>
      </c>
    </row>
    <row r="2339" spans="1:3" x14ac:dyDescent="0.25">
      <c r="A2339" t="s">
        <v>7</v>
      </c>
      <c r="B2339" s="1">
        <v>45062</v>
      </c>
      <c r="C2339">
        <v>17.423328000000001</v>
      </c>
    </row>
    <row r="2340" spans="1:3" x14ac:dyDescent="0.25">
      <c r="A2340" t="s">
        <v>7</v>
      </c>
      <c r="B2340" s="1">
        <v>45063</v>
      </c>
      <c r="C2340">
        <v>17.212948000000001</v>
      </c>
    </row>
    <row r="2341" spans="1:3" x14ac:dyDescent="0.25">
      <c r="A2341" t="s">
        <v>7</v>
      </c>
      <c r="B2341" s="1">
        <v>45065</v>
      </c>
      <c r="C2341">
        <v>17.3277</v>
      </c>
    </row>
    <row r="2342" spans="1:3" x14ac:dyDescent="0.25">
      <c r="A2342" t="s">
        <v>7</v>
      </c>
      <c r="B2342" s="1">
        <v>45068</v>
      </c>
      <c r="C2342">
        <v>17.404202999999999</v>
      </c>
    </row>
    <row r="2343" spans="1:3" x14ac:dyDescent="0.25">
      <c r="A2343" t="s">
        <v>7</v>
      </c>
      <c r="B2343" s="1">
        <v>45069</v>
      </c>
      <c r="C2343">
        <v>17.365952</v>
      </c>
    </row>
    <row r="2344" spans="1:3" x14ac:dyDescent="0.25">
      <c r="A2344" t="s">
        <v>7</v>
      </c>
      <c r="B2344" s="1">
        <v>45070</v>
      </c>
      <c r="C2344">
        <v>17.289449999999999</v>
      </c>
    </row>
    <row r="2345" spans="1:3" x14ac:dyDescent="0.25">
      <c r="A2345" t="s">
        <v>7</v>
      </c>
      <c r="B2345" s="1">
        <v>45071</v>
      </c>
      <c r="C2345">
        <v>16.94519</v>
      </c>
    </row>
    <row r="2346" spans="1:3" x14ac:dyDescent="0.25">
      <c r="A2346" t="s">
        <v>7</v>
      </c>
      <c r="B2346" s="1">
        <v>45072</v>
      </c>
      <c r="C2346">
        <v>16.983440000000002</v>
      </c>
    </row>
    <row r="2347" spans="1:3" x14ac:dyDescent="0.25">
      <c r="A2347" t="s">
        <v>7</v>
      </c>
      <c r="B2347" s="1">
        <v>45075</v>
      </c>
      <c r="C2347">
        <v>17.02169</v>
      </c>
    </row>
    <row r="2348" spans="1:3" x14ac:dyDescent="0.25">
      <c r="A2348" t="s">
        <v>7</v>
      </c>
      <c r="B2348" s="1">
        <v>45076</v>
      </c>
      <c r="C2348">
        <v>16.926065000000001</v>
      </c>
    </row>
    <row r="2349" spans="1:3" x14ac:dyDescent="0.25">
      <c r="A2349" t="s">
        <v>7</v>
      </c>
      <c r="B2349" s="1">
        <v>45077</v>
      </c>
      <c r="C2349">
        <v>16.964317000000001</v>
      </c>
    </row>
    <row r="2350" spans="1:3" x14ac:dyDescent="0.25">
      <c r="A2350" t="s">
        <v>7</v>
      </c>
      <c r="B2350" s="1">
        <v>45078</v>
      </c>
      <c r="C2350">
        <v>16.983440000000002</v>
      </c>
    </row>
    <row r="2351" spans="1:3" x14ac:dyDescent="0.25">
      <c r="A2351" t="s">
        <v>7</v>
      </c>
      <c r="B2351" s="1">
        <v>45079</v>
      </c>
      <c r="C2351">
        <v>17.155570999999998</v>
      </c>
    </row>
    <row r="2352" spans="1:3" x14ac:dyDescent="0.25">
      <c r="A2352" t="s">
        <v>7</v>
      </c>
      <c r="B2352" s="1">
        <v>45082</v>
      </c>
      <c r="C2352">
        <v>17.059941999999999</v>
      </c>
    </row>
    <row r="2353" spans="1:3" x14ac:dyDescent="0.25">
      <c r="A2353" t="s">
        <v>7</v>
      </c>
      <c r="B2353" s="1">
        <v>45083</v>
      </c>
      <c r="C2353">
        <v>17.193822999999998</v>
      </c>
    </row>
    <row r="2354" spans="1:3" x14ac:dyDescent="0.25">
      <c r="A2354" t="s">
        <v>7</v>
      </c>
      <c r="B2354" s="1">
        <v>45084</v>
      </c>
      <c r="C2354">
        <v>17.098192000000001</v>
      </c>
    </row>
    <row r="2355" spans="1:3" x14ac:dyDescent="0.25">
      <c r="A2355" t="s">
        <v>7</v>
      </c>
      <c r="B2355" s="1">
        <v>45085</v>
      </c>
      <c r="C2355">
        <v>17.174696000000001</v>
      </c>
    </row>
    <row r="2356" spans="1:3" x14ac:dyDescent="0.25">
      <c r="A2356" t="s">
        <v>7</v>
      </c>
      <c r="B2356" s="1">
        <v>45086</v>
      </c>
      <c r="C2356">
        <v>17.289449999999999</v>
      </c>
    </row>
    <row r="2357" spans="1:3" x14ac:dyDescent="0.25">
      <c r="A2357" t="s">
        <v>7</v>
      </c>
      <c r="B2357" s="1">
        <v>45089</v>
      </c>
      <c r="C2357">
        <v>17.882341</v>
      </c>
    </row>
    <row r="2358" spans="1:3" x14ac:dyDescent="0.25">
      <c r="A2358" t="s">
        <v>7</v>
      </c>
      <c r="B2358" s="1">
        <v>45090</v>
      </c>
      <c r="C2358">
        <v>17.939713999999999</v>
      </c>
    </row>
    <row r="2359" spans="1:3" x14ac:dyDescent="0.25">
      <c r="A2359" t="s">
        <v>7</v>
      </c>
      <c r="B2359" s="1">
        <v>45091</v>
      </c>
      <c r="C2359">
        <v>18.322226000000001</v>
      </c>
    </row>
    <row r="2360" spans="1:3" x14ac:dyDescent="0.25">
      <c r="A2360" t="s">
        <v>7</v>
      </c>
      <c r="B2360" s="1">
        <v>45092</v>
      </c>
      <c r="C2360">
        <v>18.207474000000001</v>
      </c>
    </row>
    <row r="2361" spans="1:3" x14ac:dyDescent="0.25">
      <c r="A2361" t="s">
        <v>7</v>
      </c>
      <c r="B2361" s="1">
        <v>45093</v>
      </c>
      <c r="C2361">
        <v>17.901464000000001</v>
      </c>
    </row>
    <row r="2362" spans="1:3" x14ac:dyDescent="0.25">
      <c r="A2362" t="s">
        <v>7</v>
      </c>
      <c r="B2362" s="1">
        <v>45096</v>
      </c>
      <c r="C2362">
        <v>17.652833999999999</v>
      </c>
    </row>
    <row r="2363" spans="1:3" x14ac:dyDescent="0.25">
      <c r="A2363" t="s">
        <v>7</v>
      </c>
      <c r="B2363" s="1">
        <v>45097</v>
      </c>
      <c r="C2363">
        <v>17.584902</v>
      </c>
    </row>
    <row r="2364" spans="1:3" x14ac:dyDescent="0.25">
      <c r="A2364" t="s">
        <v>7</v>
      </c>
      <c r="B2364" s="1">
        <v>45098</v>
      </c>
      <c r="C2364">
        <v>16.65325</v>
      </c>
    </row>
    <row r="2365" spans="1:3" x14ac:dyDescent="0.25">
      <c r="A2365" t="s">
        <v>7</v>
      </c>
      <c r="B2365" s="1">
        <v>45099</v>
      </c>
      <c r="C2365">
        <v>16.575613000000001</v>
      </c>
    </row>
    <row r="2366" spans="1:3" x14ac:dyDescent="0.25">
      <c r="A2366" t="s">
        <v>7</v>
      </c>
      <c r="B2366" s="1">
        <v>45103</v>
      </c>
      <c r="C2366">
        <v>16.905573</v>
      </c>
    </row>
    <row r="2367" spans="1:3" x14ac:dyDescent="0.25">
      <c r="A2367" t="s">
        <v>7</v>
      </c>
      <c r="B2367" s="1">
        <v>45104</v>
      </c>
      <c r="C2367">
        <v>16.924980000000001</v>
      </c>
    </row>
    <row r="2368" spans="1:3" x14ac:dyDescent="0.25">
      <c r="A2368" t="s">
        <v>7</v>
      </c>
      <c r="B2368" s="1">
        <v>45105</v>
      </c>
      <c r="C2368">
        <v>17.177302999999998</v>
      </c>
    </row>
    <row r="2369" spans="1:3" x14ac:dyDescent="0.25">
      <c r="A2369" t="s">
        <v>7</v>
      </c>
      <c r="B2369" s="1">
        <v>45106</v>
      </c>
      <c r="C2369">
        <v>16.886161999999999</v>
      </c>
    </row>
    <row r="2370" spans="1:3" x14ac:dyDescent="0.25">
      <c r="A2370" t="s">
        <v>7</v>
      </c>
      <c r="B2370" s="1">
        <v>45107</v>
      </c>
      <c r="C2370">
        <v>16.905573</v>
      </c>
    </row>
    <row r="2371" spans="1:3" x14ac:dyDescent="0.25">
      <c r="A2371" t="s">
        <v>7</v>
      </c>
      <c r="B2371" s="1">
        <v>45110</v>
      </c>
      <c r="C2371">
        <v>17.002618999999999</v>
      </c>
    </row>
    <row r="2372" spans="1:3" x14ac:dyDescent="0.25">
      <c r="A2372" t="s">
        <v>7</v>
      </c>
      <c r="B2372" s="1">
        <v>45111</v>
      </c>
      <c r="C2372">
        <v>17.041436999999998</v>
      </c>
    </row>
    <row r="2373" spans="1:3" x14ac:dyDescent="0.25">
      <c r="A2373" t="s">
        <v>7</v>
      </c>
      <c r="B2373" s="1">
        <v>45112</v>
      </c>
      <c r="C2373">
        <v>16.963799999999999</v>
      </c>
    </row>
    <row r="2374" spans="1:3" x14ac:dyDescent="0.25">
      <c r="A2374" t="s">
        <v>7</v>
      </c>
      <c r="B2374" s="1">
        <v>45113</v>
      </c>
      <c r="C2374">
        <v>16.944389000000001</v>
      </c>
    </row>
    <row r="2375" spans="1:3" x14ac:dyDescent="0.25">
      <c r="A2375" t="s">
        <v>7</v>
      </c>
      <c r="B2375" s="1">
        <v>45114</v>
      </c>
      <c r="C2375">
        <v>17.041436999999998</v>
      </c>
    </row>
    <row r="2376" spans="1:3" x14ac:dyDescent="0.25">
      <c r="A2376" t="s">
        <v>7</v>
      </c>
      <c r="B2376" s="1">
        <v>45117</v>
      </c>
      <c r="C2376">
        <v>17.138484999999999</v>
      </c>
    </row>
    <row r="2377" spans="1:3" x14ac:dyDescent="0.25">
      <c r="A2377" t="s">
        <v>7</v>
      </c>
      <c r="B2377" s="1">
        <v>45118</v>
      </c>
      <c r="C2377">
        <v>17.119074000000001</v>
      </c>
    </row>
    <row r="2378" spans="1:3" x14ac:dyDescent="0.25">
      <c r="A2378" t="s">
        <v>7</v>
      </c>
      <c r="B2378" s="1">
        <v>45119</v>
      </c>
      <c r="C2378">
        <v>17.235531000000002</v>
      </c>
    </row>
    <row r="2379" spans="1:3" x14ac:dyDescent="0.25">
      <c r="A2379" t="s">
        <v>7</v>
      </c>
      <c r="B2379" s="1">
        <v>45120</v>
      </c>
      <c r="C2379">
        <v>17.177302999999998</v>
      </c>
    </row>
    <row r="2380" spans="1:3" x14ac:dyDescent="0.25">
      <c r="A2380" t="s">
        <v>7</v>
      </c>
      <c r="B2380" s="1">
        <v>45121</v>
      </c>
      <c r="C2380">
        <v>17.216121999999999</v>
      </c>
    </row>
    <row r="2381" spans="1:3" x14ac:dyDescent="0.25">
      <c r="A2381" t="s">
        <v>7</v>
      </c>
      <c r="B2381" s="1">
        <v>45124</v>
      </c>
      <c r="C2381">
        <v>16.827933999999999</v>
      </c>
    </row>
    <row r="2382" spans="1:3" x14ac:dyDescent="0.25">
      <c r="A2382" t="s">
        <v>7</v>
      </c>
      <c r="B2382" s="1">
        <v>45125</v>
      </c>
      <c r="C2382">
        <v>17.022027999999999</v>
      </c>
    </row>
    <row r="2383" spans="1:3" x14ac:dyDescent="0.25">
      <c r="A2383" t="s">
        <v>7</v>
      </c>
      <c r="B2383" s="1">
        <v>45126</v>
      </c>
      <c r="C2383">
        <v>17.119074000000001</v>
      </c>
    </row>
    <row r="2384" spans="1:3" x14ac:dyDescent="0.25">
      <c r="A2384" t="s">
        <v>7</v>
      </c>
      <c r="B2384" s="1">
        <v>45127</v>
      </c>
      <c r="C2384">
        <v>17.429625000000001</v>
      </c>
    </row>
    <row r="2385" spans="1:3" x14ac:dyDescent="0.25">
      <c r="A2385" t="s">
        <v>7</v>
      </c>
      <c r="B2385" s="1">
        <v>45128</v>
      </c>
      <c r="C2385">
        <v>17.429625000000001</v>
      </c>
    </row>
    <row r="2386" spans="1:3" x14ac:dyDescent="0.25">
      <c r="A2386" t="s">
        <v>7</v>
      </c>
      <c r="B2386" s="1">
        <v>45131</v>
      </c>
      <c r="C2386">
        <v>17.449034000000001</v>
      </c>
    </row>
    <row r="2387" spans="1:3" x14ac:dyDescent="0.25">
      <c r="A2387" t="s">
        <v>7</v>
      </c>
      <c r="B2387" s="1">
        <v>45132</v>
      </c>
      <c r="C2387">
        <v>17.526672000000001</v>
      </c>
    </row>
    <row r="2388" spans="1:3" x14ac:dyDescent="0.25">
      <c r="A2388" t="s">
        <v>7</v>
      </c>
      <c r="B2388" s="1">
        <v>45133</v>
      </c>
      <c r="C2388">
        <v>17.468444999999999</v>
      </c>
    </row>
    <row r="2389" spans="1:3" x14ac:dyDescent="0.25">
      <c r="A2389" t="s">
        <v>7</v>
      </c>
      <c r="B2389" s="1">
        <v>45134</v>
      </c>
      <c r="C2389">
        <v>18.011907999999998</v>
      </c>
    </row>
    <row r="2390" spans="1:3" x14ac:dyDescent="0.25">
      <c r="A2390" t="s">
        <v>7</v>
      </c>
      <c r="B2390" s="1">
        <v>45135</v>
      </c>
      <c r="C2390">
        <v>17.662538999999999</v>
      </c>
    </row>
    <row r="2391" spans="1:3" x14ac:dyDescent="0.25">
      <c r="A2391" t="s">
        <v>7</v>
      </c>
      <c r="B2391" s="1">
        <v>45138</v>
      </c>
      <c r="C2391">
        <v>17.681946</v>
      </c>
    </row>
    <row r="2392" spans="1:3" x14ac:dyDescent="0.25">
      <c r="A2392" t="s">
        <v>7</v>
      </c>
      <c r="B2392" s="1">
        <v>45139</v>
      </c>
      <c r="C2392">
        <v>17.759584</v>
      </c>
    </row>
    <row r="2393" spans="1:3" x14ac:dyDescent="0.25">
      <c r="A2393" t="s">
        <v>7</v>
      </c>
      <c r="B2393" s="1">
        <v>45140</v>
      </c>
      <c r="C2393">
        <v>17.526672000000001</v>
      </c>
    </row>
    <row r="2394" spans="1:3" x14ac:dyDescent="0.25">
      <c r="A2394" t="s">
        <v>7</v>
      </c>
      <c r="B2394" s="1">
        <v>45141</v>
      </c>
      <c r="C2394">
        <v>17.351986</v>
      </c>
    </row>
    <row r="2395" spans="1:3" x14ac:dyDescent="0.25">
      <c r="A2395" t="s">
        <v>7</v>
      </c>
      <c r="B2395" s="1">
        <v>45142</v>
      </c>
      <c r="C2395">
        <v>17.390806000000001</v>
      </c>
    </row>
    <row r="2396" spans="1:3" x14ac:dyDescent="0.25">
      <c r="A2396" t="s">
        <v>7</v>
      </c>
      <c r="B2396" s="1">
        <v>45145</v>
      </c>
      <c r="C2396">
        <v>17.410215000000001</v>
      </c>
    </row>
    <row r="2397" spans="1:3" x14ac:dyDescent="0.25">
      <c r="A2397" t="s">
        <v>7</v>
      </c>
      <c r="B2397" s="1">
        <v>45146</v>
      </c>
      <c r="C2397">
        <v>17.313168000000001</v>
      </c>
    </row>
    <row r="2398" spans="1:3" x14ac:dyDescent="0.25">
      <c r="A2398" t="s">
        <v>7</v>
      </c>
      <c r="B2398" s="1">
        <v>45147</v>
      </c>
      <c r="C2398">
        <v>17.332578999999999</v>
      </c>
    </row>
    <row r="2399" spans="1:3" x14ac:dyDescent="0.25">
      <c r="A2399" t="s">
        <v>7</v>
      </c>
      <c r="B2399" s="1">
        <v>45148</v>
      </c>
      <c r="C2399">
        <v>17.371397000000002</v>
      </c>
    </row>
    <row r="2400" spans="1:3" x14ac:dyDescent="0.25">
      <c r="A2400" t="s">
        <v>7</v>
      </c>
      <c r="B2400" s="1">
        <v>45149</v>
      </c>
      <c r="C2400">
        <v>17.235531000000002</v>
      </c>
    </row>
    <row r="2401" spans="1:3" x14ac:dyDescent="0.25">
      <c r="A2401" t="s">
        <v>7</v>
      </c>
      <c r="B2401" s="1">
        <v>45152</v>
      </c>
      <c r="C2401">
        <v>17.119074000000001</v>
      </c>
    </row>
    <row r="2402" spans="1:3" x14ac:dyDescent="0.25">
      <c r="A2402" t="s">
        <v>7</v>
      </c>
      <c r="B2402" s="1">
        <v>45153</v>
      </c>
      <c r="C2402">
        <v>17.002618999999999</v>
      </c>
    </row>
    <row r="2403" spans="1:3" x14ac:dyDescent="0.25">
      <c r="A2403" t="s">
        <v>7</v>
      </c>
      <c r="B2403" s="1">
        <v>45154</v>
      </c>
      <c r="C2403">
        <v>16.886161999999999</v>
      </c>
    </row>
    <row r="2404" spans="1:3" x14ac:dyDescent="0.25">
      <c r="A2404" t="s">
        <v>7</v>
      </c>
      <c r="B2404" s="1">
        <v>45155</v>
      </c>
      <c r="C2404">
        <v>17.002618999999999</v>
      </c>
    </row>
    <row r="2405" spans="1:3" x14ac:dyDescent="0.25">
      <c r="A2405" t="s">
        <v>7</v>
      </c>
      <c r="B2405" s="1">
        <v>45156</v>
      </c>
      <c r="C2405">
        <v>16.944389000000001</v>
      </c>
    </row>
    <row r="2406" spans="1:3" x14ac:dyDescent="0.25">
      <c r="A2406" t="s">
        <v>7</v>
      </c>
      <c r="B2406" s="1">
        <v>45159</v>
      </c>
      <c r="C2406">
        <v>16.944389000000001</v>
      </c>
    </row>
    <row r="2407" spans="1:3" x14ac:dyDescent="0.25">
      <c r="A2407" t="s">
        <v>7</v>
      </c>
      <c r="B2407" s="1">
        <v>45160</v>
      </c>
      <c r="C2407">
        <v>16.827933999999999</v>
      </c>
    </row>
    <row r="2408" spans="1:3" x14ac:dyDescent="0.25">
      <c r="A2408" t="s">
        <v>7</v>
      </c>
      <c r="B2408" s="1">
        <v>45161</v>
      </c>
      <c r="C2408">
        <v>17.119074000000001</v>
      </c>
    </row>
    <row r="2409" spans="1:3" x14ac:dyDescent="0.25">
      <c r="A2409" t="s">
        <v>7</v>
      </c>
      <c r="B2409" s="1">
        <v>45162</v>
      </c>
      <c r="C2409">
        <v>17.157893999999999</v>
      </c>
    </row>
    <row r="2410" spans="1:3" x14ac:dyDescent="0.25">
      <c r="A2410" t="s">
        <v>7</v>
      </c>
      <c r="B2410" s="1">
        <v>45163</v>
      </c>
      <c r="C2410">
        <v>17.254940000000001</v>
      </c>
    </row>
    <row r="2411" spans="1:3" x14ac:dyDescent="0.25">
      <c r="A2411" t="s">
        <v>7</v>
      </c>
      <c r="B2411" s="1">
        <v>45166</v>
      </c>
      <c r="C2411">
        <v>17.390806000000001</v>
      </c>
    </row>
    <row r="2412" spans="1:3" x14ac:dyDescent="0.25">
      <c r="A2412" t="s">
        <v>7</v>
      </c>
      <c r="B2412" s="1">
        <v>45167</v>
      </c>
      <c r="C2412">
        <v>17.584902</v>
      </c>
    </row>
    <row r="2413" spans="1:3" x14ac:dyDescent="0.25">
      <c r="A2413" t="s">
        <v>7</v>
      </c>
      <c r="B2413" s="1">
        <v>45168</v>
      </c>
      <c r="C2413">
        <v>17.856632000000001</v>
      </c>
    </row>
    <row r="2414" spans="1:3" x14ac:dyDescent="0.25">
      <c r="A2414" t="s">
        <v>7</v>
      </c>
      <c r="B2414" s="1">
        <v>45169</v>
      </c>
      <c r="C2414">
        <v>17.507262999999998</v>
      </c>
    </row>
    <row r="2415" spans="1:3" x14ac:dyDescent="0.25">
      <c r="A2415" t="s">
        <v>7</v>
      </c>
      <c r="B2415" s="1">
        <v>45170</v>
      </c>
      <c r="C2415">
        <v>17.720766000000001</v>
      </c>
    </row>
    <row r="2416" spans="1:3" x14ac:dyDescent="0.25">
      <c r="A2416" t="s">
        <v>7</v>
      </c>
      <c r="B2416" s="1">
        <v>45173</v>
      </c>
      <c r="C2416">
        <v>17.759584</v>
      </c>
    </row>
    <row r="2417" spans="1:3" x14ac:dyDescent="0.25">
      <c r="A2417" t="s">
        <v>7</v>
      </c>
      <c r="B2417" s="1">
        <v>45174</v>
      </c>
      <c r="C2417">
        <v>17.681946</v>
      </c>
    </row>
    <row r="2418" spans="1:3" x14ac:dyDescent="0.25">
      <c r="A2418" t="s">
        <v>7</v>
      </c>
      <c r="B2418" s="1">
        <v>45175</v>
      </c>
      <c r="C2418">
        <v>17.604309000000001</v>
      </c>
    </row>
    <row r="2419" spans="1:3" x14ac:dyDescent="0.25">
      <c r="A2419" t="s">
        <v>7</v>
      </c>
      <c r="B2419" s="1">
        <v>45176</v>
      </c>
      <c r="C2419">
        <v>17.662538999999999</v>
      </c>
    </row>
    <row r="2420" spans="1:3" x14ac:dyDescent="0.25">
      <c r="A2420" t="s">
        <v>7</v>
      </c>
      <c r="B2420" s="1">
        <v>45177</v>
      </c>
      <c r="C2420">
        <v>17.584902</v>
      </c>
    </row>
    <row r="2421" spans="1:3" x14ac:dyDescent="0.25">
      <c r="A2421" t="s">
        <v>7</v>
      </c>
      <c r="B2421" s="1">
        <v>45180</v>
      </c>
      <c r="C2421">
        <v>17.673565</v>
      </c>
    </row>
    <row r="2422" spans="1:3" x14ac:dyDescent="0.25">
      <c r="A2422" t="s">
        <v>7</v>
      </c>
      <c r="B2422" s="1">
        <v>45181</v>
      </c>
      <c r="C2422">
        <v>17.693266000000001</v>
      </c>
    </row>
    <row r="2423" spans="1:3" x14ac:dyDescent="0.25">
      <c r="A2423" t="s">
        <v>7</v>
      </c>
      <c r="B2423" s="1">
        <v>45182</v>
      </c>
      <c r="C2423">
        <v>17.358315999999999</v>
      </c>
    </row>
    <row r="2424" spans="1:3" x14ac:dyDescent="0.25">
      <c r="A2424" t="s">
        <v>7</v>
      </c>
      <c r="B2424" s="1">
        <v>45183</v>
      </c>
      <c r="C2424">
        <v>17.791779999999999</v>
      </c>
    </row>
    <row r="2425" spans="1:3" x14ac:dyDescent="0.25">
      <c r="A2425" t="s">
        <v>7</v>
      </c>
      <c r="B2425" s="1">
        <v>45184</v>
      </c>
      <c r="C2425">
        <v>17.949406</v>
      </c>
    </row>
    <row r="2426" spans="1:3" x14ac:dyDescent="0.25">
      <c r="A2426" t="s">
        <v>7</v>
      </c>
      <c r="B2426" s="1">
        <v>45187</v>
      </c>
      <c r="C2426">
        <v>17.772079000000002</v>
      </c>
    </row>
    <row r="2427" spans="1:3" x14ac:dyDescent="0.25">
      <c r="A2427" t="s">
        <v>7</v>
      </c>
      <c r="B2427" s="1">
        <v>45188</v>
      </c>
      <c r="C2427">
        <v>17.693266000000001</v>
      </c>
    </row>
    <row r="2428" spans="1:3" x14ac:dyDescent="0.25">
      <c r="A2428" t="s">
        <v>7</v>
      </c>
      <c r="B2428" s="1">
        <v>45189</v>
      </c>
      <c r="C2428">
        <v>17.712969000000001</v>
      </c>
    </row>
    <row r="2429" spans="1:3" x14ac:dyDescent="0.25">
      <c r="A2429" t="s">
        <v>7</v>
      </c>
      <c r="B2429" s="1">
        <v>45190</v>
      </c>
      <c r="C2429">
        <v>17.732673999999999</v>
      </c>
    </row>
    <row r="2430" spans="1:3" x14ac:dyDescent="0.25">
      <c r="A2430" t="s">
        <v>7</v>
      </c>
      <c r="B2430" s="1">
        <v>45191</v>
      </c>
      <c r="C2430">
        <v>17.752376999999999</v>
      </c>
    </row>
    <row r="2431" spans="1:3" x14ac:dyDescent="0.25">
      <c r="A2431" t="s">
        <v>7</v>
      </c>
      <c r="B2431" s="1">
        <v>45194</v>
      </c>
      <c r="C2431">
        <v>17.496237000000001</v>
      </c>
    </row>
    <row r="2432" spans="1:3" x14ac:dyDescent="0.25">
      <c r="A2432" t="s">
        <v>7</v>
      </c>
      <c r="B2432" s="1">
        <v>45195</v>
      </c>
      <c r="C2432">
        <v>17.240099000000001</v>
      </c>
    </row>
    <row r="2433" spans="1:3" x14ac:dyDescent="0.25">
      <c r="A2433" t="s">
        <v>7</v>
      </c>
      <c r="B2433" s="1">
        <v>45196</v>
      </c>
      <c r="C2433">
        <v>17.023367</v>
      </c>
    </row>
    <row r="2434" spans="1:3" x14ac:dyDescent="0.25">
      <c r="A2434" t="s">
        <v>7</v>
      </c>
      <c r="B2434" s="1">
        <v>45197</v>
      </c>
      <c r="C2434">
        <v>16.846039000000001</v>
      </c>
    </row>
    <row r="2435" spans="1:3" x14ac:dyDescent="0.25">
      <c r="A2435" t="s">
        <v>7</v>
      </c>
      <c r="B2435" s="1">
        <v>45198</v>
      </c>
      <c r="C2435">
        <v>17.043068000000002</v>
      </c>
    </row>
    <row r="2436" spans="1:3" x14ac:dyDescent="0.25">
      <c r="A2436" t="s">
        <v>7</v>
      </c>
      <c r="B2436" s="1">
        <v>45201</v>
      </c>
      <c r="C2436">
        <v>16.688416</v>
      </c>
    </row>
    <row r="2437" spans="1:3" x14ac:dyDescent="0.25">
      <c r="A2437" t="s">
        <v>7</v>
      </c>
      <c r="B2437" s="1">
        <v>45202</v>
      </c>
      <c r="C2437">
        <v>16.589901000000001</v>
      </c>
    </row>
    <row r="2438" spans="1:3" x14ac:dyDescent="0.25">
      <c r="A2438" t="s">
        <v>7</v>
      </c>
      <c r="B2438" s="1">
        <v>45203</v>
      </c>
      <c r="C2438">
        <v>16.156434999999998</v>
      </c>
    </row>
    <row r="2439" spans="1:3" x14ac:dyDescent="0.25">
      <c r="A2439" t="s">
        <v>7</v>
      </c>
      <c r="B2439" s="1">
        <v>45204</v>
      </c>
      <c r="C2439">
        <v>16.215544000000001</v>
      </c>
    </row>
    <row r="2440" spans="1:3" x14ac:dyDescent="0.25">
      <c r="A2440" t="s">
        <v>7</v>
      </c>
      <c r="B2440" s="1">
        <v>45205</v>
      </c>
      <c r="C2440">
        <v>16.570198000000001</v>
      </c>
    </row>
    <row r="2441" spans="1:3" x14ac:dyDescent="0.25">
      <c r="A2441" t="s">
        <v>7</v>
      </c>
      <c r="B2441" s="1">
        <v>45208</v>
      </c>
      <c r="C2441">
        <v>16.353466000000001</v>
      </c>
    </row>
    <row r="2442" spans="1:3" x14ac:dyDescent="0.25">
      <c r="A2442" t="s">
        <v>7</v>
      </c>
      <c r="B2442" s="1">
        <v>45209</v>
      </c>
      <c r="C2442">
        <v>16.491385999999999</v>
      </c>
    </row>
    <row r="2443" spans="1:3" x14ac:dyDescent="0.25">
      <c r="A2443" t="s">
        <v>7</v>
      </c>
      <c r="B2443" s="1">
        <v>45210</v>
      </c>
      <c r="C2443">
        <v>16.432278</v>
      </c>
    </row>
    <row r="2444" spans="1:3" x14ac:dyDescent="0.25">
      <c r="A2444" t="s">
        <v>7</v>
      </c>
      <c r="B2444" s="1">
        <v>45211</v>
      </c>
      <c r="C2444">
        <v>16.314057999999999</v>
      </c>
    </row>
    <row r="2445" spans="1:3" x14ac:dyDescent="0.25">
      <c r="A2445" t="s">
        <v>7</v>
      </c>
      <c r="B2445" s="1">
        <v>45212</v>
      </c>
      <c r="C2445">
        <v>16.195841000000001</v>
      </c>
    </row>
    <row r="2446" spans="1:3" x14ac:dyDescent="0.25">
      <c r="A2446" t="s">
        <v>7</v>
      </c>
      <c r="B2446" s="1">
        <v>45215</v>
      </c>
      <c r="C2446">
        <v>15.939703</v>
      </c>
    </row>
    <row r="2447" spans="1:3" x14ac:dyDescent="0.25">
      <c r="A2447" t="s">
        <v>7</v>
      </c>
      <c r="B2447" s="1">
        <v>45216</v>
      </c>
      <c r="C2447">
        <v>15.742672000000001</v>
      </c>
    </row>
    <row r="2448" spans="1:3" x14ac:dyDescent="0.25">
      <c r="A2448" t="s">
        <v>7</v>
      </c>
      <c r="B2448" s="1">
        <v>45217</v>
      </c>
      <c r="C2448">
        <v>15.525941</v>
      </c>
    </row>
    <row r="2449" spans="1:3" x14ac:dyDescent="0.25">
      <c r="A2449" t="s">
        <v>7</v>
      </c>
      <c r="B2449" s="1">
        <v>45218</v>
      </c>
      <c r="C2449">
        <v>15.506237</v>
      </c>
    </row>
    <row r="2450" spans="1:3" x14ac:dyDescent="0.25">
      <c r="A2450" t="s">
        <v>7</v>
      </c>
      <c r="B2450" s="1">
        <v>45219</v>
      </c>
      <c r="C2450">
        <v>15.447127999999999</v>
      </c>
    </row>
    <row r="2451" spans="1:3" x14ac:dyDescent="0.25">
      <c r="A2451" t="s">
        <v>7</v>
      </c>
      <c r="B2451" s="1">
        <v>45222</v>
      </c>
      <c r="C2451">
        <v>15.348614</v>
      </c>
    </row>
    <row r="2452" spans="1:3" x14ac:dyDescent="0.25">
      <c r="A2452" t="s">
        <v>7</v>
      </c>
      <c r="B2452" s="1">
        <v>45223</v>
      </c>
      <c r="C2452">
        <v>15.407722</v>
      </c>
    </row>
    <row r="2453" spans="1:3" x14ac:dyDescent="0.25">
      <c r="A2453" t="s">
        <v>7</v>
      </c>
      <c r="B2453" s="1">
        <v>45224</v>
      </c>
      <c r="C2453">
        <v>15.250097999999999</v>
      </c>
    </row>
    <row r="2454" spans="1:3" x14ac:dyDescent="0.25">
      <c r="A2454" t="s">
        <v>7</v>
      </c>
      <c r="B2454" s="1">
        <v>45225</v>
      </c>
      <c r="C2454">
        <v>15.604753000000001</v>
      </c>
    </row>
    <row r="2455" spans="1:3" x14ac:dyDescent="0.25">
      <c r="A2455" t="s">
        <v>7</v>
      </c>
      <c r="B2455" s="1">
        <v>45226</v>
      </c>
      <c r="C2455">
        <v>15.762376</v>
      </c>
    </row>
    <row r="2456" spans="1:3" x14ac:dyDescent="0.25">
      <c r="A2456" t="s">
        <v>7</v>
      </c>
      <c r="B2456" s="1">
        <v>45229</v>
      </c>
      <c r="C2456">
        <v>15.919999000000001</v>
      </c>
    </row>
    <row r="2457" spans="1:3" x14ac:dyDescent="0.25">
      <c r="A2457" t="s">
        <v>7</v>
      </c>
      <c r="B2457" s="1">
        <v>45230</v>
      </c>
      <c r="C2457">
        <v>16.038218000000001</v>
      </c>
    </row>
    <row r="2458" spans="1:3" x14ac:dyDescent="0.25">
      <c r="A2458" t="s">
        <v>7</v>
      </c>
      <c r="B2458" s="1">
        <v>45231</v>
      </c>
      <c r="C2458">
        <v>15.919999000000001</v>
      </c>
    </row>
    <row r="2459" spans="1:3" x14ac:dyDescent="0.25">
      <c r="A2459" t="s">
        <v>7</v>
      </c>
      <c r="B2459" s="1">
        <v>45232</v>
      </c>
      <c r="C2459">
        <v>16.392869999999998</v>
      </c>
    </row>
    <row r="2460" spans="1:3" x14ac:dyDescent="0.25">
      <c r="A2460" t="s">
        <v>7</v>
      </c>
      <c r="B2460" s="1">
        <v>45233</v>
      </c>
      <c r="C2460">
        <v>16.629304999999999</v>
      </c>
    </row>
    <row r="2461" spans="1:3" x14ac:dyDescent="0.25">
      <c r="A2461" t="s">
        <v>7</v>
      </c>
      <c r="B2461" s="1">
        <v>45236</v>
      </c>
      <c r="C2461">
        <v>16.550492999999999</v>
      </c>
    </row>
    <row r="2462" spans="1:3" x14ac:dyDescent="0.25">
      <c r="A2462" t="s">
        <v>7</v>
      </c>
      <c r="B2462" s="1">
        <v>45237</v>
      </c>
      <c r="C2462">
        <v>16.708117000000001</v>
      </c>
    </row>
    <row r="2463" spans="1:3" x14ac:dyDescent="0.25">
      <c r="A2463" t="s">
        <v>7</v>
      </c>
      <c r="B2463" s="1">
        <v>45238</v>
      </c>
      <c r="C2463">
        <v>16.649010000000001</v>
      </c>
    </row>
    <row r="2464" spans="1:3" x14ac:dyDescent="0.25">
      <c r="A2464" t="s">
        <v>7</v>
      </c>
      <c r="B2464" s="1">
        <v>45239</v>
      </c>
      <c r="C2464">
        <v>16.609604000000001</v>
      </c>
    </row>
    <row r="2465" spans="1:3" x14ac:dyDescent="0.25">
      <c r="A2465" t="s">
        <v>7</v>
      </c>
      <c r="B2465" s="1">
        <v>45240</v>
      </c>
      <c r="C2465">
        <v>16.373169000000001</v>
      </c>
    </row>
    <row r="2466" spans="1:3" x14ac:dyDescent="0.25">
      <c r="A2466" t="s">
        <v>7</v>
      </c>
      <c r="B2466" s="1">
        <v>45243</v>
      </c>
      <c r="C2466">
        <v>16.609604000000001</v>
      </c>
    </row>
    <row r="2467" spans="1:3" x14ac:dyDescent="0.25">
      <c r="A2467" t="s">
        <v>7</v>
      </c>
      <c r="B2467" s="1">
        <v>45244</v>
      </c>
      <c r="C2467">
        <v>17.180990000000001</v>
      </c>
    </row>
    <row r="2468" spans="1:3" x14ac:dyDescent="0.25">
      <c r="A2468" t="s">
        <v>7</v>
      </c>
      <c r="B2468" s="1">
        <v>45245</v>
      </c>
      <c r="C2468">
        <v>17.338614</v>
      </c>
    </row>
    <row r="2469" spans="1:3" x14ac:dyDescent="0.25">
      <c r="A2469" t="s">
        <v>7</v>
      </c>
      <c r="B2469" s="1">
        <v>45246</v>
      </c>
      <c r="C2469">
        <v>17.062771000000001</v>
      </c>
    </row>
    <row r="2470" spans="1:3" x14ac:dyDescent="0.25">
      <c r="A2470" t="s">
        <v>7</v>
      </c>
      <c r="B2470" s="1">
        <v>45247</v>
      </c>
      <c r="C2470">
        <v>17.062771000000001</v>
      </c>
    </row>
    <row r="2471" spans="1:3" x14ac:dyDescent="0.25">
      <c r="A2471" t="s">
        <v>7</v>
      </c>
      <c r="B2471" s="1">
        <v>45250</v>
      </c>
      <c r="C2471">
        <v>17.161287000000002</v>
      </c>
    </row>
    <row r="2472" spans="1:3" x14ac:dyDescent="0.25">
      <c r="A2472" t="s">
        <v>7</v>
      </c>
      <c r="B2472" s="1">
        <v>45251</v>
      </c>
      <c r="C2472">
        <v>17.121880000000001</v>
      </c>
    </row>
    <row r="2473" spans="1:3" x14ac:dyDescent="0.25">
      <c r="A2473" t="s">
        <v>7</v>
      </c>
      <c r="B2473" s="1">
        <v>45252</v>
      </c>
      <c r="C2473">
        <v>17.062771000000001</v>
      </c>
    </row>
    <row r="2474" spans="1:3" x14ac:dyDescent="0.25">
      <c r="A2474" t="s">
        <v>7</v>
      </c>
      <c r="B2474" s="1">
        <v>45253</v>
      </c>
      <c r="C2474">
        <v>17.220396000000001</v>
      </c>
    </row>
    <row r="2475" spans="1:3" x14ac:dyDescent="0.25">
      <c r="A2475" t="s">
        <v>7</v>
      </c>
      <c r="B2475" s="1">
        <v>45254</v>
      </c>
      <c r="C2475">
        <v>17.279505</v>
      </c>
    </row>
    <row r="2476" spans="1:3" x14ac:dyDescent="0.25">
      <c r="A2476" t="s">
        <v>7</v>
      </c>
      <c r="B2476" s="1">
        <v>45257</v>
      </c>
      <c r="C2476">
        <v>17.062771000000001</v>
      </c>
    </row>
    <row r="2477" spans="1:3" x14ac:dyDescent="0.25">
      <c r="A2477" t="s">
        <v>7</v>
      </c>
      <c r="B2477" s="1">
        <v>45258</v>
      </c>
      <c r="C2477">
        <v>16.924849999999999</v>
      </c>
    </row>
    <row r="2478" spans="1:3" x14ac:dyDescent="0.25">
      <c r="A2478" t="s">
        <v>7</v>
      </c>
      <c r="B2478" s="1">
        <v>45259</v>
      </c>
      <c r="C2478">
        <v>17.279505</v>
      </c>
    </row>
    <row r="2479" spans="1:3" x14ac:dyDescent="0.25">
      <c r="A2479" t="s">
        <v>7</v>
      </c>
      <c r="B2479" s="1">
        <v>45260</v>
      </c>
      <c r="C2479">
        <v>17.397722000000002</v>
      </c>
    </row>
    <row r="2480" spans="1:3" x14ac:dyDescent="0.25">
      <c r="A2480" t="s">
        <v>7</v>
      </c>
      <c r="B2480" s="1">
        <v>45261</v>
      </c>
      <c r="C2480">
        <v>17.496237000000001</v>
      </c>
    </row>
    <row r="2481" spans="1:3" x14ac:dyDescent="0.25">
      <c r="A2481" t="s">
        <v>7</v>
      </c>
      <c r="B2481" s="1">
        <v>45264</v>
      </c>
      <c r="C2481">
        <v>17.515941999999999</v>
      </c>
    </row>
    <row r="2482" spans="1:3" x14ac:dyDescent="0.25">
      <c r="A2482" t="s">
        <v>7</v>
      </c>
      <c r="B2482" s="1">
        <v>45265</v>
      </c>
      <c r="C2482">
        <v>17.791779999999999</v>
      </c>
    </row>
    <row r="2483" spans="1:3" x14ac:dyDescent="0.25">
      <c r="A2483" t="s">
        <v>7</v>
      </c>
      <c r="B2483" s="1">
        <v>45267</v>
      </c>
      <c r="C2483">
        <v>17.850891000000001</v>
      </c>
    </row>
    <row r="2484" spans="1:3" x14ac:dyDescent="0.25">
      <c r="A2484" t="s">
        <v>7</v>
      </c>
      <c r="B2484" s="1">
        <v>45268</v>
      </c>
      <c r="C2484">
        <v>17.91</v>
      </c>
    </row>
    <row r="2485" spans="1:3" x14ac:dyDescent="0.25">
      <c r="A2485" t="s">
        <v>7</v>
      </c>
      <c r="B2485" s="1">
        <v>45271</v>
      </c>
      <c r="C2485">
        <v>17.860001</v>
      </c>
    </row>
    <row r="2486" spans="1:3" x14ac:dyDescent="0.25">
      <c r="A2486" t="s">
        <v>7</v>
      </c>
      <c r="B2486" s="1">
        <v>45272</v>
      </c>
      <c r="C2486">
        <v>17.440000999999999</v>
      </c>
    </row>
    <row r="2487" spans="1:3" x14ac:dyDescent="0.25">
      <c r="A2487" t="s">
        <v>7</v>
      </c>
      <c r="B2487" s="1">
        <v>45273</v>
      </c>
      <c r="C2487">
        <v>17.360001</v>
      </c>
    </row>
    <row r="2488" spans="1:3" x14ac:dyDescent="0.25">
      <c r="A2488" t="s">
        <v>7</v>
      </c>
      <c r="B2488" s="1">
        <v>45274</v>
      </c>
      <c r="C2488">
        <v>17.739999999999998</v>
      </c>
    </row>
    <row r="2489" spans="1:3" x14ac:dyDescent="0.25">
      <c r="A2489" t="s">
        <v>7</v>
      </c>
      <c r="B2489" s="1">
        <v>45275</v>
      </c>
      <c r="C2489">
        <v>17.540001</v>
      </c>
    </row>
    <row r="2490" spans="1:3" x14ac:dyDescent="0.25">
      <c r="A2490" t="s">
        <v>7</v>
      </c>
      <c r="B2490" s="1">
        <v>45278</v>
      </c>
      <c r="C2490">
        <v>17.5</v>
      </c>
    </row>
    <row r="2491" spans="1:3" x14ac:dyDescent="0.25">
      <c r="A2491" t="s">
        <v>7</v>
      </c>
      <c r="B2491" s="1">
        <v>45279</v>
      </c>
      <c r="C2491">
        <v>17.639999</v>
      </c>
    </row>
    <row r="2492" spans="1:3" x14ac:dyDescent="0.25">
      <c r="A2492" t="s">
        <v>7</v>
      </c>
      <c r="B2492" s="1">
        <v>45280</v>
      </c>
      <c r="C2492">
        <v>17.84</v>
      </c>
    </row>
    <row r="2493" spans="1:3" x14ac:dyDescent="0.25">
      <c r="A2493" t="s">
        <v>7</v>
      </c>
      <c r="B2493" s="1">
        <v>45281</v>
      </c>
      <c r="C2493">
        <v>17.920000000000002</v>
      </c>
    </row>
    <row r="2494" spans="1:3" x14ac:dyDescent="0.25">
      <c r="A2494" t="s">
        <v>7</v>
      </c>
      <c r="B2494" s="1">
        <v>45282</v>
      </c>
      <c r="C2494">
        <v>17.940000999999999</v>
      </c>
    </row>
    <row r="2495" spans="1:3" x14ac:dyDescent="0.25">
      <c r="A2495" t="s">
        <v>7</v>
      </c>
      <c r="B2495" s="1">
        <v>45287</v>
      </c>
      <c r="C2495">
        <v>18.040001</v>
      </c>
    </row>
    <row r="2496" spans="1:3" x14ac:dyDescent="0.25">
      <c r="A2496" t="s">
        <v>7</v>
      </c>
      <c r="B2496" s="1">
        <v>45288</v>
      </c>
      <c r="C2496">
        <v>18.059999000000001</v>
      </c>
    </row>
    <row r="2497" spans="1:3" x14ac:dyDescent="0.25">
      <c r="A2497" t="s">
        <v>7</v>
      </c>
      <c r="B2497" s="1">
        <v>45289</v>
      </c>
      <c r="C2497">
        <v>18</v>
      </c>
    </row>
    <row r="2498" spans="1:3" x14ac:dyDescent="0.25">
      <c r="A2498" t="s">
        <v>7</v>
      </c>
      <c r="B2498" s="1">
        <v>45293</v>
      </c>
      <c r="C2498">
        <v>18.34</v>
      </c>
    </row>
    <row r="2499" spans="1:3" x14ac:dyDescent="0.25">
      <c r="A2499" t="s">
        <v>7</v>
      </c>
      <c r="B2499" s="1">
        <v>45294</v>
      </c>
      <c r="C2499">
        <v>18.18</v>
      </c>
    </row>
    <row r="2500" spans="1:3" x14ac:dyDescent="0.25">
      <c r="A2500" t="s">
        <v>7</v>
      </c>
      <c r="B2500" s="1">
        <v>45295</v>
      </c>
      <c r="C2500">
        <v>18.420000000000002</v>
      </c>
    </row>
    <row r="2501" spans="1:3" x14ac:dyDescent="0.25">
      <c r="A2501" t="s">
        <v>7</v>
      </c>
      <c r="B2501" s="1">
        <v>45296</v>
      </c>
      <c r="C2501">
        <v>18.440000999999999</v>
      </c>
    </row>
    <row r="2502" spans="1:3" x14ac:dyDescent="0.25">
      <c r="A2502" t="s">
        <v>7</v>
      </c>
      <c r="B2502" s="1">
        <v>45299</v>
      </c>
      <c r="C2502">
        <v>18.559999000000001</v>
      </c>
    </row>
    <row r="2503" spans="1:3" x14ac:dyDescent="0.25">
      <c r="A2503" t="s">
        <v>7</v>
      </c>
      <c r="B2503" s="1">
        <v>45300</v>
      </c>
      <c r="C2503">
        <v>18.700001</v>
      </c>
    </row>
    <row r="2504" spans="1:3" x14ac:dyDescent="0.25">
      <c r="A2504" t="s">
        <v>7</v>
      </c>
      <c r="B2504" s="1">
        <v>45301</v>
      </c>
      <c r="C2504">
        <v>18.66</v>
      </c>
    </row>
    <row r="2505" spans="1:3" x14ac:dyDescent="0.25">
      <c r="A2505" t="s">
        <v>7</v>
      </c>
      <c r="B2505" s="1">
        <v>45302</v>
      </c>
      <c r="C2505">
        <v>18.639999</v>
      </c>
    </row>
    <row r="2506" spans="1:3" x14ac:dyDescent="0.25">
      <c r="A2506" t="s">
        <v>7</v>
      </c>
      <c r="B2506" s="1">
        <v>45303</v>
      </c>
      <c r="C2506">
        <v>18.700001</v>
      </c>
    </row>
    <row r="2507" spans="1:3" x14ac:dyDescent="0.25">
      <c r="A2507" t="s">
        <v>7</v>
      </c>
      <c r="B2507" s="1">
        <v>45306</v>
      </c>
      <c r="C2507">
        <v>18.299999</v>
      </c>
    </row>
    <row r="2508" spans="1:3" x14ac:dyDescent="0.25">
      <c r="A2508" t="s">
        <v>7</v>
      </c>
      <c r="B2508" s="1">
        <v>45307</v>
      </c>
      <c r="C2508">
        <v>17.719999000000001</v>
      </c>
    </row>
    <row r="2509" spans="1:3" x14ac:dyDescent="0.25">
      <c r="A2509" t="s">
        <v>7</v>
      </c>
      <c r="B2509" s="1">
        <v>45308</v>
      </c>
      <c r="C2509">
        <v>17.34</v>
      </c>
    </row>
    <row r="2510" spans="1:3" x14ac:dyDescent="0.25">
      <c r="A2510" t="s">
        <v>7</v>
      </c>
      <c r="B2510" s="1">
        <v>45309</v>
      </c>
      <c r="C2510">
        <v>17.299999</v>
      </c>
    </row>
    <row r="2511" spans="1:3" x14ac:dyDescent="0.25">
      <c r="A2511" t="s">
        <v>7</v>
      </c>
      <c r="B2511" s="1">
        <v>45310</v>
      </c>
      <c r="C2511">
        <v>17.219999000000001</v>
      </c>
    </row>
    <row r="2512" spans="1:3" x14ac:dyDescent="0.25">
      <c r="A2512" t="s">
        <v>7</v>
      </c>
      <c r="B2512" s="1">
        <v>45313</v>
      </c>
      <c r="C2512">
        <v>17.32</v>
      </c>
    </row>
    <row r="2513" spans="1:3" x14ac:dyDescent="0.25">
      <c r="A2513" t="s">
        <v>7</v>
      </c>
      <c r="B2513" s="1">
        <v>45314</v>
      </c>
      <c r="C2513">
        <v>17.540001</v>
      </c>
    </row>
    <row r="2514" spans="1:3" x14ac:dyDescent="0.25">
      <c r="A2514" t="s">
        <v>7</v>
      </c>
      <c r="B2514" s="1">
        <v>45315</v>
      </c>
      <c r="C2514">
        <v>17.540001</v>
      </c>
    </row>
    <row r="2515" spans="1:3" x14ac:dyDescent="0.25">
      <c r="A2515" t="s">
        <v>7</v>
      </c>
      <c r="B2515" s="1">
        <v>45316</v>
      </c>
      <c r="C2515">
        <v>17.559999000000001</v>
      </c>
    </row>
    <row r="2516" spans="1:3" x14ac:dyDescent="0.25">
      <c r="A2516" t="s">
        <v>7</v>
      </c>
      <c r="B2516" s="1">
        <v>45317</v>
      </c>
      <c r="C2516">
        <v>17.639999</v>
      </c>
    </row>
    <row r="2517" spans="1:3" x14ac:dyDescent="0.25">
      <c r="A2517" t="s">
        <v>7</v>
      </c>
      <c r="B2517" s="1">
        <v>45320</v>
      </c>
      <c r="C2517">
        <v>17.860001</v>
      </c>
    </row>
    <row r="2518" spans="1:3" x14ac:dyDescent="0.25">
      <c r="A2518" t="s">
        <v>7</v>
      </c>
      <c r="B2518" s="1">
        <v>45321</v>
      </c>
      <c r="C2518">
        <v>18.84</v>
      </c>
    </row>
    <row r="2519" spans="1:3" x14ac:dyDescent="0.25">
      <c r="A2519" t="s">
        <v>7</v>
      </c>
      <c r="B2519" s="1">
        <v>45322</v>
      </c>
      <c r="C2519">
        <v>18.139999</v>
      </c>
    </row>
    <row r="2520" spans="1:3" x14ac:dyDescent="0.25">
      <c r="A2520" t="s">
        <v>7</v>
      </c>
      <c r="B2520" s="1">
        <v>45323</v>
      </c>
      <c r="C2520">
        <v>18.079999999999998</v>
      </c>
    </row>
    <row r="2521" spans="1:3" x14ac:dyDescent="0.25">
      <c r="A2521" t="s">
        <v>7</v>
      </c>
      <c r="B2521" s="1">
        <v>45324</v>
      </c>
      <c r="C2521">
        <v>17.940000999999999</v>
      </c>
    </row>
    <row r="2522" spans="1:3" x14ac:dyDescent="0.25">
      <c r="A2522" t="s">
        <v>7</v>
      </c>
      <c r="B2522" s="1">
        <v>45327</v>
      </c>
      <c r="C2522">
        <v>17.82</v>
      </c>
    </row>
    <row r="2523" spans="1:3" x14ac:dyDescent="0.25">
      <c r="A2523" t="s">
        <v>7</v>
      </c>
      <c r="B2523" s="1">
        <v>45328</v>
      </c>
      <c r="C2523">
        <v>17.799999</v>
      </c>
    </row>
    <row r="2524" spans="1:3" x14ac:dyDescent="0.25">
      <c r="A2524" t="s">
        <v>7</v>
      </c>
      <c r="B2524" s="1">
        <v>45329</v>
      </c>
      <c r="C2524">
        <v>18.02</v>
      </c>
    </row>
    <row r="2525" spans="1:3" x14ac:dyDescent="0.25">
      <c r="A2525" t="s">
        <v>7</v>
      </c>
      <c r="B2525" s="1">
        <v>45330</v>
      </c>
      <c r="C2525">
        <v>18.079999999999998</v>
      </c>
    </row>
    <row r="2526" spans="1:3" x14ac:dyDescent="0.25">
      <c r="A2526" t="s">
        <v>7</v>
      </c>
      <c r="B2526" s="1">
        <v>45331</v>
      </c>
      <c r="C2526">
        <v>17.68</v>
      </c>
    </row>
    <row r="2527" spans="1:3" x14ac:dyDescent="0.25">
      <c r="A2527" t="s">
        <v>8</v>
      </c>
      <c r="B2527" s="1">
        <v>44603</v>
      </c>
      <c r="C2527">
        <v>8.4912449999999993</v>
      </c>
    </row>
    <row r="2528" spans="1:3" x14ac:dyDescent="0.25">
      <c r="A2528" t="s">
        <v>8</v>
      </c>
      <c r="B2528" s="1">
        <v>44606</v>
      </c>
      <c r="C2528">
        <v>8.3238299999999992</v>
      </c>
    </row>
    <row r="2529" spans="1:3" x14ac:dyDescent="0.25">
      <c r="A2529" t="s">
        <v>8</v>
      </c>
      <c r="B2529" s="1">
        <v>44607</v>
      </c>
      <c r="C2529">
        <v>8.4856029999999993</v>
      </c>
    </row>
    <row r="2530" spans="1:3" x14ac:dyDescent="0.25">
      <c r="A2530" t="s">
        <v>8</v>
      </c>
      <c r="B2530" s="1">
        <v>44608</v>
      </c>
      <c r="C2530">
        <v>8.3257100000000008</v>
      </c>
    </row>
    <row r="2531" spans="1:3" x14ac:dyDescent="0.25">
      <c r="A2531" t="s">
        <v>8</v>
      </c>
      <c r="B2531" s="1">
        <v>44609</v>
      </c>
      <c r="C2531">
        <v>8.2222500000000007</v>
      </c>
    </row>
    <row r="2532" spans="1:3" x14ac:dyDescent="0.25">
      <c r="A2532" t="s">
        <v>8</v>
      </c>
      <c r="B2532" s="1">
        <v>44610</v>
      </c>
      <c r="C2532">
        <v>8.1206700000000005</v>
      </c>
    </row>
    <row r="2533" spans="1:3" x14ac:dyDescent="0.25">
      <c r="A2533" t="s">
        <v>8</v>
      </c>
      <c r="B2533" s="1">
        <v>44613</v>
      </c>
      <c r="C2533">
        <v>7.9946380000000001</v>
      </c>
    </row>
    <row r="2534" spans="1:3" x14ac:dyDescent="0.25">
      <c r="A2534" t="s">
        <v>8</v>
      </c>
      <c r="B2534" s="1">
        <v>44614</v>
      </c>
      <c r="C2534">
        <v>7.847912</v>
      </c>
    </row>
    <row r="2535" spans="1:3" x14ac:dyDescent="0.25">
      <c r="A2535" t="s">
        <v>8</v>
      </c>
      <c r="B2535" s="1">
        <v>44615</v>
      </c>
      <c r="C2535">
        <v>7.7595010000000002</v>
      </c>
    </row>
    <row r="2536" spans="1:3" x14ac:dyDescent="0.25">
      <c r="A2536" t="s">
        <v>8</v>
      </c>
      <c r="B2536" s="1">
        <v>44616</v>
      </c>
      <c r="C2536">
        <v>7.405856</v>
      </c>
    </row>
    <row r="2537" spans="1:3" x14ac:dyDescent="0.25">
      <c r="A2537" t="s">
        <v>8</v>
      </c>
      <c r="B2537" s="1">
        <v>44617</v>
      </c>
      <c r="C2537">
        <v>7.597728</v>
      </c>
    </row>
    <row r="2538" spans="1:3" x14ac:dyDescent="0.25">
      <c r="A2538" t="s">
        <v>8</v>
      </c>
      <c r="B2538" s="1">
        <v>44620</v>
      </c>
      <c r="C2538">
        <v>7.1387409999999996</v>
      </c>
    </row>
    <row r="2539" spans="1:3" x14ac:dyDescent="0.25">
      <c r="A2539" t="s">
        <v>8</v>
      </c>
      <c r="B2539" s="1">
        <v>44621</v>
      </c>
      <c r="C2539">
        <v>6.67035</v>
      </c>
    </row>
    <row r="2540" spans="1:3" x14ac:dyDescent="0.25">
      <c r="A2540" t="s">
        <v>8</v>
      </c>
      <c r="B2540" s="1">
        <v>44622</v>
      </c>
      <c r="C2540">
        <v>6.813313</v>
      </c>
    </row>
    <row r="2541" spans="1:3" x14ac:dyDescent="0.25">
      <c r="A2541" t="s">
        <v>8</v>
      </c>
      <c r="B2541" s="1">
        <v>44623</v>
      </c>
      <c r="C2541">
        <v>6.7286630000000001</v>
      </c>
    </row>
    <row r="2542" spans="1:3" x14ac:dyDescent="0.25">
      <c r="A2542" t="s">
        <v>8</v>
      </c>
      <c r="B2542" s="1">
        <v>44624</v>
      </c>
      <c r="C2542">
        <v>6.1549310000000004</v>
      </c>
    </row>
    <row r="2543" spans="1:3" x14ac:dyDescent="0.25">
      <c r="A2543" t="s">
        <v>8</v>
      </c>
      <c r="B2543" s="1">
        <v>44627</v>
      </c>
      <c r="C2543">
        <v>6.2640339999999997</v>
      </c>
    </row>
    <row r="2544" spans="1:3" x14ac:dyDescent="0.25">
      <c r="A2544" t="s">
        <v>8</v>
      </c>
      <c r="B2544" s="1">
        <v>44628</v>
      </c>
      <c r="C2544">
        <v>6.6139159999999997</v>
      </c>
    </row>
    <row r="2545" spans="1:3" x14ac:dyDescent="0.25">
      <c r="A2545" t="s">
        <v>8</v>
      </c>
      <c r="B2545" s="1">
        <v>44629</v>
      </c>
      <c r="C2545">
        <v>6.9807300000000003</v>
      </c>
    </row>
    <row r="2546" spans="1:3" x14ac:dyDescent="0.25">
      <c r="A2546" t="s">
        <v>8</v>
      </c>
      <c r="B2546" s="1">
        <v>44630</v>
      </c>
      <c r="C2546">
        <v>6.9694430000000001</v>
      </c>
    </row>
    <row r="2547" spans="1:3" x14ac:dyDescent="0.25">
      <c r="A2547" t="s">
        <v>8</v>
      </c>
      <c r="B2547" s="1">
        <v>44631</v>
      </c>
      <c r="C2547">
        <v>6.9694430000000001</v>
      </c>
    </row>
    <row r="2548" spans="1:3" x14ac:dyDescent="0.25">
      <c r="A2548" t="s">
        <v>8</v>
      </c>
      <c r="B2548" s="1">
        <v>44634</v>
      </c>
      <c r="C2548">
        <v>7.259131</v>
      </c>
    </row>
    <row r="2549" spans="1:3" x14ac:dyDescent="0.25">
      <c r="A2549" t="s">
        <v>8</v>
      </c>
      <c r="B2549" s="1">
        <v>44635</v>
      </c>
      <c r="C2549">
        <v>7.1688390000000002</v>
      </c>
    </row>
    <row r="2550" spans="1:3" x14ac:dyDescent="0.25">
      <c r="A2550" t="s">
        <v>8</v>
      </c>
      <c r="B2550" s="1">
        <v>44636</v>
      </c>
      <c r="C2550">
        <v>7.6221819999999996</v>
      </c>
    </row>
    <row r="2551" spans="1:3" x14ac:dyDescent="0.25">
      <c r="A2551" t="s">
        <v>8</v>
      </c>
      <c r="B2551" s="1">
        <v>44637</v>
      </c>
      <c r="C2551">
        <v>7.3889259999999997</v>
      </c>
    </row>
    <row r="2552" spans="1:3" x14ac:dyDescent="0.25">
      <c r="A2552" t="s">
        <v>8</v>
      </c>
      <c r="B2552" s="1">
        <v>44638</v>
      </c>
      <c r="C2552">
        <v>7.5074350000000001</v>
      </c>
    </row>
    <row r="2553" spans="1:3" x14ac:dyDescent="0.25">
      <c r="A2553" t="s">
        <v>8</v>
      </c>
      <c r="B2553" s="1">
        <v>44641</v>
      </c>
      <c r="C2553">
        <v>7.6165380000000003</v>
      </c>
    </row>
    <row r="2554" spans="1:3" x14ac:dyDescent="0.25">
      <c r="A2554" t="s">
        <v>8</v>
      </c>
      <c r="B2554" s="1">
        <v>44642</v>
      </c>
      <c r="C2554">
        <v>7.5770350000000004</v>
      </c>
    </row>
    <row r="2555" spans="1:3" x14ac:dyDescent="0.25">
      <c r="A2555" t="s">
        <v>8</v>
      </c>
      <c r="B2555" s="1">
        <v>44643</v>
      </c>
      <c r="C2555">
        <v>7.4773370000000003</v>
      </c>
    </row>
    <row r="2556" spans="1:3" x14ac:dyDescent="0.25">
      <c r="A2556" t="s">
        <v>8</v>
      </c>
      <c r="B2556" s="1">
        <v>44644</v>
      </c>
      <c r="C2556">
        <v>6.9901359999999997</v>
      </c>
    </row>
    <row r="2557" spans="1:3" x14ac:dyDescent="0.25">
      <c r="A2557" t="s">
        <v>8</v>
      </c>
      <c r="B2557" s="1">
        <v>44645</v>
      </c>
      <c r="C2557">
        <v>6.719258</v>
      </c>
    </row>
    <row r="2558" spans="1:3" x14ac:dyDescent="0.25">
      <c r="A2558" t="s">
        <v>8</v>
      </c>
      <c r="B2558" s="1">
        <v>44648</v>
      </c>
      <c r="C2558">
        <v>6.9619179999999998</v>
      </c>
    </row>
    <row r="2559" spans="1:3" x14ac:dyDescent="0.25">
      <c r="A2559" t="s">
        <v>8</v>
      </c>
      <c r="B2559" s="1">
        <v>44649</v>
      </c>
      <c r="C2559">
        <v>7.4434779999999998</v>
      </c>
    </row>
    <row r="2560" spans="1:3" x14ac:dyDescent="0.25">
      <c r="A2560" t="s">
        <v>8</v>
      </c>
      <c r="B2560" s="1">
        <v>44650</v>
      </c>
      <c r="C2560">
        <v>7.3343749999999996</v>
      </c>
    </row>
    <row r="2561" spans="1:3" x14ac:dyDescent="0.25">
      <c r="A2561" t="s">
        <v>8</v>
      </c>
      <c r="B2561" s="1">
        <v>44651</v>
      </c>
      <c r="C2561">
        <v>7.2271520000000002</v>
      </c>
    </row>
    <row r="2562" spans="1:3" x14ac:dyDescent="0.25">
      <c r="A2562" t="s">
        <v>8</v>
      </c>
      <c r="B2562" s="1">
        <v>44652</v>
      </c>
      <c r="C2562">
        <v>7.3400179999999997</v>
      </c>
    </row>
    <row r="2563" spans="1:3" x14ac:dyDescent="0.25">
      <c r="A2563" t="s">
        <v>8</v>
      </c>
      <c r="B2563" s="1">
        <v>44655</v>
      </c>
      <c r="C2563">
        <v>7.5055550000000002</v>
      </c>
    </row>
    <row r="2564" spans="1:3" x14ac:dyDescent="0.25">
      <c r="A2564" t="s">
        <v>8</v>
      </c>
      <c r="B2564" s="1">
        <v>44656</v>
      </c>
      <c r="C2564">
        <v>7.3193260000000002</v>
      </c>
    </row>
    <row r="2565" spans="1:3" x14ac:dyDescent="0.25">
      <c r="A2565" t="s">
        <v>8</v>
      </c>
      <c r="B2565" s="1">
        <v>44657</v>
      </c>
      <c r="C2565">
        <v>6.9713240000000001</v>
      </c>
    </row>
    <row r="2566" spans="1:3" x14ac:dyDescent="0.25">
      <c r="A2566" t="s">
        <v>8</v>
      </c>
      <c r="B2566" s="1">
        <v>44658</v>
      </c>
      <c r="C2566">
        <v>6.9130099999999999</v>
      </c>
    </row>
    <row r="2567" spans="1:3" x14ac:dyDescent="0.25">
      <c r="A2567" t="s">
        <v>8</v>
      </c>
      <c r="B2567" s="1">
        <v>44659</v>
      </c>
      <c r="C2567">
        <v>7.0277570000000003</v>
      </c>
    </row>
    <row r="2568" spans="1:3" x14ac:dyDescent="0.25">
      <c r="A2568" t="s">
        <v>8</v>
      </c>
      <c r="B2568" s="1">
        <v>44662</v>
      </c>
      <c r="C2568">
        <v>6.922415</v>
      </c>
    </row>
    <row r="2569" spans="1:3" x14ac:dyDescent="0.25">
      <c r="A2569" t="s">
        <v>8</v>
      </c>
      <c r="B2569" s="1">
        <v>44663</v>
      </c>
      <c r="C2569">
        <v>6.967562</v>
      </c>
    </row>
    <row r="2570" spans="1:3" x14ac:dyDescent="0.25">
      <c r="A2570" t="s">
        <v>8</v>
      </c>
      <c r="B2570" s="1">
        <v>44664</v>
      </c>
      <c r="C2570">
        <v>6.9732060000000002</v>
      </c>
    </row>
    <row r="2571" spans="1:3" x14ac:dyDescent="0.25">
      <c r="A2571" t="s">
        <v>8</v>
      </c>
      <c r="B2571" s="1">
        <v>44665</v>
      </c>
      <c r="C2571">
        <v>7.0221140000000002</v>
      </c>
    </row>
    <row r="2572" spans="1:3" x14ac:dyDescent="0.25">
      <c r="A2572" t="s">
        <v>8</v>
      </c>
      <c r="B2572" s="1">
        <v>44670</v>
      </c>
      <c r="C2572">
        <v>7.2478439999999997</v>
      </c>
    </row>
    <row r="2573" spans="1:3" x14ac:dyDescent="0.25">
      <c r="A2573" t="s">
        <v>8</v>
      </c>
      <c r="B2573" s="1">
        <v>44671</v>
      </c>
      <c r="C2573">
        <v>7.3701160000000003</v>
      </c>
    </row>
    <row r="2574" spans="1:3" x14ac:dyDescent="0.25">
      <c r="A2574" t="s">
        <v>8</v>
      </c>
      <c r="B2574" s="1">
        <v>44672</v>
      </c>
      <c r="C2574">
        <v>8.2109629999999996</v>
      </c>
    </row>
    <row r="2575" spans="1:3" x14ac:dyDescent="0.25">
      <c r="A2575" t="s">
        <v>8</v>
      </c>
      <c r="B2575" s="1">
        <v>44673</v>
      </c>
      <c r="C2575">
        <v>7.7989850000000001</v>
      </c>
    </row>
    <row r="2576" spans="1:3" x14ac:dyDescent="0.25">
      <c r="A2576" t="s">
        <v>8</v>
      </c>
      <c r="B2576" s="1">
        <v>44676</v>
      </c>
      <c r="C2576">
        <v>7.4652060000000002</v>
      </c>
    </row>
    <row r="2577" spans="1:3" x14ac:dyDescent="0.25">
      <c r="A2577" t="s">
        <v>8</v>
      </c>
      <c r="B2577" s="1">
        <v>44677</v>
      </c>
      <c r="C2577">
        <v>7.49763</v>
      </c>
    </row>
    <row r="2578" spans="1:3" x14ac:dyDescent="0.25">
      <c r="A2578" t="s">
        <v>8</v>
      </c>
      <c r="B2578" s="1">
        <v>44678</v>
      </c>
      <c r="C2578">
        <v>7.8199649999999998</v>
      </c>
    </row>
    <row r="2579" spans="1:3" x14ac:dyDescent="0.25">
      <c r="A2579" t="s">
        <v>8</v>
      </c>
      <c r="B2579" s="1">
        <v>44679</v>
      </c>
      <c r="C2579">
        <v>7.8142440000000004</v>
      </c>
    </row>
    <row r="2580" spans="1:3" x14ac:dyDescent="0.25">
      <c r="A2580" t="s">
        <v>8</v>
      </c>
      <c r="B2580" s="1">
        <v>44680</v>
      </c>
      <c r="C2580">
        <v>7.8275949999999996</v>
      </c>
    </row>
    <row r="2581" spans="1:3" x14ac:dyDescent="0.25">
      <c r="A2581" t="s">
        <v>8</v>
      </c>
      <c r="B2581" s="1">
        <v>44683</v>
      </c>
      <c r="C2581">
        <v>7.6063470000000004</v>
      </c>
    </row>
    <row r="2582" spans="1:3" x14ac:dyDescent="0.25">
      <c r="A2582" t="s">
        <v>8</v>
      </c>
      <c r="B2582" s="1">
        <v>44684</v>
      </c>
      <c r="C2582">
        <v>7.6883609999999996</v>
      </c>
    </row>
    <row r="2583" spans="1:3" x14ac:dyDescent="0.25">
      <c r="A2583" t="s">
        <v>8</v>
      </c>
      <c r="B2583" s="1">
        <v>44685</v>
      </c>
      <c r="C2583">
        <v>7.6025320000000001</v>
      </c>
    </row>
    <row r="2584" spans="1:3" x14ac:dyDescent="0.25">
      <c r="A2584" t="s">
        <v>8</v>
      </c>
      <c r="B2584" s="1">
        <v>44686</v>
      </c>
      <c r="C2584">
        <v>7.5014450000000004</v>
      </c>
    </row>
    <row r="2585" spans="1:3" x14ac:dyDescent="0.25">
      <c r="A2585" t="s">
        <v>8</v>
      </c>
      <c r="B2585" s="1">
        <v>44687</v>
      </c>
      <c r="C2585">
        <v>7.2954549999999996</v>
      </c>
    </row>
    <row r="2586" spans="1:3" x14ac:dyDescent="0.25">
      <c r="A2586" t="s">
        <v>8</v>
      </c>
      <c r="B2586" s="1">
        <v>44690</v>
      </c>
      <c r="C2586">
        <v>7.0246180000000003</v>
      </c>
    </row>
    <row r="2587" spans="1:3" x14ac:dyDescent="0.25">
      <c r="A2587" t="s">
        <v>8</v>
      </c>
      <c r="B2587" s="1">
        <v>44691</v>
      </c>
      <c r="C2587">
        <v>7.0780219999999998</v>
      </c>
    </row>
    <row r="2588" spans="1:3" x14ac:dyDescent="0.25">
      <c r="A2588" t="s">
        <v>8</v>
      </c>
      <c r="B2588" s="1">
        <v>44692</v>
      </c>
      <c r="C2588">
        <v>7.1180760000000003</v>
      </c>
    </row>
    <row r="2589" spans="1:3" x14ac:dyDescent="0.25">
      <c r="A2589" t="s">
        <v>8</v>
      </c>
      <c r="B2589" s="1">
        <v>44693</v>
      </c>
      <c r="C2589">
        <v>7.0284319999999996</v>
      </c>
    </row>
    <row r="2590" spans="1:3" x14ac:dyDescent="0.25">
      <c r="A2590" t="s">
        <v>8</v>
      </c>
      <c r="B2590" s="1">
        <v>44694</v>
      </c>
      <c r="C2590">
        <v>7.3297869999999996</v>
      </c>
    </row>
    <row r="2591" spans="1:3" x14ac:dyDescent="0.25">
      <c r="A2591" t="s">
        <v>8</v>
      </c>
      <c r="B2591" s="1">
        <v>44697</v>
      </c>
      <c r="C2591">
        <v>7.4098940000000004</v>
      </c>
    </row>
    <row r="2592" spans="1:3" x14ac:dyDescent="0.25">
      <c r="A2592" t="s">
        <v>8</v>
      </c>
      <c r="B2592" s="1">
        <v>44698</v>
      </c>
      <c r="C2592">
        <v>7.5968099999999996</v>
      </c>
    </row>
    <row r="2593" spans="1:3" x14ac:dyDescent="0.25">
      <c r="A2593" t="s">
        <v>8</v>
      </c>
      <c r="B2593" s="1">
        <v>44699</v>
      </c>
      <c r="C2593">
        <v>7.5929960000000003</v>
      </c>
    </row>
    <row r="2594" spans="1:3" x14ac:dyDescent="0.25">
      <c r="A2594" t="s">
        <v>8</v>
      </c>
      <c r="B2594" s="1">
        <v>44700</v>
      </c>
      <c r="C2594">
        <v>7.5815520000000003</v>
      </c>
    </row>
    <row r="2595" spans="1:3" x14ac:dyDescent="0.25">
      <c r="A2595" t="s">
        <v>8</v>
      </c>
      <c r="B2595" s="1">
        <v>44701</v>
      </c>
      <c r="C2595">
        <v>7.6788239999999996</v>
      </c>
    </row>
    <row r="2596" spans="1:3" x14ac:dyDescent="0.25">
      <c r="A2596" t="s">
        <v>8</v>
      </c>
      <c r="B2596" s="1">
        <v>44704</v>
      </c>
      <c r="C2596">
        <v>7.9191459999999996</v>
      </c>
    </row>
    <row r="2597" spans="1:3" x14ac:dyDescent="0.25">
      <c r="A2597" t="s">
        <v>8</v>
      </c>
      <c r="B2597" s="1">
        <v>44705</v>
      </c>
      <c r="C2597">
        <v>7.9763650000000004</v>
      </c>
    </row>
    <row r="2598" spans="1:3" x14ac:dyDescent="0.25">
      <c r="A2598" t="s">
        <v>8</v>
      </c>
      <c r="B2598" s="1">
        <v>44706</v>
      </c>
      <c r="C2598">
        <v>7.8523889999999996</v>
      </c>
    </row>
    <row r="2599" spans="1:3" x14ac:dyDescent="0.25">
      <c r="A2599" t="s">
        <v>8</v>
      </c>
      <c r="B2599" s="1">
        <v>44708</v>
      </c>
      <c r="C2599">
        <v>8.0164179999999998</v>
      </c>
    </row>
    <row r="2600" spans="1:3" x14ac:dyDescent="0.25">
      <c r="A2600" t="s">
        <v>8</v>
      </c>
      <c r="B2600" s="1">
        <v>44711</v>
      </c>
      <c r="C2600">
        <v>8.2681819999999995</v>
      </c>
    </row>
    <row r="2601" spans="1:3" x14ac:dyDescent="0.25">
      <c r="A2601" t="s">
        <v>8</v>
      </c>
      <c r="B2601" s="1">
        <v>44712</v>
      </c>
      <c r="C2601">
        <v>8.2681819999999995</v>
      </c>
    </row>
    <row r="2602" spans="1:3" x14ac:dyDescent="0.25">
      <c r="A2602" t="s">
        <v>8</v>
      </c>
      <c r="B2602" s="1">
        <v>44713</v>
      </c>
      <c r="C2602">
        <v>8.4417489999999997</v>
      </c>
    </row>
    <row r="2603" spans="1:3" x14ac:dyDescent="0.25">
      <c r="A2603" t="s">
        <v>8</v>
      </c>
      <c r="B2603" s="1">
        <v>44714</v>
      </c>
      <c r="C2603">
        <v>8.5466499999999996</v>
      </c>
    </row>
    <row r="2604" spans="1:3" x14ac:dyDescent="0.25">
      <c r="A2604" t="s">
        <v>8</v>
      </c>
      <c r="B2604" s="1">
        <v>44715</v>
      </c>
      <c r="C2604">
        <v>8.5027830000000009</v>
      </c>
    </row>
    <row r="2605" spans="1:3" x14ac:dyDescent="0.25">
      <c r="A2605" t="s">
        <v>8</v>
      </c>
      <c r="B2605" s="1">
        <v>44718</v>
      </c>
      <c r="C2605">
        <v>8.6076829999999998</v>
      </c>
    </row>
    <row r="2606" spans="1:3" x14ac:dyDescent="0.25">
      <c r="A2606" t="s">
        <v>8</v>
      </c>
      <c r="B2606" s="1">
        <v>44719</v>
      </c>
      <c r="C2606">
        <v>8.6496440000000003</v>
      </c>
    </row>
    <row r="2607" spans="1:3" x14ac:dyDescent="0.25">
      <c r="A2607" t="s">
        <v>8</v>
      </c>
      <c r="B2607" s="1">
        <v>44720</v>
      </c>
      <c r="C2607">
        <v>8.6019620000000003</v>
      </c>
    </row>
    <row r="2608" spans="1:3" x14ac:dyDescent="0.25">
      <c r="A2608" t="s">
        <v>8</v>
      </c>
      <c r="B2608" s="1">
        <v>44721</v>
      </c>
      <c r="C2608">
        <v>8.5924259999999997</v>
      </c>
    </row>
    <row r="2609" spans="1:3" x14ac:dyDescent="0.25">
      <c r="A2609" t="s">
        <v>8</v>
      </c>
      <c r="B2609" s="1">
        <v>44722</v>
      </c>
      <c r="C2609">
        <v>8.2719970000000007</v>
      </c>
    </row>
    <row r="2610" spans="1:3" x14ac:dyDescent="0.25">
      <c r="A2610" t="s">
        <v>8</v>
      </c>
      <c r="B2610" s="1">
        <v>44725</v>
      </c>
      <c r="C2610">
        <v>7.9515700000000002</v>
      </c>
    </row>
    <row r="2611" spans="1:3" x14ac:dyDescent="0.25">
      <c r="A2611" t="s">
        <v>8</v>
      </c>
      <c r="B2611" s="1">
        <v>44726</v>
      </c>
      <c r="C2611">
        <v>7.8867219999999998</v>
      </c>
    </row>
    <row r="2612" spans="1:3" x14ac:dyDescent="0.25">
      <c r="A2612" t="s">
        <v>8</v>
      </c>
      <c r="B2612" s="1">
        <v>44727</v>
      </c>
      <c r="C2612">
        <v>8.0297699999999992</v>
      </c>
    </row>
    <row r="2613" spans="1:3" x14ac:dyDescent="0.25">
      <c r="A2613" t="s">
        <v>8</v>
      </c>
      <c r="B2613" s="1">
        <v>44728</v>
      </c>
      <c r="C2613">
        <v>7.6063470000000004</v>
      </c>
    </row>
    <row r="2614" spans="1:3" x14ac:dyDescent="0.25">
      <c r="A2614" t="s">
        <v>8</v>
      </c>
      <c r="B2614" s="1">
        <v>44729</v>
      </c>
      <c r="C2614">
        <v>7.5338690000000001</v>
      </c>
    </row>
    <row r="2615" spans="1:3" x14ac:dyDescent="0.25">
      <c r="A2615" t="s">
        <v>8</v>
      </c>
      <c r="B2615" s="1">
        <v>44732</v>
      </c>
      <c r="C2615">
        <v>7.7436730000000003</v>
      </c>
    </row>
    <row r="2616" spans="1:3" x14ac:dyDescent="0.25">
      <c r="A2616" t="s">
        <v>8</v>
      </c>
      <c r="B2616" s="1">
        <v>44733</v>
      </c>
      <c r="C2616">
        <v>7.7951699999999997</v>
      </c>
    </row>
    <row r="2617" spans="1:3" x14ac:dyDescent="0.25">
      <c r="A2617" t="s">
        <v>8</v>
      </c>
      <c r="B2617" s="1">
        <v>44734</v>
      </c>
      <c r="C2617">
        <v>7.2592160000000003</v>
      </c>
    </row>
    <row r="2618" spans="1:3" x14ac:dyDescent="0.25">
      <c r="A2618" t="s">
        <v>8</v>
      </c>
      <c r="B2618" s="1">
        <v>44735</v>
      </c>
      <c r="C2618">
        <v>7.09328</v>
      </c>
    </row>
    <row r="2619" spans="1:3" x14ac:dyDescent="0.25">
      <c r="A2619" t="s">
        <v>8</v>
      </c>
      <c r="B2619" s="1">
        <v>44739</v>
      </c>
      <c r="C2619">
        <v>7.381284</v>
      </c>
    </row>
    <row r="2620" spans="1:3" x14ac:dyDescent="0.25">
      <c r="A2620" t="s">
        <v>8</v>
      </c>
      <c r="B2620" s="1">
        <v>44740</v>
      </c>
      <c r="C2620">
        <v>7.3889139999999998</v>
      </c>
    </row>
    <row r="2621" spans="1:3" x14ac:dyDescent="0.25">
      <c r="A2621" t="s">
        <v>8</v>
      </c>
      <c r="B2621" s="1">
        <v>44741</v>
      </c>
      <c r="C2621">
        <v>7.1524070000000002</v>
      </c>
    </row>
    <row r="2622" spans="1:3" x14ac:dyDescent="0.25">
      <c r="A2622" t="s">
        <v>8</v>
      </c>
      <c r="B2622" s="1">
        <v>44742</v>
      </c>
      <c r="C2622">
        <v>6.8186280000000004</v>
      </c>
    </row>
    <row r="2623" spans="1:3" x14ac:dyDescent="0.25">
      <c r="A2623" t="s">
        <v>8</v>
      </c>
      <c r="B2623" s="1">
        <v>44743</v>
      </c>
      <c r="C2623">
        <v>6.6927459999999996</v>
      </c>
    </row>
    <row r="2624" spans="1:3" x14ac:dyDescent="0.25">
      <c r="A2624" t="s">
        <v>8</v>
      </c>
      <c r="B2624" s="1">
        <v>44746</v>
      </c>
      <c r="C2624">
        <v>6.8510530000000003</v>
      </c>
    </row>
    <row r="2625" spans="1:3" x14ac:dyDescent="0.25">
      <c r="A2625" t="s">
        <v>8</v>
      </c>
      <c r="B2625" s="1">
        <v>44747</v>
      </c>
      <c r="C2625">
        <v>6.536346</v>
      </c>
    </row>
    <row r="2626" spans="1:3" x14ac:dyDescent="0.25">
      <c r="A2626" t="s">
        <v>8</v>
      </c>
      <c r="B2626" s="1">
        <v>44748</v>
      </c>
      <c r="C2626">
        <v>6.7022820000000003</v>
      </c>
    </row>
    <row r="2627" spans="1:3" x14ac:dyDescent="0.25">
      <c r="A2627" t="s">
        <v>8</v>
      </c>
      <c r="B2627" s="1">
        <v>44749</v>
      </c>
      <c r="C2627">
        <v>7.0398759999999996</v>
      </c>
    </row>
    <row r="2628" spans="1:3" x14ac:dyDescent="0.25">
      <c r="A2628" t="s">
        <v>8</v>
      </c>
      <c r="B2628" s="1">
        <v>44750</v>
      </c>
      <c r="C2628">
        <v>7.1409630000000002</v>
      </c>
    </row>
    <row r="2629" spans="1:3" x14ac:dyDescent="0.25">
      <c r="A2629" t="s">
        <v>8</v>
      </c>
      <c r="B2629" s="1">
        <v>44753</v>
      </c>
      <c r="C2629">
        <v>6.8014619999999999</v>
      </c>
    </row>
    <row r="2630" spans="1:3" x14ac:dyDescent="0.25">
      <c r="A2630" t="s">
        <v>8</v>
      </c>
      <c r="B2630" s="1">
        <v>44754</v>
      </c>
      <c r="C2630">
        <v>6.6965599999999998</v>
      </c>
    </row>
    <row r="2631" spans="1:3" x14ac:dyDescent="0.25">
      <c r="A2631" t="s">
        <v>8</v>
      </c>
      <c r="B2631" s="1">
        <v>44755</v>
      </c>
      <c r="C2631">
        <v>6.5229949999999999</v>
      </c>
    </row>
    <row r="2632" spans="1:3" x14ac:dyDescent="0.25">
      <c r="A2632" t="s">
        <v>8</v>
      </c>
      <c r="B2632" s="1">
        <v>44756</v>
      </c>
      <c r="C2632">
        <v>6.4467030000000003</v>
      </c>
    </row>
    <row r="2633" spans="1:3" x14ac:dyDescent="0.25">
      <c r="A2633" t="s">
        <v>8</v>
      </c>
      <c r="B2633" s="1">
        <v>44757</v>
      </c>
      <c r="C2633">
        <v>6.5420680000000004</v>
      </c>
    </row>
    <row r="2634" spans="1:3" x14ac:dyDescent="0.25">
      <c r="A2634" t="s">
        <v>8</v>
      </c>
      <c r="B2634" s="1">
        <v>44760</v>
      </c>
      <c r="C2634">
        <v>6.6393409999999999</v>
      </c>
    </row>
    <row r="2635" spans="1:3" x14ac:dyDescent="0.25">
      <c r="A2635" t="s">
        <v>8</v>
      </c>
      <c r="B2635" s="1">
        <v>44761</v>
      </c>
      <c r="C2635">
        <v>6.8300720000000004</v>
      </c>
    </row>
    <row r="2636" spans="1:3" x14ac:dyDescent="0.25">
      <c r="A2636" t="s">
        <v>8</v>
      </c>
      <c r="B2636" s="1">
        <v>44762</v>
      </c>
      <c r="C2636">
        <v>6.9139939999999998</v>
      </c>
    </row>
    <row r="2637" spans="1:3" x14ac:dyDescent="0.25">
      <c r="A2637" t="s">
        <v>8</v>
      </c>
      <c r="B2637" s="1">
        <v>44763</v>
      </c>
      <c r="C2637">
        <v>7.1638510000000002</v>
      </c>
    </row>
    <row r="2638" spans="1:3" x14ac:dyDescent="0.25">
      <c r="A2638" t="s">
        <v>8</v>
      </c>
      <c r="B2638" s="1">
        <v>44764</v>
      </c>
      <c r="C2638">
        <v>7.2267919999999997</v>
      </c>
    </row>
    <row r="2639" spans="1:3" x14ac:dyDescent="0.25">
      <c r="A2639" t="s">
        <v>8</v>
      </c>
      <c r="B2639" s="1">
        <v>44767</v>
      </c>
      <c r="C2639">
        <v>7.3068989999999996</v>
      </c>
    </row>
    <row r="2640" spans="1:3" x14ac:dyDescent="0.25">
      <c r="A2640" t="s">
        <v>8</v>
      </c>
      <c r="B2640" s="1">
        <v>44768</v>
      </c>
      <c r="C2640">
        <v>7.1772020000000003</v>
      </c>
    </row>
    <row r="2641" spans="1:3" x14ac:dyDescent="0.25">
      <c r="A2641" t="s">
        <v>8</v>
      </c>
      <c r="B2641" s="1">
        <v>44769</v>
      </c>
      <c r="C2641">
        <v>7.0475050000000001</v>
      </c>
    </row>
    <row r="2642" spans="1:3" x14ac:dyDescent="0.25">
      <c r="A2642" t="s">
        <v>8</v>
      </c>
      <c r="B2642" s="1">
        <v>44770</v>
      </c>
      <c r="C2642">
        <v>7.3946350000000001</v>
      </c>
    </row>
    <row r="2643" spans="1:3" x14ac:dyDescent="0.25">
      <c r="A2643" t="s">
        <v>8</v>
      </c>
      <c r="B2643" s="1">
        <v>44771</v>
      </c>
      <c r="C2643">
        <v>7.6559369999999998</v>
      </c>
    </row>
    <row r="2644" spans="1:3" x14ac:dyDescent="0.25">
      <c r="A2644" t="s">
        <v>8</v>
      </c>
      <c r="B2644" s="1">
        <v>44774</v>
      </c>
      <c r="C2644">
        <v>7.6502150000000002</v>
      </c>
    </row>
    <row r="2645" spans="1:3" x14ac:dyDescent="0.25">
      <c r="A2645" t="s">
        <v>8</v>
      </c>
      <c r="B2645" s="1">
        <v>44775</v>
      </c>
      <c r="C2645">
        <v>7.5510349999999997</v>
      </c>
    </row>
    <row r="2646" spans="1:3" x14ac:dyDescent="0.25">
      <c r="A2646" t="s">
        <v>8</v>
      </c>
      <c r="B2646" s="1">
        <v>44776</v>
      </c>
      <c r="C2646">
        <v>7.5682</v>
      </c>
    </row>
    <row r="2647" spans="1:3" x14ac:dyDescent="0.25">
      <c r="A2647" t="s">
        <v>8</v>
      </c>
      <c r="B2647" s="1">
        <v>44777</v>
      </c>
      <c r="C2647">
        <v>7.671195</v>
      </c>
    </row>
    <row r="2648" spans="1:3" x14ac:dyDescent="0.25">
      <c r="A2648" t="s">
        <v>8</v>
      </c>
      <c r="B2648" s="1">
        <v>44778</v>
      </c>
      <c r="C2648">
        <v>7.5662929999999999</v>
      </c>
    </row>
    <row r="2649" spans="1:3" x14ac:dyDescent="0.25">
      <c r="A2649" t="s">
        <v>8</v>
      </c>
      <c r="B2649" s="1">
        <v>44781</v>
      </c>
      <c r="C2649">
        <v>7.6788239999999996</v>
      </c>
    </row>
    <row r="2650" spans="1:3" x14ac:dyDescent="0.25">
      <c r="A2650" t="s">
        <v>8</v>
      </c>
      <c r="B2650" s="1">
        <v>44782</v>
      </c>
      <c r="C2650">
        <v>7.5949030000000004</v>
      </c>
    </row>
    <row r="2651" spans="1:3" x14ac:dyDescent="0.25">
      <c r="A2651" t="s">
        <v>8</v>
      </c>
      <c r="B2651" s="1">
        <v>44783</v>
      </c>
      <c r="C2651">
        <v>8.0393059999999998</v>
      </c>
    </row>
    <row r="2652" spans="1:3" x14ac:dyDescent="0.25">
      <c r="A2652" t="s">
        <v>8</v>
      </c>
      <c r="B2652" s="1">
        <v>44784</v>
      </c>
      <c r="C2652">
        <v>8.0507500000000007</v>
      </c>
    </row>
    <row r="2653" spans="1:3" x14ac:dyDescent="0.25">
      <c r="A2653" t="s">
        <v>8</v>
      </c>
      <c r="B2653" s="1">
        <v>44785</v>
      </c>
      <c r="C2653">
        <v>8.0812659999999994</v>
      </c>
    </row>
    <row r="2654" spans="1:3" x14ac:dyDescent="0.25">
      <c r="A2654" t="s">
        <v>8</v>
      </c>
      <c r="B2654" s="1">
        <v>44788</v>
      </c>
      <c r="C2654">
        <v>7.8466670000000001</v>
      </c>
    </row>
    <row r="2655" spans="1:3" x14ac:dyDescent="0.25">
      <c r="A2655" t="s">
        <v>8</v>
      </c>
      <c r="B2655" s="1">
        <v>44789</v>
      </c>
      <c r="C2655">
        <v>8.0869879999999998</v>
      </c>
    </row>
    <row r="2656" spans="1:3" x14ac:dyDescent="0.25">
      <c r="A2656" t="s">
        <v>8</v>
      </c>
      <c r="B2656" s="1">
        <v>44790</v>
      </c>
      <c r="C2656">
        <v>7.787541</v>
      </c>
    </row>
    <row r="2657" spans="1:3" x14ac:dyDescent="0.25">
      <c r="A2657" t="s">
        <v>8</v>
      </c>
      <c r="B2657" s="1">
        <v>44791</v>
      </c>
      <c r="C2657">
        <v>7.9553849999999997</v>
      </c>
    </row>
    <row r="2658" spans="1:3" x14ac:dyDescent="0.25">
      <c r="A2658" t="s">
        <v>8</v>
      </c>
      <c r="B2658" s="1">
        <v>44792</v>
      </c>
      <c r="C2658">
        <v>7.7856329999999998</v>
      </c>
    </row>
    <row r="2659" spans="1:3" x14ac:dyDescent="0.25">
      <c r="A2659" t="s">
        <v>8</v>
      </c>
      <c r="B2659" s="1">
        <v>44795</v>
      </c>
      <c r="C2659">
        <v>7.5624789999999997</v>
      </c>
    </row>
    <row r="2660" spans="1:3" x14ac:dyDescent="0.25">
      <c r="A2660" t="s">
        <v>8</v>
      </c>
      <c r="B2660" s="1">
        <v>44796</v>
      </c>
      <c r="C2660">
        <v>7.5567570000000002</v>
      </c>
    </row>
    <row r="2661" spans="1:3" x14ac:dyDescent="0.25">
      <c r="A2661" t="s">
        <v>8</v>
      </c>
      <c r="B2661" s="1">
        <v>44797</v>
      </c>
      <c r="C2661">
        <v>7.6368640000000001</v>
      </c>
    </row>
    <row r="2662" spans="1:3" x14ac:dyDescent="0.25">
      <c r="A2662" t="s">
        <v>8</v>
      </c>
      <c r="B2662" s="1">
        <v>44798</v>
      </c>
      <c r="C2662">
        <v>7.6731020000000001</v>
      </c>
    </row>
    <row r="2663" spans="1:3" x14ac:dyDescent="0.25">
      <c r="A2663" t="s">
        <v>8</v>
      </c>
      <c r="B2663" s="1">
        <v>44799</v>
      </c>
      <c r="C2663">
        <v>7.4995370000000001</v>
      </c>
    </row>
    <row r="2664" spans="1:3" x14ac:dyDescent="0.25">
      <c r="A2664" t="s">
        <v>8</v>
      </c>
      <c r="B2664" s="1">
        <v>44802</v>
      </c>
      <c r="C2664">
        <v>7.4537620000000002</v>
      </c>
    </row>
    <row r="2665" spans="1:3" x14ac:dyDescent="0.25">
      <c r="A2665" t="s">
        <v>8</v>
      </c>
      <c r="B2665" s="1">
        <v>44803</v>
      </c>
      <c r="C2665">
        <v>7.474742</v>
      </c>
    </row>
    <row r="2666" spans="1:3" x14ac:dyDescent="0.25">
      <c r="A2666" t="s">
        <v>8</v>
      </c>
      <c r="B2666" s="1">
        <v>44804</v>
      </c>
      <c r="C2666">
        <v>7.4575769999999997</v>
      </c>
    </row>
    <row r="2667" spans="1:3" x14ac:dyDescent="0.25">
      <c r="A2667" t="s">
        <v>8</v>
      </c>
      <c r="B2667" s="1">
        <v>44805</v>
      </c>
      <c r="C2667">
        <v>7.068486</v>
      </c>
    </row>
    <row r="2668" spans="1:3" x14ac:dyDescent="0.25">
      <c r="A2668" t="s">
        <v>8</v>
      </c>
      <c r="B2668" s="1">
        <v>44806</v>
      </c>
      <c r="C2668">
        <v>7.3526749999999996</v>
      </c>
    </row>
    <row r="2669" spans="1:3" x14ac:dyDescent="0.25">
      <c r="A2669" t="s">
        <v>8</v>
      </c>
      <c r="B2669" s="1">
        <v>44809</v>
      </c>
      <c r="C2669">
        <v>7.2000900000000003</v>
      </c>
    </row>
    <row r="2670" spans="1:3" x14ac:dyDescent="0.25">
      <c r="A2670" t="s">
        <v>8</v>
      </c>
      <c r="B2670" s="1">
        <v>44810</v>
      </c>
      <c r="C2670">
        <v>7.264939</v>
      </c>
    </row>
    <row r="2671" spans="1:3" x14ac:dyDescent="0.25">
      <c r="A2671" t="s">
        <v>8</v>
      </c>
      <c r="B2671" s="1">
        <v>44811</v>
      </c>
      <c r="C2671">
        <v>7.3297869999999996</v>
      </c>
    </row>
    <row r="2672" spans="1:3" x14ac:dyDescent="0.25">
      <c r="A2672" t="s">
        <v>8</v>
      </c>
      <c r="B2672" s="1">
        <v>44812</v>
      </c>
      <c r="C2672">
        <v>7.4175230000000001</v>
      </c>
    </row>
    <row r="2673" spans="1:3" x14ac:dyDescent="0.25">
      <c r="A2673" t="s">
        <v>8</v>
      </c>
      <c r="B2673" s="1">
        <v>44813</v>
      </c>
      <c r="C2673">
        <v>7.6120679999999998</v>
      </c>
    </row>
    <row r="2674" spans="1:3" x14ac:dyDescent="0.25">
      <c r="A2674" t="s">
        <v>8</v>
      </c>
      <c r="B2674" s="1">
        <v>44816</v>
      </c>
      <c r="C2674">
        <v>7.9038880000000002</v>
      </c>
    </row>
    <row r="2675" spans="1:3" x14ac:dyDescent="0.25">
      <c r="A2675" t="s">
        <v>8</v>
      </c>
      <c r="B2675" s="1">
        <v>44817</v>
      </c>
      <c r="C2675">
        <v>7.7627459999999999</v>
      </c>
    </row>
    <row r="2676" spans="1:3" x14ac:dyDescent="0.25">
      <c r="A2676" t="s">
        <v>8</v>
      </c>
      <c r="B2676" s="1">
        <v>44818</v>
      </c>
      <c r="C2676">
        <v>7.6444929999999998</v>
      </c>
    </row>
    <row r="2677" spans="1:3" x14ac:dyDescent="0.25">
      <c r="A2677" t="s">
        <v>8</v>
      </c>
      <c r="B2677" s="1">
        <v>44819</v>
      </c>
      <c r="C2677">
        <v>7.7493949999999998</v>
      </c>
    </row>
    <row r="2678" spans="1:3" x14ac:dyDescent="0.25">
      <c r="A2678" t="s">
        <v>8</v>
      </c>
      <c r="B2678" s="1">
        <v>44820</v>
      </c>
      <c r="C2678">
        <v>7.3526749999999996</v>
      </c>
    </row>
    <row r="2679" spans="1:3" x14ac:dyDescent="0.25">
      <c r="A2679" t="s">
        <v>8</v>
      </c>
      <c r="B2679" s="1">
        <v>44823</v>
      </c>
      <c r="C2679">
        <v>7.3526749999999996</v>
      </c>
    </row>
    <row r="2680" spans="1:3" x14ac:dyDescent="0.25">
      <c r="A2680" t="s">
        <v>8</v>
      </c>
      <c r="B2680" s="1">
        <v>44824</v>
      </c>
      <c r="C2680">
        <v>7.2458650000000002</v>
      </c>
    </row>
    <row r="2681" spans="1:3" x14ac:dyDescent="0.25">
      <c r="A2681" t="s">
        <v>8</v>
      </c>
      <c r="B2681" s="1">
        <v>44825</v>
      </c>
      <c r="C2681">
        <v>7.3183429999999996</v>
      </c>
    </row>
    <row r="2682" spans="1:3" x14ac:dyDescent="0.25">
      <c r="A2682" t="s">
        <v>8</v>
      </c>
      <c r="B2682" s="1">
        <v>44826</v>
      </c>
      <c r="C2682">
        <v>6.95214</v>
      </c>
    </row>
    <row r="2683" spans="1:3" x14ac:dyDescent="0.25">
      <c r="A2683" t="s">
        <v>8</v>
      </c>
      <c r="B2683" s="1">
        <v>44827</v>
      </c>
      <c r="C2683">
        <v>6.8148140000000001</v>
      </c>
    </row>
    <row r="2684" spans="1:3" x14ac:dyDescent="0.25">
      <c r="A2684" t="s">
        <v>8</v>
      </c>
      <c r="B2684" s="1">
        <v>44830</v>
      </c>
      <c r="C2684">
        <v>6.6679510000000004</v>
      </c>
    </row>
    <row r="2685" spans="1:3" x14ac:dyDescent="0.25">
      <c r="A2685" t="s">
        <v>8</v>
      </c>
      <c r="B2685" s="1">
        <v>44831</v>
      </c>
      <c r="C2685">
        <v>6.5516050000000003</v>
      </c>
    </row>
    <row r="2686" spans="1:3" x14ac:dyDescent="0.25">
      <c r="A2686" t="s">
        <v>8</v>
      </c>
      <c r="B2686" s="1">
        <v>44832</v>
      </c>
      <c r="C2686">
        <v>6.3952049999999998</v>
      </c>
    </row>
    <row r="2687" spans="1:3" x14ac:dyDescent="0.25">
      <c r="A2687" t="s">
        <v>8</v>
      </c>
      <c r="B2687" s="1">
        <v>44833</v>
      </c>
      <c r="C2687">
        <v>6.1930310000000004</v>
      </c>
    </row>
    <row r="2688" spans="1:3" x14ac:dyDescent="0.25">
      <c r="A2688" t="s">
        <v>8</v>
      </c>
      <c r="B2688" s="1">
        <v>44834</v>
      </c>
      <c r="C2688">
        <v>6.5382540000000002</v>
      </c>
    </row>
    <row r="2689" spans="1:3" x14ac:dyDescent="0.25">
      <c r="A2689" t="s">
        <v>8</v>
      </c>
      <c r="B2689" s="1">
        <v>44837</v>
      </c>
      <c r="C2689">
        <v>6.8281650000000003</v>
      </c>
    </row>
    <row r="2690" spans="1:3" x14ac:dyDescent="0.25">
      <c r="A2690" t="s">
        <v>8</v>
      </c>
      <c r="B2690" s="1">
        <v>44838</v>
      </c>
      <c r="C2690">
        <v>7.2592160000000003</v>
      </c>
    </row>
    <row r="2691" spans="1:3" x14ac:dyDescent="0.25">
      <c r="A2691" t="s">
        <v>8</v>
      </c>
      <c r="B2691" s="1">
        <v>44839</v>
      </c>
      <c r="C2691">
        <v>7.1924609999999998</v>
      </c>
    </row>
    <row r="2692" spans="1:3" x14ac:dyDescent="0.25">
      <c r="A2692" t="s">
        <v>8</v>
      </c>
      <c r="B2692" s="1">
        <v>44840</v>
      </c>
      <c r="C2692">
        <v>7.034154</v>
      </c>
    </row>
    <row r="2693" spans="1:3" x14ac:dyDescent="0.25">
      <c r="A2693" t="s">
        <v>8</v>
      </c>
      <c r="B2693" s="1">
        <v>44841</v>
      </c>
      <c r="C2693">
        <v>6.8129059999999999</v>
      </c>
    </row>
    <row r="2694" spans="1:3" x14ac:dyDescent="0.25">
      <c r="A2694" t="s">
        <v>8</v>
      </c>
      <c r="B2694" s="1">
        <v>44844</v>
      </c>
      <c r="C2694">
        <v>6.778575</v>
      </c>
    </row>
    <row r="2695" spans="1:3" x14ac:dyDescent="0.25">
      <c r="A2695" t="s">
        <v>8</v>
      </c>
      <c r="B2695" s="1">
        <v>44845</v>
      </c>
      <c r="C2695">
        <v>6.7766669999999998</v>
      </c>
    </row>
    <row r="2696" spans="1:3" x14ac:dyDescent="0.25">
      <c r="A2696" t="s">
        <v>8</v>
      </c>
      <c r="B2696" s="1">
        <v>44846</v>
      </c>
      <c r="C2696">
        <v>6.744243</v>
      </c>
    </row>
    <row r="2697" spans="1:3" x14ac:dyDescent="0.25">
      <c r="A2697" t="s">
        <v>8</v>
      </c>
      <c r="B2697" s="1">
        <v>44847</v>
      </c>
      <c r="C2697">
        <v>6.95214</v>
      </c>
    </row>
    <row r="2698" spans="1:3" x14ac:dyDescent="0.25">
      <c r="A2698" t="s">
        <v>8</v>
      </c>
      <c r="B2698" s="1">
        <v>44848</v>
      </c>
      <c r="C2698">
        <v>6.9921930000000003</v>
      </c>
    </row>
    <row r="2699" spans="1:3" x14ac:dyDescent="0.25">
      <c r="A2699" t="s">
        <v>8</v>
      </c>
      <c r="B2699" s="1">
        <v>44851</v>
      </c>
      <c r="C2699">
        <v>7.2172559999999999</v>
      </c>
    </row>
    <row r="2700" spans="1:3" x14ac:dyDescent="0.25">
      <c r="A2700" t="s">
        <v>8</v>
      </c>
      <c r="B2700" s="1">
        <v>44852</v>
      </c>
      <c r="C2700">
        <v>7.2439580000000001</v>
      </c>
    </row>
    <row r="2701" spans="1:3" x14ac:dyDescent="0.25">
      <c r="A2701" t="s">
        <v>8</v>
      </c>
      <c r="B2701" s="1">
        <v>44853</v>
      </c>
      <c r="C2701">
        <v>7.125705</v>
      </c>
    </row>
    <row r="2702" spans="1:3" x14ac:dyDescent="0.25">
      <c r="A2702" t="s">
        <v>8</v>
      </c>
      <c r="B2702" s="1">
        <v>44854</v>
      </c>
      <c r="C2702">
        <v>7.2000900000000003</v>
      </c>
    </row>
    <row r="2703" spans="1:3" x14ac:dyDescent="0.25">
      <c r="A2703" t="s">
        <v>8</v>
      </c>
      <c r="B2703" s="1">
        <v>44855</v>
      </c>
      <c r="C2703">
        <v>7.1733880000000001</v>
      </c>
    </row>
    <row r="2704" spans="1:3" x14ac:dyDescent="0.25">
      <c r="A2704" t="s">
        <v>8</v>
      </c>
      <c r="B2704" s="1">
        <v>44858</v>
      </c>
      <c r="C2704">
        <v>7.2554020000000001</v>
      </c>
    </row>
    <row r="2705" spans="1:3" x14ac:dyDescent="0.25">
      <c r="A2705" t="s">
        <v>8</v>
      </c>
      <c r="B2705" s="1">
        <v>44859</v>
      </c>
      <c r="C2705">
        <v>7.207719</v>
      </c>
    </row>
    <row r="2706" spans="1:3" x14ac:dyDescent="0.25">
      <c r="A2706" t="s">
        <v>8</v>
      </c>
      <c r="B2706" s="1">
        <v>44860</v>
      </c>
      <c r="C2706">
        <v>7.2267919999999997</v>
      </c>
    </row>
    <row r="2707" spans="1:3" x14ac:dyDescent="0.25">
      <c r="A2707" t="s">
        <v>8</v>
      </c>
      <c r="B2707" s="1">
        <v>44861</v>
      </c>
      <c r="C2707">
        <v>7.1619440000000001</v>
      </c>
    </row>
    <row r="2708" spans="1:3" x14ac:dyDescent="0.25">
      <c r="A2708" t="s">
        <v>8</v>
      </c>
      <c r="B2708" s="1">
        <v>44862</v>
      </c>
      <c r="C2708">
        <v>7.4333030000000004</v>
      </c>
    </row>
    <row r="2709" spans="1:3" x14ac:dyDescent="0.25">
      <c r="A2709" t="s">
        <v>8</v>
      </c>
      <c r="B2709" s="1">
        <v>44865</v>
      </c>
      <c r="C2709">
        <v>7.4449319999999997</v>
      </c>
    </row>
    <row r="2710" spans="1:3" x14ac:dyDescent="0.25">
      <c r="A2710" t="s">
        <v>8</v>
      </c>
      <c r="B2710" s="1">
        <v>44866</v>
      </c>
      <c r="C2710">
        <v>7.6736500000000003</v>
      </c>
    </row>
    <row r="2711" spans="1:3" x14ac:dyDescent="0.25">
      <c r="A2711" t="s">
        <v>8</v>
      </c>
      <c r="B2711" s="1">
        <v>44867</v>
      </c>
      <c r="C2711">
        <v>7.5709200000000001</v>
      </c>
    </row>
    <row r="2712" spans="1:3" x14ac:dyDescent="0.25">
      <c r="A2712" t="s">
        <v>8</v>
      </c>
      <c r="B2712" s="1">
        <v>44868</v>
      </c>
      <c r="C2712">
        <v>7.4759450000000003</v>
      </c>
    </row>
    <row r="2713" spans="1:3" x14ac:dyDescent="0.25">
      <c r="A2713" t="s">
        <v>8</v>
      </c>
      <c r="B2713" s="1">
        <v>44869</v>
      </c>
      <c r="C2713">
        <v>8.0225399999999993</v>
      </c>
    </row>
    <row r="2714" spans="1:3" x14ac:dyDescent="0.25">
      <c r="A2714" t="s">
        <v>8</v>
      </c>
      <c r="B2714" s="1">
        <v>44872</v>
      </c>
      <c r="C2714">
        <v>8.1679110000000001</v>
      </c>
    </row>
    <row r="2715" spans="1:3" x14ac:dyDescent="0.25">
      <c r="A2715" t="s">
        <v>8</v>
      </c>
      <c r="B2715" s="1">
        <v>44873</v>
      </c>
      <c r="C2715">
        <v>8.3346029999999995</v>
      </c>
    </row>
    <row r="2716" spans="1:3" x14ac:dyDescent="0.25">
      <c r="A2716" t="s">
        <v>8</v>
      </c>
      <c r="B2716" s="1">
        <v>44874</v>
      </c>
      <c r="C2716">
        <v>8.4218240000000009</v>
      </c>
    </row>
    <row r="2717" spans="1:3" x14ac:dyDescent="0.25">
      <c r="A2717" t="s">
        <v>8</v>
      </c>
      <c r="B2717" s="1">
        <v>44875</v>
      </c>
      <c r="C2717">
        <v>8.5982079999999996</v>
      </c>
    </row>
    <row r="2718" spans="1:3" x14ac:dyDescent="0.25">
      <c r="A2718" t="s">
        <v>8</v>
      </c>
      <c r="B2718" s="1">
        <v>44876</v>
      </c>
      <c r="C2718">
        <v>8.3753069999999994</v>
      </c>
    </row>
    <row r="2719" spans="1:3" x14ac:dyDescent="0.25">
      <c r="A2719" t="s">
        <v>8</v>
      </c>
      <c r="B2719" s="1">
        <v>44879</v>
      </c>
      <c r="C2719">
        <v>8.3074670000000008</v>
      </c>
    </row>
    <row r="2720" spans="1:3" x14ac:dyDescent="0.25">
      <c r="A2720" t="s">
        <v>8</v>
      </c>
      <c r="B2720" s="1">
        <v>44880</v>
      </c>
      <c r="C2720">
        <v>8.4257019999999994</v>
      </c>
    </row>
    <row r="2721" spans="1:3" x14ac:dyDescent="0.25">
      <c r="A2721" t="s">
        <v>8</v>
      </c>
      <c r="B2721" s="1">
        <v>44881</v>
      </c>
      <c r="C2721">
        <v>8.4237640000000003</v>
      </c>
    </row>
    <row r="2722" spans="1:3" x14ac:dyDescent="0.25">
      <c r="A2722" t="s">
        <v>8</v>
      </c>
      <c r="B2722" s="1">
        <v>44882</v>
      </c>
      <c r="C2722">
        <v>8.3714289999999991</v>
      </c>
    </row>
    <row r="2723" spans="1:3" x14ac:dyDescent="0.25">
      <c r="A2723" t="s">
        <v>8</v>
      </c>
      <c r="B2723" s="1">
        <v>44883</v>
      </c>
      <c r="C2723">
        <v>8.5187399999999993</v>
      </c>
    </row>
    <row r="2724" spans="1:3" x14ac:dyDescent="0.25">
      <c r="A2724" t="s">
        <v>8</v>
      </c>
      <c r="B2724" s="1">
        <v>44886</v>
      </c>
      <c r="C2724">
        <v>8.5633210000000002</v>
      </c>
    </row>
    <row r="2725" spans="1:3" x14ac:dyDescent="0.25">
      <c r="A2725" t="s">
        <v>8</v>
      </c>
      <c r="B2725" s="1">
        <v>44887</v>
      </c>
      <c r="C2725">
        <v>8.6486040000000006</v>
      </c>
    </row>
    <row r="2726" spans="1:3" x14ac:dyDescent="0.25">
      <c r="A2726" t="s">
        <v>8</v>
      </c>
      <c r="B2726" s="1">
        <v>44888</v>
      </c>
      <c r="C2726">
        <v>8.6524809999999999</v>
      </c>
    </row>
    <row r="2727" spans="1:3" x14ac:dyDescent="0.25">
      <c r="A2727" t="s">
        <v>8</v>
      </c>
      <c r="B2727" s="1">
        <v>44889</v>
      </c>
      <c r="C2727">
        <v>8.7571490000000001</v>
      </c>
    </row>
    <row r="2728" spans="1:3" x14ac:dyDescent="0.25">
      <c r="A2728" t="s">
        <v>8</v>
      </c>
      <c r="B2728" s="1">
        <v>44890</v>
      </c>
      <c r="C2728">
        <v>8.6951230000000006</v>
      </c>
    </row>
    <row r="2729" spans="1:3" x14ac:dyDescent="0.25">
      <c r="A2729" t="s">
        <v>8</v>
      </c>
      <c r="B2729" s="1">
        <v>44893</v>
      </c>
      <c r="C2729">
        <v>8.5827030000000004</v>
      </c>
    </row>
    <row r="2730" spans="1:3" x14ac:dyDescent="0.25">
      <c r="A2730" t="s">
        <v>8</v>
      </c>
      <c r="B2730" s="1">
        <v>44894</v>
      </c>
      <c r="C2730">
        <v>8.5419990000000006</v>
      </c>
    </row>
    <row r="2731" spans="1:3" x14ac:dyDescent="0.25">
      <c r="A2731" t="s">
        <v>8</v>
      </c>
      <c r="B2731" s="1">
        <v>44895</v>
      </c>
      <c r="C2731">
        <v>8.6718639999999994</v>
      </c>
    </row>
    <row r="2732" spans="1:3" x14ac:dyDescent="0.25">
      <c r="A2732" t="s">
        <v>8</v>
      </c>
      <c r="B2732" s="1">
        <v>44896</v>
      </c>
      <c r="C2732">
        <v>8.7668389999999992</v>
      </c>
    </row>
    <row r="2733" spans="1:3" x14ac:dyDescent="0.25">
      <c r="A2733" t="s">
        <v>8</v>
      </c>
      <c r="B2733" s="1">
        <v>44897</v>
      </c>
      <c r="C2733">
        <v>8.8327419999999996</v>
      </c>
    </row>
    <row r="2734" spans="1:3" x14ac:dyDescent="0.25">
      <c r="A2734" t="s">
        <v>8</v>
      </c>
      <c r="B2734" s="1">
        <v>44900</v>
      </c>
      <c r="C2734">
        <v>9.0110639999999993</v>
      </c>
    </row>
    <row r="2735" spans="1:3" x14ac:dyDescent="0.25">
      <c r="A2735" t="s">
        <v>8</v>
      </c>
      <c r="B2735" s="1">
        <v>44902</v>
      </c>
      <c r="C2735">
        <v>8.6447280000000006</v>
      </c>
    </row>
    <row r="2736" spans="1:3" x14ac:dyDescent="0.25">
      <c r="A2736" t="s">
        <v>8</v>
      </c>
      <c r="B2736" s="1">
        <v>44903</v>
      </c>
      <c r="C2736">
        <v>8.6718639999999994</v>
      </c>
    </row>
    <row r="2737" spans="1:3" x14ac:dyDescent="0.25">
      <c r="A2737" t="s">
        <v>8</v>
      </c>
      <c r="B2737" s="1">
        <v>44904</v>
      </c>
      <c r="C2737">
        <v>8.7358259999999994</v>
      </c>
    </row>
    <row r="2738" spans="1:3" x14ac:dyDescent="0.25">
      <c r="A2738" t="s">
        <v>8</v>
      </c>
      <c r="B2738" s="1">
        <v>44907</v>
      </c>
      <c r="C2738">
        <v>8.6815560000000005</v>
      </c>
    </row>
    <row r="2739" spans="1:3" x14ac:dyDescent="0.25">
      <c r="A2739" t="s">
        <v>8</v>
      </c>
      <c r="B2739" s="1">
        <v>44908</v>
      </c>
      <c r="C2739">
        <v>8.9025180000000006</v>
      </c>
    </row>
    <row r="2740" spans="1:3" x14ac:dyDescent="0.25">
      <c r="A2740" t="s">
        <v>8</v>
      </c>
      <c r="B2740" s="1">
        <v>44909</v>
      </c>
      <c r="C2740">
        <v>9.0924700000000005</v>
      </c>
    </row>
    <row r="2741" spans="1:3" x14ac:dyDescent="0.25">
      <c r="A2741" t="s">
        <v>8</v>
      </c>
      <c r="B2741" s="1">
        <v>44910</v>
      </c>
      <c r="C2741">
        <v>8.9044570000000007</v>
      </c>
    </row>
    <row r="2742" spans="1:3" x14ac:dyDescent="0.25">
      <c r="A2742" t="s">
        <v>8</v>
      </c>
      <c r="B2742" s="1">
        <v>44911</v>
      </c>
      <c r="C2742">
        <v>8.8036659999999998</v>
      </c>
    </row>
    <row r="2743" spans="1:3" x14ac:dyDescent="0.25">
      <c r="A2743" t="s">
        <v>8</v>
      </c>
      <c r="B2743" s="1">
        <v>44914</v>
      </c>
      <c r="C2743">
        <v>8.9742359999999994</v>
      </c>
    </row>
    <row r="2744" spans="1:3" x14ac:dyDescent="0.25">
      <c r="A2744" t="s">
        <v>8</v>
      </c>
      <c r="B2744" s="1">
        <v>44915</v>
      </c>
      <c r="C2744">
        <v>8.9490379999999998</v>
      </c>
    </row>
    <row r="2745" spans="1:3" x14ac:dyDescent="0.25">
      <c r="A2745" t="s">
        <v>8</v>
      </c>
      <c r="B2745" s="1">
        <v>44916</v>
      </c>
      <c r="C2745">
        <v>9.3890270000000005</v>
      </c>
    </row>
    <row r="2746" spans="1:3" x14ac:dyDescent="0.25">
      <c r="A2746" t="s">
        <v>8</v>
      </c>
      <c r="B2746" s="1">
        <v>44917</v>
      </c>
      <c r="C2746">
        <v>9.1641860000000008</v>
      </c>
    </row>
    <row r="2747" spans="1:3" x14ac:dyDescent="0.25">
      <c r="A2747" t="s">
        <v>8</v>
      </c>
      <c r="B2747" s="1">
        <v>44918</v>
      </c>
      <c r="C2747">
        <v>9.3308789999999995</v>
      </c>
    </row>
    <row r="2748" spans="1:3" x14ac:dyDescent="0.25">
      <c r="A2748" t="s">
        <v>8</v>
      </c>
      <c r="B2748" s="1">
        <v>44922</v>
      </c>
      <c r="C2748">
        <v>9.4452370000000005</v>
      </c>
    </row>
    <row r="2749" spans="1:3" x14ac:dyDescent="0.25">
      <c r="A2749" t="s">
        <v>8</v>
      </c>
      <c r="B2749" s="1">
        <v>44923</v>
      </c>
      <c r="C2749">
        <v>9.3386320000000005</v>
      </c>
    </row>
    <row r="2750" spans="1:3" x14ac:dyDescent="0.25">
      <c r="A2750" t="s">
        <v>8</v>
      </c>
      <c r="B2750" s="1">
        <v>44924</v>
      </c>
      <c r="C2750">
        <v>9.4316700000000004</v>
      </c>
    </row>
    <row r="2751" spans="1:3" x14ac:dyDescent="0.25">
      <c r="A2751" t="s">
        <v>8</v>
      </c>
      <c r="B2751" s="1">
        <v>44925</v>
      </c>
      <c r="C2751">
        <v>9.3153729999999992</v>
      </c>
    </row>
    <row r="2752" spans="1:3" x14ac:dyDescent="0.25">
      <c r="A2752" t="s">
        <v>8</v>
      </c>
      <c r="B2752" s="1">
        <v>44928</v>
      </c>
      <c r="C2752">
        <v>9.4898179999999996</v>
      </c>
    </row>
    <row r="2753" spans="1:3" x14ac:dyDescent="0.25">
      <c r="A2753" t="s">
        <v>8</v>
      </c>
      <c r="B2753" s="1">
        <v>44929</v>
      </c>
      <c r="C2753">
        <v>9.3929039999999997</v>
      </c>
    </row>
    <row r="2754" spans="1:3" x14ac:dyDescent="0.25">
      <c r="A2754" t="s">
        <v>8</v>
      </c>
      <c r="B2754" s="1">
        <v>44930</v>
      </c>
      <c r="C2754">
        <v>9.4859410000000004</v>
      </c>
    </row>
    <row r="2755" spans="1:3" x14ac:dyDescent="0.25">
      <c r="A2755" t="s">
        <v>8</v>
      </c>
      <c r="B2755" s="1">
        <v>44931</v>
      </c>
      <c r="C2755">
        <v>9.6235590000000002</v>
      </c>
    </row>
    <row r="2756" spans="1:3" x14ac:dyDescent="0.25">
      <c r="A2756" t="s">
        <v>8</v>
      </c>
      <c r="B2756" s="1">
        <v>44935</v>
      </c>
      <c r="C2756">
        <v>9.9821410000000004</v>
      </c>
    </row>
    <row r="2757" spans="1:3" x14ac:dyDescent="0.25">
      <c r="A2757" t="s">
        <v>8</v>
      </c>
      <c r="B2757" s="1">
        <v>44936</v>
      </c>
      <c r="C2757">
        <v>9.8949180000000005</v>
      </c>
    </row>
    <row r="2758" spans="1:3" x14ac:dyDescent="0.25">
      <c r="A2758" t="s">
        <v>8</v>
      </c>
      <c r="B2758" s="1">
        <v>44937</v>
      </c>
      <c r="C2758">
        <v>9.6913990000000005</v>
      </c>
    </row>
    <row r="2759" spans="1:3" x14ac:dyDescent="0.25">
      <c r="A2759" t="s">
        <v>8</v>
      </c>
      <c r="B2759" s="1">
        <v>44938</v>
      </c>
      <c r="C2759">
        <v>9.8222330000000007</v>
      </c>
    </row>
    <row r="2760" spans="1:3" x14ac:dyDescent="0.25">
      <c r="A2760" t="s">
        <v>8</v>
      </c>
      <c r="B2760" s="1">
        <v>44939</v>
      </c>
      <c r="C2760">
        <v>9.9482210000000002</v>
      </c>
    </row>
    <row r="2761" spans="1:3" x14ac:dyDescent="0.25">
      <c r="A2761" t="s">
        <v>8</v>
      </c>
      <c r="B2761" s="1">
        <v>44942</v>
      </c>
      <c r="C2761">
        <v>10.030599</v>
      </c>
    </row>
    <row r="2762" spans="1:3" x14ac:dyDescent="0.25">
      <c r="A2762" t="s">
        <v>8</v>
      </c>
      <c r="B2762" s="1">
        <v>44943</v>
      </c>
      <c r="C2762">
        <v>9.9094560000000005</v>
      </c>
    </row>
    <row r="2763" spans="1:3" x14ac:dyDescent="0.25">
      <c r="A2763" t="s">
        <v>8</v>
      </c>
      <c r="B2763" s="1">
        <v>44944</v>
      </c>
      <c r="C2763">
        <v>10.171124000000001</v>
      </c>
    </row>
    <row r="2764" spans="1:3" x14ac:dyDescent="0.25">
      <c r="A2764" t="s">
        <v>8</v>
      </c>
      <c r="B2764" s="1">
        <v>44945</v>
      </c>
      <c r="C2764">
        <v>9.8755349999999993</v>
      </c>
    </row>
    <row r="2765" spans="1:3" x14ac:dyDescent="0.25">
      <c r="A2765" t="s">
        <v>8</v>
      </c>
      <c r="B2765" s="1">
        <v>44946</v>
      </c>
      <c r="C2765">
        <v>10.127511</v>
      </c>
    </row>
    <row r="2766" spans="1:3" x14ac:dyDescent="0.25">
      <c r="A2766" t="s">
        <v>8</v>
      </c>
      <c r="B2766" s="1">
        <v>44949</v>
      </c>
      <c r="C2766">
        <v>10.200196</v>
      </c>
    </row>
    <row r="2767" spans="1:3" x14ac:dyDescent="0.25">
      <c r="A2767" t="s">
        <v>8</v>
      </c>
      <c r="B2767" s="1">
        <v>44950</v>
      </c>
      <c r="C2767">
        <v>10.142049</v>
      </c>
    </row>
    <row r="2768" spans="1:3" x14ac:dyDescent="0.25">
      <c r="A2768" t="s">
        <v>8</v>
      </c>
      <c r="B2768" s="1">
        <v>44951</v>
      </c>
      <c r="C2768">
        <v>10.171124000000001</v>
      </c>
    </row>
    <row r="2769" spans="1:3" x14ac:dyDescent="0.25">
      <c r="A2769" t="s">
        <v>8</v>
      </c>
      <c r="B2769" s="1">
        <v>44952</v>
      </c>
      <c r="C2769">
        <v>10.020906</v>
      </c>
    </row>
    <row r="2770" spans="1:3" x14ac:dyDescent="0.25">
      <c r="A2770" t="s">
        <v>8</v>
      </c>
      <c r="B2770" s="1">
        <v>44953</v>
      </c>
      <c r="C2770">
        <v>10.360106</v>
      </c>
    </row>
    <row r="2771" spans="1:3" x14ac:dyDescent="0.25">
      <c r="A2771" t="s">
        <v>8</v>
      </c>
      <c r="B2771" s="1">
        <v>44956</v>
      </c>
      <c r="C2771">
        <v>10.253500000000001</v>
      </c>
    </row>
    <row r="2772" spans="1:3" x14ac:dyDescent="0.25">
      <c r="A2772" t="s">
        <v>8</v>
      </c>
      <c r="B2772" s="1">
        <v>44957</v>
      </c>
      <c r="C2772">
        <v>10.190505999999999</v>
      </c>
    </row>
    <row r="2773" spans="1:3" x14ac:dyDescent="0.25">
      <c r="A2773" t="s">
        <v>8</v>
      </c>
      <c r="B2773" s="1">
        <v>44958</v>
      </c>
      <c r="C2773">
        <v>10.142049</v>
      </c>
    </row>
    <row r="2774" spans="1:3" x14ac:dyDescent="0.25">
      <c r="A2774" t="s">
        <v>8</v>
      </c>
      <c r="B2774" s="1">
        <v>44959</v>
      </c>
      <c r="C2774">
        <v>10.384334000000001</v>
      </c>
    </row>
    <row r="2775" spans="1:3" x14ac:dyDescent="0.25">
      <c r="A2775" t="s">
        <v>8</v>
      </c>
      <c r="B2775" s="1">
        <v>44960</v>
      </c>
      <c r="C2775">
        <v>10.461864</v>
      </c>
    </row>
    <row r="2776" spans="1:3" x14ac:dyDescent="0.25">
      <c r="A2776" t="s">
        <v>8</v>
      </c>
      <c r="B2776" s="1">
        <v>44963</v>
      </c>
      <c r="C2776">
        <v>10.234118</v>
      </c>
    </row>
    <row r="2777" spans="1:3" x14ac:dyDescent="0.25">
      <c r="A2777" t="s">
        <v>8</v>
      </c>
      <c r="B2777" s="1">
        <v>44964</v>
      </c>
      <c r="C2777">
        <v>10.142049</v>
      </c>
    </row>
    <row r="2778" spans="1:3" x14ac:dyDescent="0.25">
      <c r="A2778" t="s">
        <v>8</v>
      </c>
      <c r="B2778" s="1">
        <v>44965</v>
      </c>
      <c r="C2778">
        <v>10.093591999999999</v>
      </c>
    </row>
    <row r="2779" spans="1:3" x14ac:dyDescent="0.25">
      <c r="A2779" t="s">
        <v>8</v>
      </c>
      <c r="B2779" s="1">
        <v>44966</v>
      </c>
      <c r="C2779">
        <v>10.132358</v>
      </c>
    </row>
    <row r="2780" spans="1:3" x14ac:dyDescent="0.25">
      <c r="A2780" t="s">
        <v>8</v>
      </c>
      <c r="B2780" s="1">
        <v>44967</v>
      </c>
      <c r="C2780">
        <v>10.016061000000001</v>
      </c>
    </row>
    <row r="2781" spans="1:3" x14ac:dyDescent="0.25">
      <c r="A2781" t="s">
        <v>8</v>
      </c>
      <c r="B2781" s="1">
        <v>44970</v>
      </c>
      <c r="C2781">
        <v>10.0839</v>
      </c>
    </row>
    <row r="2782" spans="1:3" x14ac:dyDescent="0.25">
      <c r="A2782" t="s">
        <v>8</v>
      </c>
      <c r="B2782" s="1">
        <v>44971</v>
      </c>
      <c r="C2782">
        <v>10.093591999999999</v>
      </c>
    </row>
    <row r="2783" spans="1:3" x14ac:dyDescent="0.25">
      <c r="A2783" t="s">
        <v>8</v>
      </c>
      <c r="B2783" s="1">
        <v>44972</v>
      </c>
      <c r="C2783">
        <v>10.248652999999999</v>
      </c>
    </row>
    <row r="2784" spans="1:3" x14ac:dyDescent="0.25">
      <c r="A2784" t="s">
        <v>8</v>
      </c>
      <c r="B2784" s="1">
        <v>44973</v>
      </c>
      <c r="C2784">
        <v>10.253500000000001</v>
      </c>
    </row>
    <row r="2785" spans="1:3" x14ac:dyDescent="0.25">
      <c r="A2785" t="s">
        <v>8</v>
      </c>
      <c r="B2785" s="1">
        <v>44974</v>
      </c>
      <c r="C2785">
        <v>9.9239920000000001</v>
      </c>
    </row>
    <row r="2786" spans="1:3" x14ac:dyDescent="0.25">
      <c r="A2786" t="s">
        <v>8</v>
      </c>
      <c r="B2786" s="1">
        <v>44977</v>
      </c>
      <c r="C2786">
        <v>10.025752000000001</v>
      </c>
    </row>
    <row r="2787" spans="1:3" x14ac:dyDescent="0.25">
      <c r="A2787" t="s">
        <v>8</v>
      </c>
      <c r="B2787" s="1">
        <v>44978</v>
      </c>
      <c r="C2787">
        <v>10.006368999999999</v>
      </c>
    </row>
    <row r="2788" spans="1:3" x14ac:dyDescent="0.25">
      <c r="A2788" t="s">
        <v>8</v>
      </c>
      <c r="B2788" s="1">
        <v>44979</v>
      </c>
      <c r="C2788">
        <v>9.8125409999999995</v>
      </c>
    </row>
    <row r="2789" spans="1:3" x14ac:dyDescent="0.25">
      <c r="A2789" t="s">
        <v>8</v>
      </c>
      <c r="B2789" s="1">
        <v>44980</v>
      </c>
      <c r="C2789">
        <v>9.8125409999999995</v>
      </c>
    </row>
    <row r="2790" spans="1:3" x14ac:dyDescent="0.25">
      <c r="A2790" t="s">
        <v>8</v>
      </c>
      <c r="B2790" s="1">
        <v>44981</v>
      </c>
      <c r="C2790">
        <v>9.7737759999999998</v>
      </c>
    </row>
    <row r="2791" spans="1:3" x14ac:dyDescent="0.25">
      <c r="A2791" t="s">
        <v>8</v>
      </c>
      <c r="B2791" s="1">
        <v>44984</v>
      </c>
      <c r="C2791">
        <v>9.6506959999999999</v>
      </c>
    </row>
    <row r="2792" spans="1:3" x14ac:dyDescent="0.25">
      <c r="A2792" t="s">
        <v>8</v>
      </c>
      <c r="B2792" s="1">
        <v>44985</v>
      </c>
      <c r="C2792">
        <v>9.7689299999999992</v>
      </c>
    </row>
    <row r="2793" spans="1:3" x14ac:dyDescent="0.25">
      <c r="A2793" t="s">
        <v>8</v>
      </c>
      <c r="B2793" s="1">
        <v>44986</v>
      </c>
      <c r="C2793">
        <v>9.7350100000000008</v>
      </c>
    </row>
    <row r="2794" spans="1:3" x14ac:dyDescent="0.25">
      <c r="A2794" t="s">
        <v>8</v>
      </c>
      <c r="B2794" s="1">
        <v>44987</v>
      </c>
      <c r="C2794">
        <v>9.668139</v>
      </c>
    </row>
    <row r="2795" spans="1:3" x14ac:dyDescent="0.25">
      <c r="A2795" t="s">
        <v>8</v>
      </c>
      <c r="B2795" s="1">
        <v>44988</v>
      </c>
      <c r="C2795">
        <v>9.9724489999999992</v>
      </c>
    </row>
    <row r="2796" spans="1:3" x14ac:dyDescent="0.25">
      <c r="A2796" t="s">
        <v>8</v>
      </c>
      <c r="B2796" s="1">
        <v>44991</v>
      </c>
      <c r="C2796">
        <v>10.020906</v>
      </c>
    </row>
    <row r="2797" spans="1:3" x14ac:dyDescent="0.25">
      <c r="A2797" t="s">
        <v>8</v>
      </c>
      <c r="B2797" s="1">
        <v>44992</v>
      </c>
      <c r="C2797">
        <v>9.8997639999999993</v>
      </c>
    </row>
    <row r="2798" spans="1:3" x14ac:dyDescent="0.25">
      <c r="A2798" t="s">
        <v>8</v>
      </c>
      <c r="B2798" s="1">
        <v>44993</v>
      </c>
      <c r="C2798">
        <v>9.8658439999999992</v>
      </c>
    </row>
    <row r="2799" spans="1:3" x14ac:dyDescent="0.25">
      <c r="A2799" t="s">
        <v>8</v>
      </c>
      <c r="B2799" s="1">
        <v>44994</v>
      </c>
      <c r="C2799">
        <v>9.6254980000000003</v>
      </c>
    </row>
    <row r="2800" spans="1:3" x14ac:dyDescent="0.25">
      <c r="A2800" t="s">
        <v>8</v>
      </c>
      <c r="B2800" s="1">
        <v>44995</v>
      </c>
      <c r="C2800">
        <v>9.4142250000000001</v>
      </c>
    </row>
    <row r="2801" spans="1:3" x14ac:dyDescent="0.25">
      <c r="A2801" t="s">
        <v>8</v>
      </c>
      <c r="B2801" s="1">
        <v>44998</v>
      </c>
      <c r="C2801">
        <v>9.1370520000000006</v>
      </c>
    </row>
    <row r="2802" spans="1:3" x14ac:dyDescent="0.25">
      <c r="A2802" t="s">
        <v>8</v>
      </c>
      <c r="B2802" s="1">
        <v>44999</v>
      </c>
      <c r="C2802">
        <v>9.3463849999999997</v>
      </c>
    </row>
    <row r="2803" spans="1:3" x14ac:dyDescent="0.25">
      <c r="A2803" t="s">
        <v>8</v>
      </c>
      <c r="B2803" s="1">
        <v>45000</v>
      </c>
      <c r="C2803">
        <v>8.7164439999999992</v>
      </c>
    </row>
    <row r="2804" spans="1:3" x14ac:dyDescent="0.25">
      <c r="A2804" t="s">
        <v>8</v>
      </c>
      <c r="B2804" s="1">
        <v>45001</v>
      </c>
      <c r="C2804">
        <v>8.9063949999999998</v>
      </c>
    </row>
    <row r="2805" spans="1:3" x14ac:dyDescent="0.25">
      <c r="A2805" t="s">
        <v>8</v>
      </c>
      <c r="B2805" s="1">
        <v>45002</v>
      </c>
      <c r="C2805">
        <v>8.8928279999999997</v>
      </c>
    </row>
    <row r="2806" spans="1:3" x14ac:dyDescent="0.25">
      <c r="A2806" t="s">
        <v>8</v>
      </c>
      <c r="B2806" s="1">
        <v>45005</v>
      </c>
      <c r="C2806">
        <v>8.9781110000000002</v>
      </c>
    </row>
    <row r="2807" spans="1:3" x14ac:dyDescent="0.25">
      <c r="A2807" t="s">
        <v>8</v>
      </c>
      <c r="B2807" s="1">
        <v>45006</v>
      </c>
      <c r="C2807">
        <v>9.2669149999999991</v>
      </c>
    </row>
    <row r="2808" spans="1:3" x14ac:dyDescent="0.25">
      <c r="A2808" t="s">
        <v>8</v>
      </c>
      <c r="B2808" s="1">
        <v>45007</v>
      </c>
      <c r="C2808">
        <v>9.2804839999999995</v>
      </c>
    </row>
    <row r="2809" spans="1:3" x14ac:dyDescent="0.25">
      <c r="A2809" t="s">
        <v>8</v>
      </c>
      <c r="B2809" s="1">
        <v>45008</v>
      </c>
      <c r="C2809">
        <v>9.2242730000000002</v>
      </c>
    </row>
    <row r="2810" spans="1:3" x14ac:dyDescent="0.25">
      <c r="A2810" t="s">
        <v>8</v>
      </c>
      <c r="B2810" s="1">
        <v>45009</v>
      </c>
      <c r="C2810">
        <v>8.8463089999999998</v>
      </c>
    </row>
    <row r="2811" spans="1:3" x14ac:dyDescent="0.25">
      <c r="A2811" t="s">
        <v>8</v>
      </c>
      <c r="B2811" s="1">
        <v>45012</v>
      </c>
      <c r="C2811">
        <v>8.9490379999999998</v>
      </c>
    </row>
    <row r="2812" spans="1:3" x14ac:dyDescent="0.25">
      <c r="A2812" t="s">
        <v>8</v>
      </c>
      <c r="B2812" s="1">
        <v>45013</v>
      </c>
      <c r="C2812">
        <v>9.1331740000000003</v>
      </c>
    </row>
    <row r="2813" spans="1:3" x14ac:dyDescent="0.25">
      <c r="A2813" t="s">
        <v>8</v>
      </c>
      <c r="B2813" s="1">
        <v>45014</v>
      </c>
      <c r="C2813">
        <v>9.4064720000000008</v>
      </c>
    </row>
    <row r="2814" spans="1:3" x14ac:dyDescent="0.25">
      <c r="A2814" t="s">
        <v>8</v>
      </c>
      <c r="B2814" s="1">
        <v>45015</v>
      </c>
      <c r="C2814">
        <v>9.6216209999999993</v>
      </c>
    </row>
    <row r="2815" spans="1:3" x14ac:dyDescent="0.25">
      <c r="A2815" t="s">
        <v>8</v>
      </c>
      <c r="B2815" s="1">
        <v>45016</v>
      </c>
      <c r="C2815">
        <v>9.7301640000000003</v>
      </c>
    </row>
    <row r="2816" spans="1:3" x14ac:dyDescent="0.25">
      <c r="A2816" t="s">
        <v>8</v>
      </c>
      <c r="B2816" s="1">
        <v>45019</v>
      </c>
      <c r="C2816">
        <v>9.6545719999999999</v>
      </c>
    </row>
    <row r="2817" spans="1:3" x14ac:dyDescent="0.25">
      <c r="A2817" t="s">
        <v>8</v>
      </c>
      <c r="B2817" s="1">
        <v>45020</v>
      </c>
      <c r="C2817">
        <v>9.7447009999999992</v>
      </c>
    </row>
    <row r="2818" spans="1:3" x14ac:dyDescent="0.25">
      <c r="A2818" t="s">
        <v>8</v>
      </c>
      <c r="B2818" s="1">
        <v>45021</v>
      </c>
      <c r="C2818">
        <v>9.6962449999999993</v>
      </c>
    </row>
    <row r="2819" spans="1:3" x14ac:dyDescent="0.25">
      <c r="A2819" t="s">
        <v>8</v>
      </c>
      <c r="B2819" s="1">
        <v>45022</v>
      </c>
      <c r="C2819">
        <v>9.7398559999999996</v>
      </c>
    </row>
    <row r="2820" spans="1:3" x14ac:dyDescent="0.25">
      <c r="A2820" t="s">
        <v>8</v>
      </c>
      <c r="B2820" s="1">
        <v>45027</v>
      </c>
      <c r="C2820">
        <v>9.9046099999999999</v>
      </c>
    </row>
    <row r="2821" spans="1:3" x14ac:dyDescent="0.25">
      <c r="A2821" t="s">
        <v>8</v>
      </c>
      <c r="B2821" s="1">
        <v>45028</v>
      </c>
      <c r="C2821">
        <v>10.0839</v>
      </c>
    </row>
    <row r="2822" spans="1:3" x14ac:dyDescent="0.25">
      <c r="A2822" t="s">
        <v>8</v>
      </c>
      <c r="B2822" s="1">
        <v>45029</v>
      </c>
      <c r="C2822">
        <v>10.122665</v>
      </c>
    </row>
    <row r="2823" spans="1:3" x14ac:dyDescent="0.25">
      <c r="A2823" t="s">
        <v>8</v>
      </c>
      <c r="B2823" s="1">
        <v>45030</v>
      </c>
      <c r="C2823">
        <v>10.282574</v>
      </c>
    </row>
    <row r="2824" spans="1:3" x14ac:dyDescent="0.25">
      <c r="A2824" t="s">
        <v>8</v>
      </c>
      <c r="B2824" s="1">
        <v>45033</v>
      </c>
      <c r="C2824">
        <v>10.447328000000001</v>
      </c>
    </row>
    <row r="2825" spans="1:3" x14ac:dyDescent="0.25">
      <c r="A2825" t="s">
        <v>8</v>
      </c>
      <c r="B2825" s="1">
        <v>45034</v>
      </c>
      <c r="C2825">
        <v>10.413408</v>
      </c>
    </row>
    <row r="2826" spans="1:3" x14ac:dyDescent="0.25">
      <c r="A2826" t="s">
        <v>8</v>
      </c>
      <c r="B2826" s="1">
        <v>45035</v>
      </c>
      <c r="C2826">
        <v>10.384334000000001</v>
      </c>
    </row>
    <row r="2827" spans="1:3" x14ac:dyDescent="0.25">
      <c r="A2827" t="s">
        <v>8</v>
      </c>
      <c r="B2827" s="1">
        <v>45036</v>
      </c>
      <c r="C2827">
        <v>10.461864</v>
      </c>
    </row>
    <row r="2828" spans="1:3" x14ac:dyDescent="0.25">
      <c r="A2828" t="s">
        <v>8</v>
      </c>
      <c r="B2828" s="1">
        <v>45037</v>
      </c>
      <c r="C2828">
        <v>10.209887999999999</v>
      </c>
    </row>
    <row r="2829" spans="1:3" x14ac:dyDescent="0.25">
      <c r="A2829" t="s">
        <v>8</v>
      </c>
      <c r="B2829" s="1">
        <v>45040</v>
      </c>
      <c r="C2829">
        <v>10.146894</v>
      </c>
    </row>
    <row r="2830" spans="1:3" x14ac:dyDescent="0.25">
      <c r="A2830" t="s">
        <v>8</v>
      </c>
      <c r="B2830" s="1">
        <v>45041</v>
      </c>
      <c r="C2830">
        <v>10.011215</v>
      </c>
    </row>
    <row r="2831" spans="1:3" x14ac:dyDescent="0.25">
      <c r="A2831" t="s">
        <v>8</v>
      </c>
      <c r="B2831" s="1">
        <v>45042</v>
      </c>
      <c r="C2831">
        <v>9.8609980000000004</v>
      </c>
    </row>
    <row r="2832" spans="1:3" x14ac:dyDescent="0.25">
      <c r="A2832" t="s">
        <v>8</v>
      </c>
      <c r="B2832" s="1">
        <v>45043</v>
      </c>
      <c r="C2832">
        <v>9.8997639999999993</v>
      </c>
    </row>
    <row r="2833" spans="1:3" x14ac:dyDescent="0.25">
      <c r="A2833" t="s">
        <v>8</v>
      </c>
      <c r="B2833" s="1">
        <v>45044</v>
      </c>
      <c r="C2833">
        <v>9.6913990000000005</v>
      </c>
    </row>
    <row r="2834" spans="1:3" x14ac:dyDescent="0.25">
      <c r="A2834" t="s">
        <v>8</v>
      </c>
      <c r="B2834" s="1">
        <v>45048</v>
      </c>
      <c r="C2834">
        <v>9.5906090000000006</v>
      </c>
    </row>
    <row r="2835" spans="1:3" x14ac:dyDescent="0.25">
      <c r="A2835" t="s">
        <v>8</v>
      </c>
      <c r="B2835" s="1">
        <v>45049</v>
      </c>
      <c r="C2835">
        <v>10.253500000000001</v>
      </c>
    </row>
    <row r="2836" spans="1:3" x14ac:dyDescent="0.25">
      <c r="A2836" t="s">
        <v>8</v>
      </c>
      <c r="B2836" s="1">
        <v>45050</v>
      </c>
      <c r="C2836">
        <v>10.400962</v>
      </c>
    </row>
    <row r="2837" spans="1:3" x14ac:dyDescent="0.25">
      <c r="A2837" t="s">
        <v>8</v>
      </c>
      <c r="B2837" s="1">
        <v>45051</v>
      </c>
      <c r="C2837">
        <v>10.32723</v>
      </c>
    </row>
    <row r="2838" spans="1:3" x14ac:dyDescent="0.25">
      <c r="A2838" t="s">
        <v>8</v>
      </c>
      <c r="B2838" s="1">
        <v>45054</v>
      </c>
      <c r="C2838">
        <v>10.602492</v>
      </c>
    </row>
    <row r="2839" spans="1:3" x14ac:dyDescent="0.25">
      <c r="A2839" t="s">
        <v>8</v>
      </c>
      <c r="B2839" s="1">
        <v>45055</v>
      </c>
      <c r="C2839">
        <v>10.518929999999999</v>
      </c>
    </row>
    <row r="2840" spans="1:3" x14ac:dyDescent="0.25">
      <c r="A2840" t="s">
        <v>8</v>
      </c>
      <c r="B2840" s="1">
        <v>45056</v>
      </c>
      <c r="C2840">
        <v>10.489439000000001</v>
      </c>
    </row>
    <row r="2841" spans="1:3" x14ac:dyDescent="0.25">
      <c r="A2841" t="s">
        <v>8</v>
      </c>
      <c r="B2841" s="1">
        <v>45057</v>
      </c>
      <c r="C2841">
        <v>10.405877</v>
      </c>
    </row>
    <row r="2842" spans="1:3" x14ac:dyDescent="0.25">
      <c r="A2842" t="s">
        <v>8</v>
      </c>
      <c r="B2842" s="1">
        <v>45058</v>
      </c>
      <c r="C2842">
        <v>10.494354</v>
      </c>
    </row>
    <row r="2843" spans="1:3" x14ac:dyDescent="0.25">
      <c r="A2843" t="s">
        <v>8</v>
      </c>
      <c r="B2843" s="1">
        <v>45061</v>
      </c>
      <c r="C2843">
        <v>10.627069000000001</v>
      </c>
    </row>
    <row r="2844" spans="1:3" x14ac:dyDescent="0.25">
      <c r="A2844" t="s">
        <v>8</v>
      </c>
      <c r="B2844" s="1">
        <v>45062</v>
      </c>
      <c r="C2844">
        <v>10.337062</v>
      </c>
    </row>
    <row r="2845" spans="1:3" x14ac:dyDescent="0.25">
      <c r="A2845" t="s">
        <v>8</v>
      </c>
      <c r="B2845" s="1">
        <v>45063</v>
      </c>
      <c r="C2845">
        <v>10.337062</v>
      </c>
    </row>
    <row r="2846" spans="1:3" x14ac:dyDescent="0.25">
      <c r="A2846" t="s">
        <v>8</v>
      </c>
      <c r="B2846" s="1">
        <v>45065</v>
      </c>
      <c r="C2846">
        <v>10.700799999999999</v>
      </c>
    </row>
    <row r="2847" spans="1:3" x14ac:dyDescent="0.25">
      <c r="A2847" t="s">
        <v>8</v>
      </c>
      <c r="B2847" s="1">
        <v>45068</v>
      </c>
      <c r="C2847">
        <v>10.64673</v>
      </c>
    </row>
    <row r="2848" spans="1:3" x14ac:dyDescent="0.25">
      <c r="A2848" t="s">
        <v>8</v>
      </c>
      <c r="B2848" s="1">
        <v>45069</v>
      </c>
      <c r="C2848">
        <v>10.282992</v>
      </c>
    </row>
    <row r="2849" spans="1:3" x14ac:dyDescent="0.25">
      <c r="A2849" t="s">
        <v>8</v>
      </c>
      <c r="B2849" s="1">
        <v>45070</v>
      </c>
      <c r="C2849">
        <v>10.051970000000001</v>
      </c>
    </row>
    <row r="2850" spans="1:3" x14ac:dyDescent="0.25">
      <c r="A2850" t="s">
        <v>8</v>
      </c>
      <c r="B2850" s="1">
        <v>45071</v>
      </c>
      <c r="C2850">
        <v>9.783588</v>
      </c>
    </row>
    <row r="2851" spans="1:3" x14ac:dyDescent="0.25">
      <c r="A2851" t="s">
        <v>8</v>
      </c>
      <c r="B2851" s="1">
        <v>45072</v>
      </c>
      <c r="C2851">
        <v>10.00773</v>
      </c>
    </row>
    <row r="2852" spans="1:3" x14ac:dyDescent="0.25">
      <c r="A2852" t="s">
        <v>8</v>
      </c>
      <c r="B2852" s="1">
        <v>45075</v>
      </c>
      <c r="C2852">
        <v>9.9634920000000005</v>
      </c>
    </row>
    <row r="2853" spans="1:3" x14ac:dyDescent="0.25">
      <c r="A2853" t="s">
        <v>8</v>
      </c>
      <c r="B2853" s="1">
        <v>45076</v>
      </c>
      <c r="C2853">
        <v>9.9978999999999996</v>
      </c>
    </row>
    <row r="2854" spans="1:3" x14ac:dyDescent="0.25">
      <c r="A2854" t="s">
        <v>8</v>
      </c>
      <c r="B2854" s="1">
        <v>45077</v>
      </c>
      <c r="C2854">
        <v>10.061799000000001</v>
      </c>
    </row>
    <row r="2855" spans="1:3" x14ac:dyDescent="0.25">
      <c r="A2855" t="s">
        <v>8</v>
      </c>
      <c r="B2855" s="1">
        <v>45078</v>
      </c>
      <c r="C2855">
        <v>10.027391</v>
      </c>
    </row>
    <row r="2856" spans="1:3" x14ac:dyDescent="0.25">
      <c r="A2856" t="s">
        <v>8</v>
      </c>
      <c r="B2856" s="1">
        <v>45079</v>
      </c>
      <c r="C2856">
        <v>10.4452</v>
      </c>
    </row>
    <row r="2857" spans="1:3" x14ac:dyDescent="0.25">
      <c r="A2857" t="s">
        <v>8</v>
      </c>
      <c r="B2857" s="1">
        <v>45082</v>
      </c>
      <c r="C2857">
        <v>10.5091</v>
      </c>
    </row>
    <row r="2858" spans="1:3" x14ac:dyDescent="0.25">
      <c r="A2858" t="s">
        <v>8</v>
      </c>
      <c r="B2858" s="1">
        <v>45083</v>
      </c>
      <c r="C2858">
        <v>10.553338</v>
      </c>
    </row>
    <row r="2859" spans="1:3" x14ac:dyDescent="0.25">
      <c r="A2859" t="s">
        <v>8</v>
      </c>
      <c r="B2859" s="1">
        <v>45084</v>
      </c>
      <c r="C2859">
        <v>10.636900000000001</v>
      </c>
    </row>
    <row r="2860" spans="1:3" x14ac:dyDescent="0.25">
      <c r="A2860" t="s">
        <v>8</v>
      </c>
      <c r="B2860" s="1">
        <v>45085</v>
      </c>
      <c r="C2860">
        <v>10.715546</v>
      </c>
    </row>
    <row r="2861" spans="1:3" x14ac:dyDescent="0.25">
      <c r="A2861" t="s">
        <v>8</v>
      </c>
      <c r="B2861" s="1">
        <v>45086</v>
      </c>
      <c r="C2861">
        <v>10.661477</v>
      </c>
    </row>
    <row r="2862" spans="1:3" x14ac:dyDescent="0.25">
      <c r="A2862" t="s">
        <v>8</v>
      </c>
      <c r="B2862" s="1">
        <v>45089</v>
      </c>
      <c r="C2862">
        <v>10.64673</v>
      </c>
    </row>
    <row r="2863" spans="1:3" x14ac:dyDescent="0.25">
      <c r="A2863" t="s">
        <v>8</v>
      </c>
      <c r="B2863" s="1">
        <v>45090</v>
      </c>
      <c r="C2863">
        <v>10.867924</v>
      </c>
    </row>
    <row r="2864" spans="1:3" x14ac:dyDescent="0.25">
      <c r="A2864" t="s">
        <v>8</v>
      </c>
      <c r="B2864" s="1">
        <v>45091</v>
      </c>
      <c r="C2864">
        <v>10.921991999999999</v>
      </c>
    </row>
    <row r="2865" spans="1:3" x14ac:dyDescent="0.25">
      <c r="A2865" t="s">
        <v>8</v>
      </c>
      <c r="B2865" s="1">
        <v>45092</v>
      </c>
      <c r="C2865">
        <v>10.946569</v>
      </c>
    </row>
    <row r="2866" spans="1:3" x14ac:dyDescent="0.25">
      <c r="A2866" t="s">
        <v>8</v>
      </c>
      <c r="B2866" s="1">
        <v>45093</v>
      </c>
      <c r="C2866">
        <v>10.990807999999999</v>
      </c>
    </row>
    <row r="2867" spans="1:3" x14ac:dyDescent="0.25">
      <c r="A2867" t="s">
        <v>8</v>
      </c>
      <c r="B2867" s="1">
        <v>45096</v>
      </c>
      <c r="C2867">
        <v>10.759785000000001</v>
      </c>
    </row>
    <row r="2868" spans="1:3" x14ac:dyDescent="0.25">
      <c r="A2868" t="s">
        <v>8</v>
      </c>
      <c r="B2868" s="1">
        <v>45097</v>
      </c>
      <c r="C2868">
        <v>10.430453</v>
      </c>
    </row>
    <row r="2869" spans="1:3" x14ac:dyDescent="0.25">
      <c r="A2869" t="s">
        <v>8</v>
      </c>
      <c r="B2869" s="1">
        <v>45098</v>
      </c>
      <c r="C2869">
        <v>10.489439000000001</v>
      </c>
    </row>
    <row r="2870" spans="1:3" x14ac:dyDescent="0.25">
      <c r="A2870" t="s">
        <v>8</v>
      </c>
      <c r="B2870" s="1">
        <v>45099</v>
      </c>
      <c r="C2870">
        <v>10.435369</v>
      </c>
    </row>
    <row r="2871" spans="1:3" x14ac:dyDescent="0.25">
      <c r="A2871" t="s">
        <v>8</v>
      </c>
      <c r="B2871" s="1">
        <v>45103</v>
      </c>
      <c r="C2871">
        <v>10.499269</v>
      </c>
    </row>
    <row r="2872" spans="1:3" x14ac:dyDescent="0.25">
      <c r="A2872" t="s">
        <v>8</v>
      </c>
      <c r="B2872" s="1">
        <v>45104</v>
      </c>
      <c r="C2872">
        <v>10.558253000000001</v>
      </c>
    </row>
    <row r="2873" spans="1:3" x14ac:dyDescent="0.25">
      <c r="A2873" t="s">
        <v>8</v>
      </c>
      <c r="B2873" s="1">
        <v>45105</v>
      </c>
      <c r="C2873">
        <v>10.671308</v>
      </c>
    </row>
    <row r="2874" spans="1:3" x14ac:dyDescent="0.25">
      <c r="A2874" t="s">
        <v>8</v>
      </c>
      <c r="B2874" s="1">
        <v>45106</v>
      </c>
      <c r="C2874">
        <v>10.651647000000001</v>
      </c>
    </row>
    <row r="2875" spans="1:3" x14ac:dyDescent="0.25">
      <c r="A2875" t="s">
        <v>8</v>
      </c>
      <c r="B2875" s="1">
        <v>45107</v>
      </c>
      <c r="C2875">
        <v>10.858091999999999</v>
      </c>
    </row>
    <row r="2876" spans="1:3" x14ac:dyDescent="0.25">
      <c r="A2876" t="s">
        <v>8</v>
      </c>
      <c r="B2876" s="1">
        <v>45110</v>
      </c>
      <c r="C2876">
        <v>11.089115</v>
      </c>
    </row>
    <row r="2877" spans="1:3" x14ac:dyDescent="0.25">
      <c r="A2877" t="s">
        <v>8</v>
      </c>
      <c r="B2877" s="1">
        <v>45111</v>
      </c>
      <c r="C2877">
        <v>10.961315000000001</v>
      </c>
    </row>
    <row r="2878" spans="1:3" x14ac:dyDescent="0.25">
      <c r="A2878" t="s">
        <v>8</v>
      </c>
      <c r="B2878" s="1">
        <v>45112</v>
      </c>
      <c r="C2878">
        <v>10.907247</v>
      </c>
    </row>
    <row r="2879" spans="1:3" x14ac:dyDescent="0.25">
      <c r="A2879" t="s">
        <v>8</v>
      </c>
      <c r="B2879" s="1">
        <v>45113</v>
      </c>
      <c r="C2879">
        <v>10.681138000000001</v>
      </c>
    </row>
    <row r="2880" spans="1:3" x14ac:dyDescent="0.25">
      <c r="A2880" t="s">
        <v>8</v>
      </c>
      <c r="B2880" s="1">
        <v>45114</v>
      </c>
      <c r="C2880">
        <v>10.779446999999999</v>
      </c>
    </row>
    <row r="2881" spans="1:3" x14ac:dyDescent="0.25">
      <c r="A2881" t="s">
        <v>8</v>
      </c>
      <c r="B2881" s="1">
        <v>45117</v>
      </c>
      <c r="C2881">
        <v>10.808939000000001</v>
      </c>
    </row>
    <row r="2882" spans="1:3" x14ac:dyDescent="0.25">
      <c r="A2882" t="s">
        <v>8</v>
      </c>
      <c r="B2882" s="1">
        <v>45118</v>
      </c>
      <c r="C2882">
        <v>10.917077000000001</v>
      </c>
    </row>
    <row r="2883" spans="1:3" x14ac:dyDescent="0.25">
      <c r="A2883" t="s">
        <v>8</v>
      </c>
      <c r="B2883" s="1">
        <v>45119</v>
      </c>
      <c r="C2883">
        <v>11.285731</v>
      </c>
    </row>
    <row r="2884" spans="1:3" x14ac:dyDescent="0.25">
      <c r="A2884" t="s">
        <v>8</v>
      </c>
      <c r="B2884" s="1">
        <v>45120</v>
      </c>
      <c r="C2884">
        <v>11.197255</v>
      </c>
    </row>
    <row r="2885" spans="1:3" x14ac:dyDescent="0.25">
      <c r="A2885" t="s">
        <v>8</v>
      </c>
      <c r="B2885" s="1">
        <v>45121</v>
      </c>
      <c r="C2885">
        <v>11.148101</v>
      </c>
    </row>
    <row r="2886" spans="1:3" x14ac:dyDescent="0.25">
      <c r="A2886" t="s">
        <v>8</v>
      </c>
      <c r="B2886" s="1">
        <v>45124</v>
      </c>
      <c r="C2886">
        <v>11.084199999999999</v>
      </c>
    </row>
    <row r="2887" spans="1:3" x14ac:dyDescent="0.25">
      <c r="A2887" t="s">
        <v>8</v>
      </c>
      <c r="B2887" s="1">
        <v>45125</v>
      </c>
      <c r="C2887">
        <v>11.359463</v>
      </c>
    </row>
    <row r="2888" spans="1:3" x14ac:dyDescent="0.25">
      <c r="A2888" t="s">
        <v>8</v>
      </c>
      <c r="B2888" s="1">
        <v>45126</v>
      </c>
      <c r="C2888">
        <v>11.098947000000001</v>
      </c>
    </row>
    <row r="2889" spans="1:3" x14ac:dyDescent="0.25">
      <c r="A2889" t="s">
        <v>8</v>
      </c>
      <c r="B2889" s="1">
        <v>45127</v>
      </c>
      <c r="C2889">
        <v>10.376385000000001</v>
      </c>
    </row>
    <row r="2890" spans="1:3" x14ac:dyDescent="0.25">
      <c r="A2890" t="s">
        <v>8</v>
      </c>
      <c r="B2890" s="1">
        <v>45128</v>
      </c>
      <c r="C2890">
        <v>10.297739</v>
      </c>
    </row>
    <row r="2891" spans="1:3" x14ac:dyDescent="0.25">
      <c r="A2891" t="s">
        <v>8</v>
      </c>
      <c r="B2891" s="1">
        <v>45131</v>
      </c>
      <c r="C2891">
        <v>10.130615000000001</v>
      </c>
    </row>
    <row r="2892" spans="1:3" x14ac:dyDescent="0.25">
      <c r="A2892" t="s">
        <v>8</v>
      </c>
      <c r="B2892" s="1">
        <v>45132</v>
      </c>
      <c r="C2892">
        <v>10.341977</v>
      </c>
    </row>
    <row r="2893" spans="1:3" x14ac:dyDescent="0.25">
      <c r="A2893" t="s">
        <v>8</v>
      </c>
      <c r="B2893" s="1">
        <v>45133</v>
      </c>
      <c r="C2893">
        <v>10.165023</v>
      </c>
    </row>
    <row r="2894" spans="1:3" x14ac:dyDescent="0.25">
      <c r="A2894" t="s">
        <v>8</v>
      </c>
      <c r="B2894" s="1">
        <v>45134</v>
      </c>
      <c r="C2894">
        <v>10.115869</v>
      </c>
    </row>
    <row r="2895" spans="1:3" x14ac:dyDescent="0.25">
      <c r="A2895" t="s">
        <v>8</v>
      </c>
      <c r="B2895" s="1">
        <v>45135</v>
      </c>
      <c r="C2895">
        <v>10.115869</v>
      </c>
    </row>
    <row r="2896" spans="1:3" x14ac:dyDescent="0.25">
      <c r="A2896" t="s">
        <v>8</v>
      </c>
      <c r="B2896" s="1">
        <v>45138</v>
      </c>
      <c r="C2896">
        <v>10.150276</v>
      </c>
    </row>
    <row r="2897" spans="1:3" x14ac:dyDescent="0.25">
      <c r="A2897" t="s">
        <v>8</v>
      </c>
      <c r="B2897" s="1">
        <v>45139</v>
      </c>
      <c r="C2897">
        <v>10.130615000000001</v>
      </c>
    </row>
    <row r="2898" spans="1:3" x14ac:dyDescent="0.25">
      <c r="A2898" t="s">
        <v>8</v>
      </c>
      <c r="B2898" s="1">
        <v>45140</v>
      </c>
      <c r="C2898">
        <v>9.9929839999999999</v>
      </c>
    </row>
    <row r="2899" spans="1:3" x14ac:dyDescent="0.25">
      <c r="A2899" t="s">
        <v>8</v>
      </c>
      <c r="B2899" s="1">
        <v>45141</v>
      </c>
      <c r="C2899">
        <v>9.8897619999999993</v>
      </c>
    </row>
    <row r="2900" spans="1:3" x14ac:dyDescent="0.25">
      <c r="A2900" t="s">
        <v>8</v>
      </c>
      <c r="B2900" s="1">
        <v>45142</v>
      </c>
      <c r="C2900">
        <v>9.9094230000000003</v>
      </c>
    </row>
    <row r="2901" spans="1:3" x14ac:dyDescent="0.25">
      <c r="A2901" t="s">
        <v>8</v>
      </c>
      <c r="B2901" s="1">
        <v>45145</v>
      </c>
      <c r="C2901">
        <v>10.1257</v>
      </c>
    </row>
    <row r="2902" spans="1:3" x14ac:dyDescent="0.25">
      <c r="A2902" t="s">
        <v>8</v>
      </c>
      <c r="B2902" s="1">
        <v>45146</v>
      </c>
      <c r="C2902">
        <v>9.9536610000000003</v>
      </c>
    </row>
    <row r="2903" spans="1:3" x14ac:dyDescent="0.25">
      <c r="A2903" t="s">
        <v>8</v>
      </c>
      <c r="B2903" s="1">
        <v>45147</v>
      </c>
      <c r="C2903">
        <v>10.140446000000001</v>
      </c>
    </row>
    <row r="2904" spans="1:3" x14ac:dyDescent="0.25">
      <c r="A2904" t="s">
        <v>8</v>
      </c>
      <c r="B2904" s="1">
        <v>45148</v>
      </c>
      <c r="C2904">
        <v>10.214176999999999</v>
      </c>
    </row>
    <row r="2905" spans="1:3" x14ac:dyDescent="0.25">
      <c r="A2905" t="s">
        <v>8</v>
      </c>
      <c r="B2905" s="1">
        <v>45149</v>
      </c>
      <c r="C2905">
        <v>10.130615000000001</v>
      </c>
    </row>
    <row r="2906" spans="1:3" x14ac:dyDescent="0.25">
      <c r="A2906" t="s">
        <v>8</v>
      </c>
      <c r="B2906" s="1">
        <v>45152</v>
      </c>
      <c r="C2906">
        <v>10.066715</v>
      </c>
    </row>
    <row r="2907" spans="1:3" x14ac:dyDescent="0.25">
      <c r="A2907" t="s">
        <v>8</v>
      </c>
      <c r="B2907" s="1">
        <v>45153</v>
      </c>
      <c r="C2907">
        <v>9.9143380000000008</v>
      </c>
    </row>
    <row r="2908" spans="1:3" x14ac:dyDescent="0.25">
      <c r="A2908" t="s">
        <v>8</v>
      </c>
      <c r="B2908" s="1">
        <v>45154</v>
      </c>
      <c r="C2908">
        <v>9.9733230000000006</v>
      </c>
    </row>
    <row r="2909" spans="1:3" x14ac:dyDescent="0.25">
      <c r="A2909" t="s">
        <v>8</v>
      </c>
      <c r="B2909" s="1">
        <v>45155</v>
      </c>
      <c r="C2909">
        <v>9.9487459999999999</v>
      </c>
    </row>
    <row r="2910" spans="1:3" x14ac:dyDescent="0.25">
      <c r="A2910" t="s">
        <v>8</v>
      </c>
      <c r="B2910" s="1">
        <v>45156</v>
      </c>
      <c r="C2910">
        <v>9.9143380000000008</v>
      </c>
    </row>
    <row r="2911" spans="1:3" x14ac:dyDescent="0.25">
      <c r="A2911" t="s">
        <v>8</v>
      </c>
      <c r="B2911" s="1">
        <v>45159</v>
      </c>
      <c r="C2911">
        <v>9.9290850000000006</v>
      </c>
    </row>
    <row r="2912" spans="1:3" x14ac:dyDescent="0.25">
      <c r="A2912" t="s">
        <v>8</v>
      </c>
      <c r="B2912" s="1">
        <v>45160</v>
      </c>
      <c r="C2912">
        <v>10.130615000000001</v>
      </c>
    </row>
    <row r="2913" spans="1:3" x14ac:dyDescent="0.25">
      <c r="A2913" t="s">
        <v>8</v>
      </c>
      <c r="B2913" s="1">
        <v>45161</v>
      </c>
      <c r="C2913">
        <v>10.287908</v>
      </c>
    </row>
    <row r="2914" spans="1:3" x14ac:dyDescent="0.25">
      <c r="A2914" t="s">
        <v>8</v>
      </c>
      <c r="B2914" s="1">
        <v>45162</v>
      </c>
      <c r="C2914">
        <v>10.145360999999999</v>
      </c>
    </row>
    <row r="2915" spans="1:3" x14ac:dyDescent="0.25">
      <c r="A2915" t="s">
        <v>8</v>
      </c>
      <c r="B2915" s="1">
        <v>45163</v>
      </c>
      <c r="C2915">
        <v>10.106038</v>
      </c>
    </row>
    <row r="2916" spans="1:3" x14ac:dyDescent="0.25">
      <c r="A2916" t="s">
        <v>8</v>
      </c>
      <c r="B2916" s="1">
        <v>45166</v>
      </c>
      <c r="C2916">
        <v>10.39113</v>
      </c>
    </row>
    <row r="2917" spans="1:3" x14ac:dyDescent="0.25">
      <c r="A2917" t="s">
        <v>8</v>
      </c>
      <c r="B2917" s="1">
        <v>45167</v>
      </c>
      <c r="C2917">
        <v>10.548423</v>
      </c>
    </row>
    <row r="2918" spans="1:3" x14ac:dyDescent="0.25">
      <c r="A2918" t="s">
        <v>8</v>
      </c>
      <c r="B2918" s="1">
        <v>45168</v>
      </c>
      <c r="C2918">
        <v>10.612323</v>
      </c>
    </row>
    <row r="2919" spans="1:3" x14ac:dyDescent="0.25">
      <c r="A2919" t="s">
        <v>8</v>
      </c>
      <c r="B2919" s="1">
        <v>45169</v>
      </c>
      <c r="C2919">
        <v>10.4452</v>
      </c>
    </row>
    <row r="2920" spans="1:3" x14ac:dyDescent="0.25">
      <c r="A2920" t="s">
        <v>8</v>
      </c>
      <c r="B2920" s="1">
        <v>45170</v>
      </c>
      <c r="C2920">
        <v>10.484522999999999</v>
      </c>
    </row>
    <row r="2921" spans="1:3" x14ac:dyDescent="0.25">
      <c r="A2921" t="s">
        <v>8</v>
      </c>
      <c r="B2921" s="1">
        <v>45173</v>
      </c>
      <c r="C2921">
        <v>10.543509</v>
      </c>
    </row>
    <row r="2922" spans="1:3" x14ac:dyDescent="0.25">
      <c r="A2922" t="s">
        <v>8</v>
      </c>
      <c r="B2922" s="1">
        <v>45174</v>
      </c>
      <c r="C2922">
        <v>10.715546</v>
      </c>
    </row>
    <row r="2923" spans="1:3" x14ac:dyDescent="0.25">
      <c r="A2923" t="s">
        <v>8</v>
      </c>
      <c r="B2923" s="1">
        <v>45175</v>
      </c>
      <c r="C2923">
        <v>10.759785000000001</v>
      </c>
    </row>
    <row r="2924" spans="1:3" x14ac:dyDescent="0.25">
      <c r="A2924" t="s">
        <v>8</v>
      </c>
      <c r="B2924" s="1">
        <v>45176</v>
      </c>
      <c r="C2924">
        <v>10.484522999999999</v>
      </c>
    </row>
    <row r="2925" spans="1:3" x14ac:dyDescent="0.25">
      <c r="A2925" t="s">
        <v>8</v>
      </c>
      <c r="B2925" s="1">
        <v>45177</v>
      </c>
      <c r="C2925">
        <v>10.253500000000001</v>
      </c>
    </row>
    <row r="2926" spans="1:3" x14ac:dyDescent="0.25">
      <c r="A2926" t="s">
        <v>8</v>
      </c>
      <c r="B2926" s="1">
        <v>45180</v>
      </c>
      <c r="C2926">
        <v>10.312485000000001</v>
      </c>
    </row>
    <row r="2927" spans="1:3" x14ac:dyDescent="0.25">
      <c r="A2927" t="s">
        <v>8</v>
      </c>
      <c r="B2927" s="1">
        <v>45181</v>
      </c>
      <c r="C2927">
        <v>10.1896</v>
      </c>
    </row>
    <row r="2928" spans="1:3" x14ac:dyDescent="0.25">
      <c r="A2928" t="s">
        <v>8</v>
      </c>
      <c r="B2928" s="1">
        <v>45182</v>
      </c>
      <c r="C2928">
        <v>10.096208000000001</v>
      </c>
    </row>
    <row r="2929" spans="1:3" x14ac:dyDescent="0.25">
      <c r="A2929" t="s">
        <v>8</v>
      </c>
      <c r="B2929" s="1">
        <v>45183</v>
      </c>
      <c r="C2929">
        <v>10.332147000000001</v>
      </c>
    </row>
    <row r="2930" spans="1:3" x14ac:dyDescent="0.25">
      <c r="A2930" t="s">
        <v>8</v>
      </c>
      <c r="B2930" s="1">
        <v>45184</v>
      </c>
      <c r="C2930">
        <v>10.415708</v>
      </c>
    </row>
    <row r="2931" spans="1:3" x14ac:dyDescent="0.25">
      <c r="A2931" t="s">
        <v>8</v>
      </c>
      <c r="B2931" s="1">
        <v>45187</v>
      </c>
      <c r="C2931">
        <v>10.312485000000001</v>
      </c>
    </row>
    <row r="2932" spans="1:3" x14ac:dyDescent="0.25">
      <c r="A2932" t="s">
        <v>8</v>
      </c>
      <c r="B2932" s="1">
        <v>45188</v>
      </c>
      <c r="C2932">
        <v>10.214176999999999</v>
      </c>
    </row>
    <row r="2933" spans="1:3" x14ac:dyDescent="0.25">
      <c r="A2933" t="s">
        <v>8</v>
      </c>
      <c r="B2933" s="1">
        <v>45189</v>
      </c>
      <c r="C2933">
        <v>10.194515000000001</v>
      </c>
    </row>
    <row r="2934" spans="1:3" x14ac:dyDescent="0.25">
      <c r="A2934" t="s">
        <v>8</v>
      </c>
      <c r="B2934" s="1">
        <v>45190</v>
      </c>
      <c r="C2934">
        <v>9.9585760000000008</v>
      </c>
    </row>
    <row r="2935" spans="1:3" x14ac:dyDescent="0.25">
      <c r="A2935" t="s">
        <v>8</v>
      </c>
      <c r="B2935" s="1">
        <v>45191</v>
      </c>
      <c r="C2935">
        <v>9.8307760000000002</v>
      </c>
    </row>
    <row r="2936" spans="1:3" x14ac:dyDescent="0.25">
      <c r="A2936" t="s">
        <v>8</v>
      </c>
      <c r="B2936" s="1">
        <v>45194</v>
      </c>
      <c r="C2936">
        <v>9.6361270000000001</v>
      </c>
    </row>
    <row r="2937" spans="1:3" x14ac:dyDescent="0.25">
      <c r="A2937" t="s">
        <v>8</v>
      </c>
      <c r="B2937" s="1">
        <v>45195</v>
      </c>
      <c r="C2937">
        <v>9.4336129999999994</v>
      </c>
    </row>
    <row r="2938" spans="1:3" x14ac:dyDescent="0.25">
      <c r="A2938" t="s">
        <v>8</v>
      </c>
      <c r="B2938" s="1">
        <v>45196</v>
      </c>
      <c r="C2938">
        <v>9.5260219999999993</v>
      </c>
    </row>
    <row r="2939" spans="1:3" x14ac:dyDescent="0.25">
      <c r="A2939" t="s">
        <v>8</v>
      </c>
      <c r="B2939" s="1">
        <v>45197</v>
      </c>
      <c r="C2939">
        <v>9.5732099999999996</v>
      </c>
    </row>
    <row r="2940" spans="1:3" x14ac:dyDescent="0.25">
      <c r="A2940" t="s">
        <v>8</v>
      </c>
      <c r="B2940" s="1">
        <v>45198</v>
      </c>
      <c r="C2940">
        <v>9.7855550000000004</v>
      </c>
    </row>
    <row r="2941" spans="1:3" x14ac:dyDescent="0.25">
      <c r="A2941" t="s">
        <v>8</v>
      </c>
      <c r="B2941" s="1">
        <v>45201</v>
      </c>
      <c r="C2941">
        <v>9.6243309999999997</v>
      </c>
    </row>
    <row r="2942" spans="1:3" x14ac:dyDescent="0.25">
      <c r="A2942" t="s">
        <v>8</v>
      </c>
      <c r="B2942" s="1">
        <v>45202</v>
      </c>
      <c r="C2942">
        <v>9.4670380000000005</v>
      </c>
    </row>
    <row r="2943" spans="1:3" x14ac:dyDescent="0.25">
      <c r="A2943" t="s">
        <v>8</v>
      </c>
      <c r="B2943" s="1">
        <v>45203</v>
      </c>
      <c r="C2943">
        <v>9.3726629999999993</v>
      </c>
    </row>
    <row r="2944" spans="1:3" x14ac:dyDescent="0.25">
      <c r="A2944" t="s">
        <v>8</v>
      </c>
      <c r="B2944" s="1">
        <v>45204</v>
      </c>
      <c r="C2944">
        <v>9.2802520000000008</v>
      </c>
    </row>
    <row r="2945" spans="1:3" x14ac:dyDescent="0.25">
      <c r="A2945" t="s">
        <v>8</v>
      </c>
      <c r="B2945" s="1">
        <v>45205</v>
      </c>
      <c r="C2945">
        <v>9.441478</v>
      </c>
    </row>
    <row r="2946" spans="1:3" x14ac:dyDescent="0.25">
      <c r="A2946" t="s">
        <v>8</v>
      </c>
      <c r="B2946" s="1">
        <v>45208</v>
      </c>
      <c r="C2946">
        <v>9.2409300000000005</v>
      </c>
    </row>
    <row r="2947" spans="1:3" x14ac:dyDescent="0.25">
      <c r="A2947" t="s">
        <v>8</v>
      </c>
      <c r="B2947" s="1">
        <v>45209</v>
      </c>
      <c r="C2947">
        <v>9.5732099999999996</v>
      </c>
    </row>
    <row r="2948" spans="1:3" x14ac:dyDescent="0.25">
      <c r="A2948" t="s">
        <v>8</v>
      </c>
      <c r="B2948" s="1">
        <v>45210</v>
      </c>
      <c r="C2948">
        <v>9.5653450000000007</v>
      </c>
    </row>
    <row r="2949" spans="1:3" x14ac:dyDescent="0.25">
      <c r="A2949" t="s">
        <v>8</v>
      </c>
      <c r="B2949" s="1">
        <v>45211</v>
      </c>
      <c r="C2949">
        <v>9.5260219999999993</v>
      </c>
    </row>
    <row r="2950" spans="1:3" x14ac:dyDescent="0.25">
      <c r="A2950" t="s">
        <v>8</v>
      </c>
      <c r="B2950" s="1">
        <v>45212</v>
      </c>
      <c r="C2950">
        <v>9.4591729999999998</v>
      </c>
    </row>
    <row r="2951" spans="1:3" x14ac:dyDescent="0.25">
      <c r="A2951" t="s">
        <v>8</v>
      </c>
      <c r="B2951" s="1">
        <v>45215</v>
      </c>
      <c r="C2951">
        <v>9.4866989999999998</v>
      </c>
    </row>
    <row r="2952" spans="1:3" x14ac:dyDescent="0.25">
      <c r="A2952" t="s">
        <v>8</v>
      </c>
      <c r="B2952" s="1">
        <v>45216</v>
      </c>
      <c r="C2952">
        <v>9.4198489999999993</v>
      </c>
    </row>
    <row r="2953" spans="1:3" x14ac:dyDescent="0.25">
      <c r="A2953" t="s">
        <v>8</v>
      </c>
      <c r="B2953" s="1">
        <v>45217</v>
      </c>
      <c r="C2953">
        <v>9.0836369999999995</v>
      </c>
    </row>
    <row r="2954" spans="1:3" x14ac:dyDescent="0.25">
      <c r="A2954" t="s">
        <v>8</v>
      </c>
      <c r="B2954" s="1">
        <v>45218</v>
      </c>
      <c r="C2954">
        <v>8.9597700000000007</v>
      </c>
    </row>
    <row r="2955" spans="1:3" x14ac:dyDescent="0.25">
      <c r="A2955" t="s">
        <v>8</v>
      </c>
      <c r="B2955" s="1">
        <v>45219</v>
      </c>
      <c r="C2955">
        <v>8.8123070000000006</v>
      </c>
    </row>
    <row r="2956" spans="1:3" x14ac:dyDescent="0.25">
      <c r="A2956" t="s">
        <v>8</v>
      </c>
      <c r="B2956" s="1">
        <v>45222</v>
      </c>
      <c r="C2956">
        <v>8.6727100000000004</v>
      </c>
    </row>
    <row r="2957" spans="1:3" x14ac:dyDescent="0.25">
      <c r="A2957" t="s">
        <v>8</v>
      </c>
      <c r="B2957" s="1">
        <v>45223</v>
      </c>
      <c r="C2957">
        <v>8.7493909999999993</v>
      </c>
    </row>
    <row r="2958" spans="1:3" x14ac:dyDescent="0.25">
      <c r="A2958" t="s">
        <v>8</v>
      </c>
      <c r="B2958" s="1">
        <v>45224</v>
      </c>
      <c r="C2958">
        <v>8.7081009999999992</v>
      </c>
    </row>
    <row r="2959" spans="1:3" x14ac:dyDescent="0.25">
      <c r="A2959" t="s">
        <v>8</v>
      </c>
      <c r="B2959" s="1">
        <v>45225</v>
      </c>
      <c r="C2959">
        <v>8.7140009999999997</v>
      </c>
    </row>
    <row r="2960" spans="1:3" x14ac:dyDescent="0.25">
      <c r="A2960" t="s">
        <v>8</v>
      </c>
      <c r="B2960" s="1">
        <v>45226</v>
      </c>
      <c r="C2960">
        <v>8.1199999999999992</v>
      </c>
    </row>
    <row r="2961" spans="1:3" x14ac:dyDescent="0.25">
      <c r="A2961" t="s">
        <v>8</v>
      </c>
      <c r="B2961" s="1">
        <v>45229</v>
      </c>
      <c r="C2961">
        <v>8.0839999999999996</v>
      </c>
    </row>
    <row r="2962" spans="1:3" x14ac:dyDescent="0.25">
      <c r="A2962" t="s">
        <v>8</v>
      </c>
      <c r="B2962" s="1">
        <v>45230</v>
      </c>
      <c r="C2962">
        <v>8.3059999999999992</v>
      </c>
    </row>
    <row r="2963" spans="1:3" x14ac:dyDescent="0.25">
      <c r="A2963" t="s">
        <v>8</v>
      </c>
      <c r="B2963" s="1">
        <v>45231</v>
      </c>
      <c r="C2963">
        <v>8.0719999999999992</v>
      </c>
    </row>
    <row r="2964" spans="1:3" x14ac:dyDescent="0.25">
      <c r="A2964" t="s">
        <v>8</v>
      </c>
      <c r="B2964" s="1">
        <v>45232</v>
      </c>
      <c r="C2964">
        <v>8.3580000000000005</v>
      </c>
    </row>
    <row r="2965" spans="1:3" x14ac:dyDescent="0.25">
      <c r="A2965" t="s">
        <v>8</v>
      </c>
      <c r="B2965" s="1">
        <v>45233</v>
      </c>
      <c r="C2965">
        <v>8.6359999999999992</v>
      </c>
    </row>
    <row r="2966" spans="1:3" x14ac:dyDescent="0.25">
      <c r="A2966" t="s">
        <v>8</v>
      </c>
      <c r="B2966" s="1">
        <v>45236</v>
      </c>
      <c r="C2966">
        <v>8.6579999999999995</v>
      </c>
    </row>
    <row r="2967" spans="1:3" x14ac:dyDescent="0.25">
      <c r="A2967" t="s">
        <v>8</v>
      </c>
      <c r="B2967" s="1">
        <v>45237</v>
      </c>
      <c r="C2967">
        <v>8.5459999999999994</v>
      </c>
    </row>
    <row r="2968" spans="1:3" x14ac:dyDescent="0.25">
      <c r="A2968" t="s">
        <v>8</v>
      </c>
      <c r="B2968" s="1">
        <v>45238</v>
      </c>
      <c r="C2968">
        <v>8.65</v>
      </c>
    </row>
    <row r="2969" spans="1:3" x14ac:dyDescent="0.25">
      <c r="A2969" t="s">
        <v>8</v>
      </c>
      <c r="B2969" s="1">
        <v>45239</v>
      </c>
      <c r="C2969">
        <v>8.8059999999999992</v>
      </c>
    </row>
    <row r="2970" spans="1:3" x14ac:dyDescent="0.25">
      <c r="A2970" t="s">
        <v>8</v>
      </c>
      <c r="B2970" s="1">
        <v>45240</v>
      </c>
      <c r="C2970">
        <v>8.6620000000000008</v>
      </c>
    </row>
    <row r="2971" spans="1:3" x14ac:dyDescent="0.25">
      <c r="A2971" t="s">
        <v>8</v>
      </c>
      <c r="B2971" s="1">
        <v>45243</v>
      </c>
      <c r="C2971">
        <v>8.6620000000000008</v>
      </c>
    </row>
    <row r="2972" spans="1:3" x14ac:dyDescent="0.25">
      <c r="A2972" t="s">
        <v>8</v>
      </c>
      <c r="B2972" s="1">
        <v>45244</v>
      </c>
      <c r="C2972">
        <v>8.9939999999999998</v>
      </c>
    </row>
    <row r="2973" spans="1:3" x14ac:dyDescent="0.25">
      <c r="A2973" t="s">
        <v>8</v>
      </c>
      <c r="B2973" s="1">
        <v>45245</v>
      </c>
      <c r="C2973">
        <v>9.1760000000000002</v>
      </c>
    </row>
    <row r="2974" spans="1:3" x14ac:dyDescent="0.25">
      <c r="A2974" t="s">
        <v>8</v>
      </c>
      <c r="B2974" s="1">
        <v>45246</v>
      </c>
      <c r="C2974">
        <v>9.0359999999999996</v>
      </c>
    </row>
    <row r="2975" spans="1:3" x14ac:dyDescent="0.25">
      <c r="A2975" t="s">
        <v>8</v>
      </c>
      <c r="B2975" s="1">
        <v>45247</v>
      </c>
      <c r="C2975">
        <v>9.0540000000000003</v>
      </c>
    </row>
    <row r="2976" spans="1:3" x14ac:dyDescent="0.25">
      <c r="A2976" t="s">
        <v>8</v>
      </c>
      <c r="B2976" s="1">
        <v>45250</v>
      </c>
      <c r="C2976">
        <v>9.1120000000000001</v>
      </c>
    </row>
    <row r="2977" spans="1:3" x14ac:dyDescent="0.25">
      <c r="A2977" t="s">
        <v>8</v>
      </c>
      <c r="B2977" s="1">
        <v>45251</v>
      </c>
      <c r="C2977">
        <v>9.0079999999999991</v>
      </c>
    </row>
    <row r="2978" spans="1:3" x14ac:dyDescent="0.25">
      <c r="A2978" t="s">
        <v>8</v>
      </c>
      <c r="B2978" s="1">
        <v>45252</v>
      </c>
      <c r="C2978">
        <v>9.0340000000000007</v>
      </c>
    </row>
    <row r="2979" spans="1:3" x14ac:dyDescent="0.25">
      <c r="A2979" t="s">
        <v>8</v>
      </c>
      <c r="B2979" s="1">
        <v>45253</v>
      </c>
      <c r="C2979">
        <v>8.9920000000000009</v>
      </c>
    </row>
    <row r="2980" spans="1:3" x14ac:dyDescent="0.25">
      <c r="A2980" t="s">
        <v>8</v>
      </c>
      <c r="B2980" s="1">
        <v>45254</v>
      </c>
      <c r="C2980">
        <v>8.99</v>
      </c>
    </row>
    <row r="2981" spans="1:3" x14ac:dyDescent="0.25">
      <c r="A2981" t="s">
        <v>8</v>
      </c>
      <c r="B2981" s="1">
        <v>45257</v>
      </c>
      <c r="C2981">
        <v>9.0299999999999994</v>
      </c>
    </row>
    <row r="2982" spans="1:3" x14ac:dyDescent="0.25">
      <c r="A2982" t="s">
        <v>8</v>
      </c>
      <c r="B2982" s="1">
        <v>45258</v>
      </c>
      <c r="C2982">
        <v>8.9600000000000009</v>
      </c>
    </row>
    <row r="2983" spans="1:3" x14ac:dyDescent="0.25">
      <c r="A2983" t="s">
        <v>8</v>
      </c>
      <c r="B2983" s="1">
        <v>45259</v>
      </c>
      <c r="C2983">
        <v>9.1020000000000003</v>
      </c>
    </row>
    <row r="2984" spans="1:3" x14ac:dyDescent="0.25">
      <c r="A2984" t="s">
        <v>8</v>
      </c>
      <c r="B2984" s="1">
        <v>45260</v>
      </c>
      <c r="C2984">
        <v>9.0299999999999994</v>
      </c>
    </row>
    <row r="2985" spans="1:3" x14ac:dyDescent="0.25">
      <c r="A2985" t="s">
        <v>8</v>
      </c>
      <c r="B2985" s="1">
        <v>45261</v>
      </c>
      <c r="C2985">
        <v>9.1620000000000008</v>
      </c>
    </row>
    <row r="2986" spans="1:3" x14ac:dyDescent="0.25">
      <c r="A2986" t="s">
        <v>8</v>
      </c>
      <c r="B2986" s="1">
        <v>45264</v>
      </c>
      <c r="C2986">
        <v>9.09</v>
      </c>
    </row>
    <row r="2987" spans="1:3" x14ac:dyDescent="0.25">
      <c r="A2987" t="s">
        <v>8</v>
      </c>
      <c r="B2987" s="1">
        <v>45265</v>
      </c>
      <c r="C2987">
        <v>9</v>
      </c>
    </row>
    <row r="2988" spans="1:3" x14ac:dyDescent="0.25">
      <c r="A2988" t="s">
        <v>8</v>
      </c>
      <c r="B2988" s="1">
        <v>45267</v>
      </c>
      <c r="C2988">
        <v>9.0739999999999998</v>
      </c>
    </row>
    <row r="2989" spans="1:3" x14ac:dyDescent="0.25">
      <c r="A2989" t="s">
        <v>8</v>
      </c>
      <c r="B2989" s="1">
        <v>45268</v>
      </c>
      <c r="C2989">
        <v>9.016</v>
      </c>
    </row>
    <row r="2990" spans="1:3" x14ac:dyDescent="0.25">
      <c r="A2990" t="s">
        <v>8</v>
      </c>
      <c r="B2990" s="1">
        <v>45271</v>
      </c>
      <c r="C2990">
        <v>8.9499999999999993</v>
      </c>
    </row>
    <row r="2991" spans="1:3" x14ac:dyDescent="0.25">
      <c r="A2991" t="s">
        <v>8</v>
      </c>
      <c r="B2991" s="1">
        <v>45272</v>
      </c>
      <c r="C2991">
        <v>8.7379999999999995</v>
      </c>
    </row>
    <row r="2992" spans="1:3" x14ac:dyDescent="0.25">
      <c r="A2992" t="s">
        <v>8</v>
      </c>
      <c r="B2992" s="1">
        <v>45273</v>
      </c>
      <c r="C2992">
        <v>8.4640000000000004</v>
      </c>
    </row>
    <row r="2993" spans="1:3" x14ac:dyDescent="0.25">
      <c r="A2993" t="s">
        <v>8</v>
      </c>
      <c r="B2993" s="1">
        <v>45274</v>
      </c>
      <c r="C2993">
        <v>8.8520000000000003</v>
      </c>
    </row>
    <row r="2994" spans="1:3" x14ac:dyDescent="0.25">
      <c r="A2994" t="s">
        <v>8</v>
      </c>
      <c r="B2994" s="1">
        <v>45275</v>
      </c>
      <c r="C2994">
        <v>9.0779999999999994</v>
      </c>
    </row>
    <row r="2995" spans="1:3" x14ac:dyDescent="0.25">
      <c r="A2995" t="s">
        <v>8</v>
      </c>
      <c r="B2995" s="1">
        <v>45278</v>
      </c>
      <c r="C2995">
        <v>9.0920000000000005</v>
      </c>
    </row>
    <row r="2996" spans="1:3" x14ac:dyDescent="0.25">
      <c r="A2996" t="s">
        <v>8</v>
      </c>
      <c r="B2996" s="1">
        <v>45279</v>
      </c>
      <c r="C2996">
        <v>9.3040000000000003</v>
      </c>
    </row>
    <row r="2997" spans="1:3" x14ac:dyDescent="0.25">
      <c r="A2997" t="s">
        <v>8</v>
      </c>
      <c r="B2997" s="1">
        <v>45280</v>
      </c>
      <c r="C2997">
        <v>9.2799999999999994</v>
      </c>
    </row>
    <row r="2998" spans="1:3" x14ac:dyDescent="0.25">
      <c r="A2998" t="s">
        <v>8</v>
      </c>
      <c r="B2998" s="1">
        <v>45281</v>
      </c>
      <c r="C2998">
        <v>9.1839999999999993</v>
      </c>
    </row>
    <row r="2999" spans="1:3" x14ac:dyDescent="0.25">
      <c r="A2999" t="s">
        <v>8</v>
      </c>
      <c r="B2999" s="1">
        <v>45282</v>
      </c>
      <c r="C2999">
        <v>9.2539999999999996</v>
      </c>
    </row>
    <row r="3000" spans="1:3" x14ac:dyDescent="0.25">
      <c r="A3000" t="s">
        <v>8</v>
      </c>
      <c r="B3000" s="1">
        <v>45287</v>
      </c>
      <c r="C3000">
        <v>9.3480000000000008</v>
      </c>
    </row>
    <row r="3001" spans="1:3" x14ac:dyDescent="0.25">
      <c r="A3001" t="s">
        <v>8</v>
      </c>
      <c r="B3001" s="1">
        <v>45288</v>
      </c>
      <c r="C3001">
        <v>9.282</v>
      </c>
    </row>
    <row r="3002" spans="1:3" x14ac:dyDescent="0.25">
      <c r="A3002" t="s">
        <v>8</v>
      </c>
      <c r="B3002" s="1">
        <v>45289</v>
      </c>
      <c r="C3002">
        <v>9.1940000000000008</v>
      </c>
    </row>
    <row r="3003" spans="1:3" x14ac:dyDescent="0.25">
      <c r="A3003" t="s">
        <v>8</v>
      </c>
      <c r="B3003" s="1">
        <v>45293</v>
      </c>
      <c r="C3003">
        <v>9.1940000000000008</v>
      </c>
    </row>
    <row r="3004" spans="1:3" x14ac:dyDescent="0.25">
      <c r="A3004" t="s">
        <v>8</v>
      </c>
      <c r="B3004" s="1">
        <v>45294</v>
      </c>
      <c r="C3004">
        <v>8.8840000000000003</v>
      </c>
    </row>
    <row r="3005" spans="1:3" x14ac:dyDescent="0.25">
      <c r="A3005" t="s">
        <v>8</v>
      </c>
      <c r="B3005" s="1">
        <v>45295</v>
      </c>
      <c r="C3005">
        <v>9.0399999999999991</v>
      </c>
    </row>
    <row r="3006" spans="1:3" x14ac:dyDescent="0.25">
      <c r="A3006" t="s">
        <v>8</v>
      </c>
      <c r="B3006" s="1">
        <v>45296</v>
      </c>
      <c r="C3006">
        <v>9.1560000000000006</v>
      </c>
    </row>
    <row r="3007" spans="1:3" x14ac:dyDescent="0.25">
      <c r="A3007" t="s">
        <v>8</v>
      </c>
      <c r="B3007" s="1">
        <v>45299</v>
      </c>
      <c r="C3007">
        <v>9.2100000000000009</v>
      </c>
    </row>
    <row r="3008" spans="1:3" x14ac:dyDescent="0.25">
      <c r="A3008" t="s">
        <v>8</v>
      </c>
      <c r="B3008" s="1">
        <v>45300</v>
      </c>
      <c r="C3008">
        <v>8.968</v>
      </c>
    </row>
    <row r="3009" spans="1:3" x14ac:dyDescent="0.25">
      <c r="A3009" t="s">
        <v>8</v>
      </c>
      <c r="B3009" s="1">
        <v>45301</v>
      </c>
      <c r="C3009">
        <v>8.9640000000000004</v>
      </c>
    </row>
    <row r="3010" spans="1:3" x14ac:dyDescent="0.25">
      <c r="A3010" t="s">
        <v>8</v>
      </c>
      <c r="B3010" s="1">
        <v>45302</v>
      </c>
      <c r="C3010">
        <v>9.0980000000000008</v>
      </c>
    </row>
    <row r="3011" spans="1:3" x14ac:dyDescent="0.25">
      <c r="A3011" t="s">
        <v>8</v>
      </c>
      <c r="B3011" s="1">
        <v>45303</v>
      </c>
      <c r="C3011">
        <v>9.2260000000000009</v>
      </c>
    </row>
    <row r="3012" spans="1:3" x14ac:dyDescent="0.25">
      <c r="A3012" t="s">
        <v>8</v>
      </c>
      <c r="B3012" s="1">
        <v>45306</v>
      </c>
      <c r="C3012">
        <v>9.2200000000000006</v>
      </c>
    </row>
    <row r="3013" spans="1:3" x14ac:dyDescent="0.25">
      <c r="A3013" t="s">
        <v>8</v>
      </c>
      <c r="B3013" s="1">
        <v>45307</v>
      </c>
      <c r="C3013">
        <v>9.15</v>
      </c>
    </row>
    <row r="3014" spans="1:3" x14ac:dyDescent="0.25">
      <c r="A3014" t="s">
        <v>8</v>
      </c>
      <c r="B3014" s="1">
        <v>45308</v>
      </c>
      <c r="C3014">
        <v>9.0619999999999994</v>
      </c>
    </row>
    <row r="3015" spans="1:3" x14ac:dyDescent="0.25">
      <c r="A3015" t="s">
        <v>8</v>
      </c>
      <c r="B3015" s="1">
        <v>45309</v>
      </c>
      <c r="C3015">
        <v>9.1739999999999995</v>
      </c>
    </row>
    <row r="3016" spans="1:3" x14ac:dyDescent="0.25">
      <c r="A3016" t="s">
        <v>8</v>
      </c>
      <c r="B3016" s="1">
        <v>45310</v>
      </c>
      <c r="C3016">
        <v>9.0820000000000007</v>
      </c>
    </row>
    <row r="3017" spans="1:3" x14ac:dyDescent="0.25">
      <c r="A3017" t="s">
        <v>8</v>
      </c>
      <c r="B3017" s="1">
        <v>45313</v>
      </c>
      <c r="C3017">
        <v>9.266</v>
      </c>
    </row>
    <row r="3018" spans="1:3" x14ac:dyDescent="0.25">
      <c r="A3018" t="s">
        <v>8</v>
      </c>
      <c r="B3018" s="1">
        <v>45314</v>
      </c>
      <c r="C3018">
        <v>9.4939999999999998</v>
      </c>
    </row>
    <row r="3019" spans="1:3" x14ac:dyDescent="0.25">
      <c r="A3019" t="s">
        <v>8</v>
      </c>
      <c r="B3019" s="1">
        <v>45315</v>
      </c>
      <c r="C3019">
        <v>9.41</v>
      </c>
    </row>
    <row r="3020" spans="1:3" x14ac:dyDescent="0.25">
      <c r="A3020" t="s">
        <v>8</v>
      </c>
      <c r="B3020" s="1">
        <v>45316</v>
      </c>
      <c r="C3020">
        <v>9.2539999999999996</v>
      </c>
    </row>
    <row r="3021" spans="1:3" x14ac:dyDescent="0.25">
      <c r="A3021" t="s">
        <v>8</v>
      </c>
      <c r="B3021" s="1">
        <v>45317</v>
      </c>
      <c r="C3021">
        <v>9.1980000000000004</v>
      </c>
    </row>
    <row r="3022" spans="1:3" x14ac:dyDescent="0.25">
      <c r="A3022" t="s">
        <v>8</v>
      </c>
      <c r="B3022" s="1">
        <v>45320</v>
      </c>
      <c r="C3022">
        <v>9.14</v>
      </c>
    </row>
    <row r="3023" spans="1:3" x14ac:dyDescent="0.25">
      <c r="A3023" t="s">
        <v>8</v>
      </c>
      <c r="B3023" s="1">
        <v>45321</v>
      </c>
      <c r="C3023">
        <v>9.2919999999999998</v>
      </c>
    </row>
    <row r="3024" spans="1:3" x14ac:dyDescent="0.25">
      <c r="A3024" t="s">
        <v>8</v>
      </c>
      <c r="B3024" s="1">
        <v>45322</v>
      </c>
      <c r="C3024">
        <v>9.2899999999999991</v>
      </c>
    </row>
    <row r="3025" spans="1:3" x14ac:dyDescent="0.25">
      <c r="A3025" t="s">
        <v>8</v>
      </c>
      <c r="B3025" s="1">
        <v>45323</v>
      </c>
      <c r="C3025">
        <v>9.4359999999999999</v>
      </c>
    </row>
    <row r="3026" spans="1:3" x14ac:dyDescent="0.25">
      <c r="A3026" t="s">
        <v>8</v>
      </c>
      <c r="B3026" s="1">
        <v>45324</v>
      </c>
      <c r="C3026">
        <v>9.3699999999999992</v>
      </c>
    </row>
    <row r="3027" spans="1:3" x14ac:dyDescent="0.25">
      <c r="A3027" t="s">
        <v>8</v>
      </c>
      <c r="B3027" s="1">
        <v>45327</v>
      </c>
      <c r="C3027">
        <v>9.1199999999999992</v>
      </c>
    </row>
    <row r="3028" spans="1:3" x14ac:dyDescent="0.25">
      <c r="A3028" t="s">
        <v>8</v>
      </c>
      <c r="B3028" s="1">
        <v>45328</v>
      </c>
      <c r="C3028">
        <v>9.2319999999999993</v>
      </c>
    </row>
    <row r="3029" spans="1:3" x14ac:dyDescent="0.25">
      <c r="A3029" t="s">
        <v>8</v>
      </c>
      <c r="B3029" s="1">
        <v>45329</v>
      </c>
      <c r="C3029">
        <v>9.2899999999999991</v>
      </c>
    </row>
    <row r="3030" spans="1:3" x14ac:dyDescent="0.25">
      <c r="A3030" t="s">
        <v>8</v>
      </c>
      <c r="B3030" s="1">
        <v>45330</v>
      </c>
      <c r="C3030">
        <v>9.3960000000000008</v>
      </c>
    </row>
    <row r="3031" spans="1:3" x14ac:dyDescent="0.25">
      <c r="A3031" t="s">
        <v>8</v>
      </c>
      <c r="B3031" s="1">
        <v>45331</v>
      </c>
      <c r="C3031">
        <v>9.3559999999999999</v>
      </c>
    </row>
    <row r="3032" spans="1:3" x14ac:dyDescent="0.25">
      <c r="A3032" t="s">
        <v>9</v>
      </c>
      <c r="B3032" s="1">
        <v>44603</v>
      </c>
      <c r="C3032">
        <v>36.747112000000001</v>
      </c>
    </row>
    <row r="3033" spans="1:3" x14ac:dyDescent="0.25">
      <c r="A3033" t="s">
        <v>9</v>
      </c>
      <c r="B3033" s="1">
        <v>44606</v>
      </c>
      <c r="C3033">
        <v>36.379345000000001</v>
      </c>
    </row>
    <row r="3034" spans="1:3" x14ac:dyDescent="0.25">
      <c r="A3034" t="s">
        <v>9</v>
      </c>
      <c r="B3034" s="1">
        <v>44607</v>
      </c>
      <c r="C3034">
        <v>36.727756999999997</v>
      </c>
    </row>
    <row r="3035" spans="1:3" x14ac:dyDescent="0.25">
      <c r="A3035" t="s">
        <v>9</v>
      </c>
      <c r="B3035" s="1">
        <v>44608</v>
      </c>
      <c r="C3035">
        <v>37.192290999999997</v>
      </c>
    </row>
    <row r="3036" spans="1:3" x14ac:dyDescent="0.25">
      <c r="A3036" t="s">
        <v>9</v>
      </c>
      <c r="B3036" s="1">
        <v>44609</v>
      </c>
      <c r="C3036">
        <v>35.730922999999997</v>
      </c>
    </row>
    <row r="3037" spans="1:3" x14ac:dyDescent="0.25">
      <c r="A3037" t="s">
        <v>9</v>
      </c>
      <c r="B3037" s="1">
        <v>44610</v>
      </c>
      <c r="C3037">
        <v>34.134067999999999</v>
      </c>
    </row>
    <row r="3038" spans="1:3" x14ac:dyDescent="0.25">
      <c r="A3038" t="s">
        <v>9</v>
      </c>
      <c r="B3038" s="1">
        <v>44613</v>
      </c>
      <c r="C3038">
        <v>34.192135</v>
      </c>
    </row>
    <row r="3039" spans="1:3" x14ac:dyDescent="0.25">
      <c r="A3039" t="s">
        <v>9</v>
      </c>
      <c r="B3039" s="1">
        <v>44614</v>
      </c>
      <c r="C3039">
        <v>33.388866</v>
      </c>
    </row>
    <row r="3040" spans="1:3" x14ac:dyDescent="0.25">
      <c r="A3040" t="s">
        <v>9</v>
      </c>
      <c r="B3040" s="1">
        <v>44615</v>
      </c>
      <c r="C3040">
        <v>32.721091999999999</v>
      </c>
    </row>
    <row r="3041" spans="1:3" x14ac:dyDescent="0.25">
      <c r="A3041" t="s">
        <v>9</v>
      </c>
      <c r="B3041" s="1">
        <v>44616</v>
      </c>
      <c r="C3041">
        <v>32.033954999999999</v>
      </c>
    </row>
    <row r="3042" spans="1:3" x14ac:dyDescent="0.25">
      <c r="A3042" t="s">
        <v>9</v>
      </c>
      <c r="B3042" s="1">
        <v>44617</v>
      </c>
      <c r="C3042">
        <v>33.253376000000003</v>
      </c>
    </row>
    <row r="3043" spans="1:3" x14ac:dyDescent="0.25">
      <c r="A3043" t="s">
        <v>9</v>
      </c>
      <c r="B3043" s="1">
        <v>44620</v>
      </c>
      <c r="C3043">
        <v>34.046967000000002</v>
      </c>
    </row>
    <row r="3044" spans="1:3" x14ac:dyDescent="0.25">
      <c r="A3044" t="s">
        <v>9</v>
      </c>
      <c r="B3044" s="1">
        <v>44621</v>
      </c>
      <c r="C3044">
        <v>30.553229999999999</v>
      </c>
    </row>
    <row r="3045" spans="1:3" x14ac:dyDescent="0.25">
      <c r="A3045" t="s">
        <v>9</v>
      </c>
      <c r="B3045" s="1">
        <v>44622</v>
      </c>
      <c r="C3045">
        <v>34.908301999999999</v>
      </c>
    </row>
    <row r="3046" spans="1:3" x14ac:dyDescent="0.25">
      <c r="A3046" t="s">
        <v>9</v>
      </c>
      <c r="B3046" s="1">
        <v>44623</v>
      </c>
      <c r="C3046">
        <v>34.550217000000004</v>
      </c>
    </row>
    <row r="3047" spans="1:3" x14ac:dyDescent="0.25">
      <c r="A3047" t="s">
        <v>9</v>
      </c>
      <c r="B3047" s="1">
        <v>44624</v>
      </c>
      <c r="C3047">
        <v>33.137241000000003</v>
      </c>
    </row>
    <row r="3048" spans="1:3" x14ac:dyDescent="0.25">
      <c r="A3048" t="s">
        <v>9</v>
      </c>
      <c r="B3048" s="1">
        <v>44627</v>
      </c>
      <c r="C3048">
        <v>30.843571000000001</v>
      </c>
    </row>
    <row r="3049" spans="1:3" x14ac:dyDescent="0.25">
      <c r="A3049" t="s">
        <v>9</v>
      </c>
      <c r="B3049" s="1">
        <v>44628</v>
      </c>
      <c r="C3049">
        <v>33.011425000000003</v>
      </c>
    </row>
    <row r="3050" spans="1:3" x14ac:dyDescent="0.25">
      <c r="A3050" t="s">
        <v>9</v>
      </c>
      <c r="B3050" s="1">
        <v>44629</v>
      </c>
      <c r="C3050">
        <v>33.582424000000003</v>
      </c>
    </row>
    <row r="3051" spans="1:3" x14ac:dyDescent="0.25">
      <c r="A3051" t="s">
        <v>9</v>
      </c>
      <c r="B3051" s="1">
        <v>44630</v>
      </c>
      <c r="C3051">
        <v>34.134067999999999</v>
      </c>
    </row>
    <row r="3052" spans="1:3" x14ac:dyDescent="0.25">
      <c r="A3052" t="s">
        <v>9</v>
      </c>
      <c r="B3052" s="1">
        <v>44631</v>
      </c>
      <c r="C3052">
        <v>34.588932</v>
      </c>
    </row>
    <row r="3053" spans="1:3" x14ac:dyDescent="0.25">
      <c r="A3053" t="s">
        <v>9</v>
      </c>
      <c r="B3053" s="1">
        <v>44634</v>
      </c>
      <c r="C3053">
        <v>36.098686000000001</v>
      </c>
    </row>
    <row r="3054" spans="1:3" x14ac:dyDescent="0.25">
      <c r="A3054" t="s">
        <v>9</v>
      </c>
      <c r="B3054" s="1">
        <v>44635</v>
      </c>
      <c r="C3054">
        <v>34.317951000000001</v>
      </c>
    </row>
    <row r="3055" spans="1:3" x14ac:dyDescent="0.25">
      <c r="A3055" t="s">
        <v>9</v>
      </c>
      <c r="B3055" s="1">
        <v>44636</v>
      </c>
      <c r="C3055">
        <v>34.772807999999998</v>
      </c>
    </row>
    <row r="3056" spans="1:3" x14ac:dyDescent="0.25">
      <c r="A3056" t="s">
        <v>9</v>
      </c>
      <c r="B3056" s="1">
        <v>44637</v>
      </c>
      <c r="C3056">
        <v>35.808349999999997</v>
      </c>
    </row>
    <row r="3057" spans="1:3" x14ac:dyDescent="0.25">
      <c r="A3057" t="s">
        <v>9</v>
      </c>
      <c r="B3057" s="1">
        <v>44638</v>
      </c>
      <c r="C3057">
        <v>35.711575000000003</v>
      </c>
    </row>
    <row r="3058" spans="1:3" x14ac:dyDescent="0.25">
      <c r="A3058" t="s">
        <v>9</v>
      </c>
      <c r="B3058" s="1">
        <v>44641</v>
      </c>
      <c r="C3058">
        <v>35.953518000000003</v>
      </c>
    </row>
    <row r="3059" spans="1:3" x14ac:dyDescent="0.25">
      <c r="A3059" t="s">
        <v>9</v>
      </c>
      <c r="B3059" s="1">
        <v>44642</v>
      </c>
      <c r="C3059">
        <v>35.421233999999998</v>
      </c>
    </row>
    <row r="3060" spans="1:3" x14ac:dyDescent="0.25">
      <c r="A3060" t="s">
        <v>9</v>
      </c>
      <c r="B3060" s="1">
        <v>44643</v>
      </c>
      <c r="C3060">
        <v>34.743777999999999</v>
      </c>
    </row>
    <row r="3061" spans="1:3" x14ac:dyDescent="0.25">
      <c r="A3061" t="s">
        <v>9</v>
      </c>
      <c r="B3061" s="1">
        <v>44644</v>
      </c>
      <c r="C3061">
        <v>34.124381999999997</v>
      </c>
    </row>
    <row r="3062" spans="1:3" x14ac:dyDescent="0.25">
      <c r="A3062" t="s">
        <v>9</v>
      </c>
      <c r="B3062" s="1">
        <v>44645</v>
      </c>
      <c r="C3062">
        <v>35.034115</v>
      </c>
    </row>
    <row r="3063" spans="1:3" x14ac:dyDescent="0.25">
      <c r="A3063" t="s">
        <v>9</v>
      </c>
      <c r="B3063" s="1">
        <v>44648</v>
      </c>
      <c r="C3063">
        <v>36.485802</v>
      </c>
    </row>
    <row r="3064" spans="1:3" x14ac:dyDescent="0.25">
      <c r="A3064" t="s">
        <v>9</v>
      </c>
      <c r="B3064" s="1">
        <v>44649</v>
      </c>
      <c r="C3064">
        <v>38.905289000000003</v>
      </c>
    </row>
    <row r="3065" spans="1:3" x14ac:dyDescent="0.25">
      <c r="A3065" t="s">
        <v>9</v>
      </c>
      <c r="B3065" s="1">
        <v>44650</v>
      </c>
      <c r="C3065">
        <v>38.847220999999998</v>
      </c>
    </row>
    <row r="3066" spans="1:3" x14ac:dyDescent="0.25">
      <c r="A3066" t="s">
        <v>9</v>
      </c>
      <c r="B3066" s="1">
        <v>44651</v>
      </c>
      <c r="C3066">
        <v>40.558334000000002</v>
      </c>
    </row>
    <row r="3067" spans="1:3" x14ac:dyDescent="0.25">
      <c r="A3067" t="s">
        <v>9</v>
      </c>
      <c r="B3067" s="1">
        <v>44652</v>
      </c>
      <c r="C3067">
        <v>41.526344000000002</v>
      </c>
    </row>
    <row r="3068" spans="1:3" x14ac:dyDescent="0.25">
      <c r="A3068" t="s">
        <v>9</v>
      </c>
      <c r="B3068" s="1">
        <v>44655</v>
      </c>
      <c r="C3068">
        <v>40.499668</v>
      </c>
    </row>
    <row r="3069" spans="1:3" x14ac:dyDescent="0.25">
      <c r="A3069" t="s">
        <v>9</v>
      </c>
      <c r="B3069" s="1">
        <v>44656</v>
      </c>
      <c r="C3069">
        <v>41.115668999999997</v>
      </c>
    </row>
    <row r="3070" spans="1:3" x14ac:dyDescent="0.25">
      <c r="A3070" t="s">
        <v>9</v>
      </c>
      <c r="B3070" s="1">
        <v>44657</v>
      </c>
      <c r="C3070">
        <v>40.920116</v>
      </c>
    </row>
    <row r="3071" spans="1:3" x14ac:dyDescent="0.25">
      <c r="A3071" t="s">
        <v>9</v>
      </c>
      <c r="B3071" s="1">
        <v>44658</v>
      </c>
      <c r="C3071">
        <v>39.629443999999999</v>
      </c>
    </row>
    <row r="3072" spans="1:3" x14ac:dyDescent="0.25">
      <c r="A3072" t="s">
        <v>9</v>
      </c>
      <c r="B3072" s="1">
        <v>44659</v>
      </c>
      <c r="C3072">
        <v>41.389454000000001</v>
      </c>
    </row>
    <row r="3073" spans="1:3" x14ac:dyDescent="0.25">
      <c r="A3073" t="s">
        <v>9</v>
      </c>
      <c r="B3073" s="1">
        <v>44662</v>
      </c>
      <c r="C3073">
        <v>40.695228999999998</v>
      </c>
    </row>
    <row r="3074" spans="1:3" x14ac:dyDescent="0.25">
      <c r="A3074" t="s">
        <v>9</v>
      </c>
      <c r="B3074" s="1">
        <v>44663</v>
      </c>
      <c r="C3074">
        <v>43.374347999999998</v>
      </c>
    </row>
    <row r="3075" spans="1:3" x14ac:dyDescent="0.25">
      <c r="A3075" t="s">
        <v>9</v>
      </c>
      <c r="B3075" s="1">
        <v>44664</v>
      </c>
      <c r="C3075">
        <v>43.071232000000002</v>
      </c>
    </row>
    <row r="3076" spans="1:3" x14ac:dyDescent="0.25">
      <c r="A3076" t="s">
        <v>9</v>
      </c>
      <c r="B3076" s="1">
        <v>44665</v>
      </c>
      <c r="C3076">
        <v>43.071232000000002</v>
      </c>
    </row>
    <row r="3077" spans="1:3" x14ac:dyDescent="0.25">
      <c r="A3077" t="s">
        <v>9</v>
      </c>
      <c r="B3077" s="1">
        <v>44670</v>
      </c>
      <c r="C3077">
        <v>42.660567999999998</v>
      </c>
    </row>
    <row r="3078" spans="1:3" x14ac:dyDescent="0.25">
      <c r="A3078" t="s">
        <v>9</v>
      </c>
      <c r="B3078" s="1">
        <v>44671</v>
      </c>
      <c r="C3078">
        <v>43.305900999999999</v>
      </c>
    </row>
    <row r="3079" spans="1:3" x14ac:dyDescent="0.25">
      <c r="A3079" t="s">
        <v>9</v>
      </c>
      <c r="B3079" s="1">
        <v>44672</v>
      </c>
      <c r="C3079">
        <v>43.521008000000002</v>
      </c>
    </row>
    <row r="3080" spans="1:3" x14ac:dyDescent="0.25">
      <c r="A3080" t="s">
        <v>9</v>
      </c>
      <c r="B3080" s="1">
        <v>44673</v>
      </c>
      <c r="C3080">
        <v>42.905009999999997</v>
      </c>
    </row>
    <row r="3081" spans="1:3" x14ac:dyDescent="0.25">
      <c r="A3081" t="s">
        <v>9</v>
      </c>
      <c r="B3081" s="1">
        <v>44676</v>
      </c>
      <c r="C3081">
        <v>41.682785000000003</v>
      </c>
    </row>
    <row r="3082" spans="1:3" x14ac:dyDescent="0.25">
      <c r="A3082" t="s">
        <v>9</v>
      </c>
      <c r="B3082" s="1">
        <v>44677</v>
      </c>
      <c r="C3082">
        <v>41.663226999999999</v>
      </c>
    </row>
    <row r="3083" spans="1:3" x14ac:dyDescent="0.25">
      <c r="A3083" t="s">
        <v>9</v>
      </c>
      <c r="B3083" s="1">
        <v>44678</v>
      </c>
      <c r="C3083">
        <v>42.924563999999997</v>
      </c>
    </row>
    <row r="3084" spans="1:3" x14ac:dyDescent="0.25">
      <c r="A3084" t="s">
        <v>9</v>
      </c>
      <c r="B3084" s="1">
        <v>44679</v>
      </c>
      <c r="C3084">
        <v>44.782349000000004</v>
      </c>
    </row>
    <row r="3085" spans="1:3" x14ac:dyDescent="0.25">
      <c r="A3085" t="s">
        <v>9</v>
      </c>
      <c r="B3085" s="1">
        <v>44680</v>
      </c>
      <c r="C3085">
        <v>40.284557</v>
      </c>
    </row>
    <row r="3086" spans="1:3" x14ac:dyDescent="0.25">
      <c r="A3086" t="s">
        <v>9</v>
      </c>
      <c r="B3086" s="1">
        <v>44683</v>
      </c>
      <c r="C3086">
        <v>39.570777999999997</v>
      </c>
    </row>
    <row r="3087" spans="1:3" x14ac:dyDescent="0.25">
      <c r="A3087" t="s">
        <v>9</v>
      </c>
      <c r="B3087" s="1">
        <v>44684</v>
      </c>
      <c r="C3087">
        <v>41.702342999999999</v>
      </c>
    </row>
    <row r="3088" spans="1:3" x14ac:dyDescent="0.25">
      <c r="A3088" t="s">
        <v>9</v>
      </c>
      <c r="B3088" s="1">
        <v>44685</v>
      </c>
      <c r="C3088">
        <v>42.465007999999997</v>
      </c>
    </row>
    <row r="3089" spans="1:3" x14ac:dyDescent="0.25">
      <c r="A3089" t="s">
        <v>9</v>
      </c>
      <c r="B3089" s="1">
        <v>44686</v>
      </c>
      <c r="C3089">
        <v>41.604560999999997</v>
      </c>
    </row>
    <row r="3090" spans="1:3" x14ac:dyDescent="0.25">
      <c r="A3090" t="s">
        <v>9</v>
      </c>
      <c r="B3090" s="1">
        <v>44687</v>
      </c>
      <c r="C3090">
        <v>42.230339000000001</v>
      </c>
    </row>
    <row r="3091" spans="1:3" x14ac:dyDescent="0.25">
      <c r="A3091" t="s">
        <v>9</v>
      </c>
      <c r="B3091" s="1">
        <v>44690</v>
      </c>
      <c r="C3091">
        <v>38.064995000000003</v>
      </c>
    </row>
    <row r="3092" spans="1:3" x14ac:dyDescent="0.25">
      <c r="A3092" t="s">
        <v>9</v>
      </c>
      <c r="B3092" s="1">
        <v>44691</v>
      </c>
      <c r="C3092">
        <v>38.133442000000002</v>
      </c>
    </row>
    <row r="3093" spans="1:3" x14ac:dyDescent="0.25">
      <c r="A3093" t="s">
        <v>9</v>
      </c>
      <c r="B3093" s="1">
        <v>44692</v>
      </c>
      <c r="C3093">
        <v>38.524551000000002</v>
      </c>
    </row>
    <row r="3094" spans="1:3" x14ac:dyDescent="0.25">
      <c r="A3094" t="s">
        <v>9</v>
      </c>
      <c r="B3094" s="1">
        <v>44693</v>
      </c>
      <c r="C3094">
        <v>38.759219999999999</v>
      </c>
    </row>
    <row r="3095" spans="1:3" x14ac:dyDescent="0.25">
      <c r="A3095" t="s">
        <v>9</v>
      </c>
      <c r="B3095" s="1">
        <v>44694</v>
      </c>
      <c r="C3095">
        <v>39.873890000000003</v>
      </c>
    </row>
    <row r="3096" spans="1:3" x14ac:dyDescent="0.25">
      <c r="A3096" t="s">
        <v>9</v>
      </c>
      <c r="B3096" s="1">
        <v>44697</v>
      </c>
      <c r="C3096">
        <v>39.551223999999998</v>
      </c>
    </row>
    <row r="3097" spans="1:3" x14ac:dyDescent="0.25">
      <c r="A3097" t="s">
        <v>9</v>
      </c>
      <c r="B3097" s="1">
        <v>44698</v>
      </c>
      <c r="C3097">
        <v>40.441006000000002</v>
      </c>
    </row>
    <row r="3098" spans="1:3" x14ac:dyDescent="0.25">
      <c r="A3098" t="s">
        <v>9</v>
      </c>
      <c r="B3098" s="1">
        <v>44699</v>
      </c>
      <c r="C3098">
        <v>39.629443999999999</v>
      </c>
    </row>
    <row r="3099" spans="1:3" x14ac:dyDescent="0.25">
      <c r="A3099" t="s">
        <v>9</v>
      </c>
      <c r="B3099" s="1">
        <v>44700</v>
      </c>
      <c r="C3099">
        <v>39.717444999999998</v>
      </c>
    </row>
    <row r="3100" spans="1:3" x14ac:dyDescent="0.25">
      <c r="A3100" t="s">
        <v>9</v>
      </c>
      <c r="B3100" s="1">
        <v>44701</v>
      </c>
      <c r="C3100">
        <v>39.668556000000002</v>
      </c>
    </row>
    <row r="3101" spans="1:3" x14ac:dyDescent="0.25">
      <c r="A3101" t="s">
        <v>9</v>
      </c>
      <c r="B3101" s="1">
        <v>44704</v>
      </c>
      <c r="C3101">
        <v>40.499668</v>
      </c>
    </row>
    <row r="3102" spans="1:3" x14ac:dyDescent="0.25">
      <c r="A3102" t="s">
        <v>9</v>
      </c>
      <c r="B3102" s="1">
        <v>44705</v>
      </c>
      <c r="C3102">
        <v>40.470332999999997</v>
      </c>
    </row>
    <row r="3103" spans="1:3" x14ac:dyDescent="0.25">
      <c r="A3103" t="s">
        <v>9</v>
      </c>
      <c r="B3103" s="1">
        <v>44706</v>
      </c>
      <c r="C3103">
        <v>41.741450999999998</v>
      </c>
    </row>
    <row r="3104" spans="1:3" x14ac:dyDescent="0.25">
      <c r="A3104" t="s">
        <v>9</v>
      </c>
      <c r="B3104" s="1">
        <v>44708</v>
      </c>
      <c r="C3104">
        <v>42.562786000000003</v>
      </c>
    </row>
    <row r="3105" spans="1:3" x14ac:dyDescent="0.25">
      <c r="A3105" t="s">
        <v>9</v>
      </c>
      <c r="B3105" s="1">
        <v>44711</v>
      </c>
      <c r="C3105">
        <v>42.465007999999997</v>
      </c>
    </row>
    <row r="3106" spans="1:3" x14ac:dyDescent="0.25">
      <c r="A3106" t="s">
        <v>9</v>
      </c>
      <c r="B3106" s="1">
        <v>44712</v>
      </c>
      <c r="C3106">
        <v>41.761004999999997</v>
      </c>
    </row>
    <row r="3107" spans="1:3" x14ac:dyDescent="0.25">
      <c r="A3107" t="s">
        <v>9</v>
      </c>
      <c r="B3107" s="1">
        <v>44713</v>
      </c>
      <c r="C3107">
        <v>41.937007999999999</v>
      </c>
    </row>
    <row r="3108" spans="1:3" x14ac:dyDescent="0.25">
      <c r="A3108" t="s">
        <v>9</v>
      </c>
      <c r="B3108" s="1">
        <v>44714</v>
      </c>
      <c r="C3108">
        <v>42.386780000000002</v>
      </c>
    </row>
    <row r="3109" spans="1:3" x14ac:dyDescent="0.25">
      <c r="A3109" t="s">
        <v>9</v>
      </c>
      <c r="B3109" s="1">
        <v>44715</v>
      </c>
      <c r="C3109">
        <v>43.208117999999999</v>
      </c>
    </row>
    <row r="3110" spans="1:3" x14ac:dyDescent="0.25">
      <c r="A3110" t="s">
        <v>9</v>
      </c>
      <c r="B3110" s="1">
        <v>44718</v>
      </c>
      <c r="C3110">
        <v>43.481903000000003</v>
      </c>
    </row>
    <row r="3111" spans="1:3" x14ac:dyDescent="0.25">
      <c r="A3111" t="s">
        <v>9</v>
      </c>
      <c r="B3111" s="1">
        <v>44719</v>
      </c>
      <c r="C3111">
        <v>43.491675999999998</v>
      </c>
    </row>
    <row r="3112" spans="1:3" x14ac:dyDescent="0.25">
      <c r="A3112" t="s">
        <v>9</v>
      </c>
      <c r="B3112" s="1">
        <v>44720</v>
      </c>
      <c r="C3112">
        <v>44.938789</v>
      </c>
    </row>
    <row r="3113" spans="1:3" x14ac:dyDescent="0.25">
      <c r="A3113" t="s">
        <v>9</v>
      </c>
      <c r="B3113" s="1">
        <v>44721</v>
      </c>
      <c r="C3113">
        <v>44.107677000000002</v>
      </c>
    </row>
    <row r="3114" spans="1:3" x14ac:dyDescent="0.25">
      <c r="A3114" t="s">
        <v>9</v>
      </c>
      <c r="B3114" s="1">
        <v>44722</v>
      </c>
      <c r="C3114">
        <v>42.044562999999997</v>
      </c>
    </row>
    <row r="3115" spans="1:3" x14ac:dyDescent="0.25">
      <c r="A3115" t="s">
        <v>9</v>
      </c>
      <c r="B3115" s="1">
        <v>44725</v>
      </c>
      <c r="C3115">
        <v>40.577891999999999</v>
      </c>
    </row>
    <row r="3116" spans="1:3" x14ac:dyDescent="0.25">
      <c r="A3116" t="s">
        <v>9</v>
      </c>
      <c r="B3116" s="1">
        <v>44726</v>
      </c>
      <c r="C3116">
        <v>40.998336999999999</v>
      </c>
    </row>
    <row r="3117" spans="1:3" x14ac:dyDescent="0.25">
      <c r="A3117" t="s">
        <v>9</v>
      </c>
      <c r="B3117" s="1">
        <v>44727</v>
      </c>
      <c r="C3117">
        <v>41.096114999999998</v>
      </c>
    </row>
    <row r="3118" spans="1:3" x14ac:dyDescent="0.25">
      <c r="A3118" t="s">
        <v>9</v>
      </c>
      <c r="B3118" s="1">
        <v>44728</v>
      </c>
      <c r="C3118">
        <v>39.942332999999998</v>
      </c>
    </row>
    <row r="3119" spans="1:3" x14ac:dyDescent="0.25">
      <c r="A3119" t="s">
        <v>9</v>
      </c>
      <c r="B3119" s="1">
        <v>44729</v>
      </c>
      <c r="C3119">
        <v>40.802784000000003</v>
      </c>
    </row>
    <row r="3120" spans="1:3" x14ac:dyDescent="0.25">
      <c r="A3120" t="s">
        <v>9</v>
      </c>
      <c r="B3120" s="1">
        <v>44732</v>
      </c>
      <c r="C3120">
        <v>42.103233000000003</v>
      </c>
    </row>
    <row r="3121" spans="1:3" x14ac:dyDescent="0.25">
      <c r="A3121" t="s">
        <v>9</v>
      </c>
      <c r="B3121" s="1">
        <v>44733</v>
      </c>
      <c r="C3121">
        <v>44.195683000000002</v>
      </c>
    </row>
    <row r="3122" spans="1:3" x14ac:dyDescent="0.25">
      <c r="A3122" t="s">
        <v>9</v>
      </c>
      <c r="B3122" s="1">
        <v>44734</v>
      </c>
      <c r="C3122">
        <v>43.765456999999998</v>
      </c>
    </row>
    <row r="3123" spans="1:3" x14ac:dyDescent="0.25">
      <c r="A3123" t="s">
        <v>9</v>
      </c>
      <c r="B3123" s="1">
        <v>44735</v>
      </c>
      <c r="C3123">
        <v>40.607224000000002</v>
      </c>
    </row>
    <row r="3124" spans="1:3" x14ac:dyDescent="0.25">
      <c r="A3124" t="s">
        <v>9</v>
      </c>
      <c r="B3124" s="1">
        <v>44739</v>
      </c>
      <c r="C3124">
        <v>43.716563999999998</v>
      </c>
    </row>
    <row r="3125" spans="1:3" x14ac:dyDescent="0.25">
      <c r="A3125" t="s">
        <v>9</v>
      </c>
      <c r="B3125" s="1">
        <v>44740</v>
      </c>
      <c r="C3125">
        <v>44.068568999999997</v>
      </c>
    </row>
    <row r="3126" spans="1:3" x14ac:dyDescent="0.25">
      <c r="A3126" t="s">
        <v>9</v>
      </c>
      <c r="B3126" s="1">
        <v>44741</v>
      </c>
      <c r="C3126">
        <v>42.993008000000003</v>
      </c>
    </row>
    <row r="3127" spans="1:3" x14ac:dyDescent="0.25">
      <c r="A3127" t="s">
        <v>9</v>
      </c>
      <c r="B3127" s="1">
        <v>44742</v>
      </c>
      <c r="C3127">
        <v>41.301448999999998</v>
      </c>
    </row>
    <row r="3128" spans="1:3" x14ac:dyDescent="0.25">
      <c r="A3128" t="s">
        <v>9</v>
      </c>
      <c r="B3128" s="1">
        <v>44743</v>
      </c>
      <c r="C3128">
        <v>41.770781999999997</v>
      </c>
    </row>
    <row r="3129" spans="1:3" x14ac:dyDescent="0.25">
      <c r="A3129" t="s">
        <v>9</v>
      </c>
      <c r="B3129" s="1">
        <v>44746</v>
      </c>
      <c r="C3129">
        <v>42.670338000000001</v>
      </c>
    </row>
    <row r="3130" spans="1:3" x14ac:dyDescent="0.25">
      <c r="A3130" t="s">
        <v>9</v>
      </c>
      <c r="B3130" s="1">
        <v>44747</v>
      </c>
      <c r="C3130">
        <v>42.435676999999998</v>
      </c>
    </row>
    <row r="3131" spans="1:3" x14ac:dyDescent="0.25">
      <c r="A3131" t="s">
        <v>9</v>
      </c>
      <c r="B3131" s="1">
        <v>44748</v>
      </c>
      <c r="C3131">
        <v>42.210785000000001</v>
      </c>
    </row>
    <row r="3132" spans="1:3" x14ac:dyDescent="0.25">
      <c r="A3132" t="s">
        <v>9</v>
      </c>
      <c r="B3132" s="1">
        <v>44749</v>
      </c>
      <c r="C3132">
        <v>43.247230999999999</v>
      </c>
    </row>
    <row r="3133" spans="1:3" x14ac:dyDescent="0.25">
      <c r="A3133" t="s">
        <v>9</v>
      </c>
      <c r="B3133" s="1">
        <v>44750</v>
      </c>
      <c r="C3133">
        <v>43.217903</v>
      </c>
    </row>
    <row r="3134" spans="1:3" x14ac:dyDescent="0.25">
      <c r="A3134" t="s">
        <v>9</v>
      </c>
      <c r="B3134" s="1">
        <v>44753</v>
      </c>
      <c r="C3134">
        <v>42.944118000000003</v>
      </c>
    </row>
    <row r="3135" spans="1:3" x14ac:dyDescent="0.25">
      <c r="A3135" t="s">
        <v>9</v>
      </c>
      <c r="B3135" s="1">
        <v>44754</v>
      </c>
      <c r="C3135">
        <v>42.709454000000001</v>
      </c>
    </row>
    <row r="3136" spans="1:3" x14ac:dyDescent="0.25">
      <c r="A3136" t="s">
        <v>9</v>
      </c>
      <c r="B3136" s="1">
        <v>44755</v>
      </c>
      <c r="C3136">
        <v>42.289009</v>
      </c>
    </row>
    <row r="3137" spans="1:3" x14ac:dyDescent="0.25">
      <c r="A3137" t="s">
        <v>9</v>
      </c>
      <c r="B3137" s="1">
        <v>44756</v>
      </c>
      <c r="C3137">
        <v>41.409004000000003</v>
      </c>
    </row>
    <row r="3138" spans="1:3" x14ac:dyDescent="0.25">
      <c r="A3138" t="s">
        <v>9</v>
      </c>
      <c r="B3138" s="1">
        <v>44757</v>
      </c>
      <c r="C3138">
        <v>43.276566000000003</v>
      </c>
    </row>
    <row r="3139" spans="1:3" x14ac:dyDescent="0.25">
      <c r="A3139" t="s">
        <v>9</v>
      </c>
      <c r="B3139" s="1">
        <v>44760</v>
      </c>
      <c r="C3139">
        <v>43.980572000000002</v>
      </c>
    </row>
    <row r="3140" spans="1:3" x14ac:dyDescent="0.25">
      <c r="A3140" t="s">
        <v>9</v>
      </c>
      <c r="B3140" s="1">
        <v>44761</v>
      </c>
      <c r="C3140">
        <v>44.753014</v>
      </c>
    </row>
    <row r="3141" spans="1:3" x14ac:dyDescent="0.25">
      <c r="A3141" t="s">
        <v>9</v>
      </c>
      <c r="B3141" s="1">
        <v>44762</v>
      </c>
      <c r="C3141">
        <v>44.674793000000001</v>
      </c>
    </row>
    <row r="3142" spans="1:3" x14ac:dyDescent="0.25">
      <c r="A3142" t="s">
        <v>9</v>
      </c>
      <c r="B3142" s="1">
        <v>44763</v>
      </c>
      <c r="C3142">
        <v>44.684570000000001</v>
      </c>
    </row>
    <row r="3143" spans="1:3" x14ac:dyDescent="0.25">
      <c r="A3143" t="s">
        <v>9</v>
      </c>
      <c r="B3143" s="1">
        <v>44764</v>
      </c>
      <c r="C3143">
        <v>44.733459000000003</v>
      </c>
    </row>
    <row r="3144" spans="1:3" x14ac:dyDescent="0.25">
      <c r="A3144" t="s">
        <v>9</v>
      </c>
      <c r="B3144" s="1">
        <v>44767</v>
      </c>
      <c r="C3144">
        <v>45.095238000000002</v>
      </c>
    </row>
    <row r="3145" spans="1:3" x14ac:dyDescent="0.25">
      <c r="A3145" t="s">
        <v>9</v>
      </c>
      <c r="B3145" s="1">
        <v>44768</v>
      </c>
      <c r="C3145">
        <v>44.352127000000003</v>
      </c>
    </row>
    <row r="3146" spans="1:3" x14ac:dyDescent="0.25">
      <c r="A3146" t="s">
        <v>9</v>
      </c>
      <c r="B3146" s="1">
        <v>44769</v>
      </c>
      <c r="C3146">
        <v>43.755676000000001</v>
      </c>
    </row>
    <row r="3147" spans="1:3" x14ac:dyDescent="0.25">
      <c r="A3147" t="s">
        <v>9</v>
      </c>
      <c r="B3147" s="1">
        <v>44770</v>
      </c>
      <c r="C3147">
        <v>47.598354</v>
      </c>
    </row>
    <row r="3148" spans="1:3" x14ac:dyDescent="0.25">
      <c r="A3148" t="s">
        <v>9</v>
      </c>
      <c r="B3148" s="1">
        <v>44771</v>
      </c>
      <c r="C3148">
        <v>48.967250999999997</v>
      </c>
    </row>
    <row r="3149" spans="1:3" x14ac:dyDescent="0.25">
      <c r="A3149" t="s">
        <v>9</v>
      </c>
      <c r="B3149" s="1">
        <v>44774</v>
      </c>
      <c r="C3149">
        <v>48.947693000000001</v>
      </c>
    </row>
    <row r="3150" spans="1:3" x14ac:dyDescent="0.25">
      <c r="A3150" t="s">
        <v>9</v>
      </c>
      <c r="B3150" s="1">
        <v>44775</v>
      </c>
      <c r="C3150">
        <v>47.911247000000003</v>
      </c>
    </row>
    <row r="3151" spans="1:3" x14ac:dyDescent="0.25">
      <c r="A3151" t="s">
        <v>9</v>
      </c>
      <c r="B3151" s="1">
        <v>44776</v>
      </c>
      <c r="C3151">
        <v>47.862358</v>
      </c>
    </row>
    <row r="3152" spans="1:3" x14ac:dyDescent="0.25">
      <c r="A3152" t="s">
        <v>9</v>
      </c>
      <c r="B3152" s="1">
        <v>44777</v>
      </c>
      <c r="C3152">
        <v>47.754803000000003</v>
      </c>
    </row>
    <row r="3153" spans="1:3" x14ac:dyDescent="0.25">
      <c r="A3153" t="s">
        <v>9</v>
      </c>
      <c r="B3153" s="1">
        <v>44778</v>
      </c>
      <c r="C3153">
        <v>47.295237999999998</v>
      </c>
    </row>
    <row r="3154" spans="1:3" x14ac:dyDescent="0.25">
      <c r="A3154" t="s">
        <v>9</v>
      </c>
      <c r="B3154" s="1">
        <v>44781</v>
      </c>
      <c r="C3154">
        <v>47.236579999999996</v>
      </c>
    </row>
    <row r="3155" spans="1:3" x14ac:dyDescent="0.25">
      <c r="A3155" t="s">
        <v>9</v>
      </c>
      <c r="B3155" s="1">
        <v>44782</v>
      </c>
      <c r="C3155">
        <v>47.148578999999998</v>
      </c>
    </row>
    <row r="3156" spans="1:3" x14ac:dyDescent="0.25">
      <c r="A3156" t="s">
        <v>9</v>
      </c>
      <c r="B3156" s="1">
        <v>44783</v>
      </c>
      <c r="C3156">
        <v>47.324576999999998</v>
      </c>
    </row>
    <row r="3157" spans="1:3" x14ac:dyDescent="0.25">
      <c r="A3157" t="s">
        <v>9</v>
      </c>
      <c r="B3157" s="1">
        <v>44784</v>
      </c>
      <c r="C3157">
        <v>48.312134</v>
      </c>
    </row>
    <row r="3158" spans="1:3" x14ac:dyDescent="0.25">
      <c r="A3158" t="s">
        <v>9</v>
      </c>
      <c r="B3158" s="1">
        <v>44785</v>
      </c>
      <c r="C3158">
        <v>48.429465999999998</v>
      </c>
    </row>
    <row r="3159" spans="1:3" x14ac:dyDescent="0.25">
      <c r="A3159" t="s">
        <v>9</v>
      </c>
      <c r="B3159" s="1">
        <v>44788</v>
      </c>
      <c r="C3159">
        <v>48.419693000000002</v>
      </c>
    </row>
    <row r="3160" spans="1:3" x14ac:dyDescent="0.25">
      <c r="A3160" t="s">
        <v>9</v>
      </c>
      <c r="B3160" s="1">
        <v>44789</v>
      </c>
      <c r="C3160">
        <v>49.808140000000002</v>
      </c>
    </row>
    <row r="3161" spans="1:3" x14ac:dyDescent="0.25">
      <c r="A3161" t="s">
        <v>9</v>
      </c>
      <c r="B3161" s="1">
        <v>44790</v>
      </c>
      <c r="C3161">
        <v>48.693469999999998</v>
      </c>
    </row>
    <row r="3162" spans="1:3" x14ac:dyDescent="0.25">
      <c r="A3162" t="s">
        <v>9</v>
      </c>
      <c r="B3162" s="1">
        <v>44791</v>
      </c>
      <c r="C3162">
        <v>49.221474000000001</v>
      </c>
    </row>
    <row r="3163" spans="1:3" x14ac:dyDescent="0.25">
      <c r="A3163" t="s">
        <v>9</v>
      </c>
      <c r="B3163" s="1">
        <v>44792</v>
      </c>
      <c r="C3163">
        <v>48.673915999999998</v>
      </c>
    </row>
    <row r="3164" spans="1:3" x14ac:dyDescent="0.25">
      <c r="A3164" t="s">
        <v>9</v>
      </c>
      <c r="B3164" s="1">
        <v>44795</v>
      </c>
      <c r="C3164">
        <v>48.742359</v>
      </c>
    </row>
    <row r="3165" spans="1:3" x14ac:dyDescent="0.25">
      <c r="A3165" t="s">
        <v>9</v>
      </c>
      <c r="B3165" s="1">
        <v>44796</v>
      </c>
      <c r="C3165">
        <v>50.023251000000002</v>
      </c>
    </row>
    <row r="3166" spans="1:3" x14ac:dyDescent="0.25">
      <c r="A3166" t="s">
        <v>9</v>
      </c>
      <c r="B3166" s="1">
        <v>44797</v>
      </c>
      <c r="C3166">
        <v>50.003695999999998</v>
      </c>
    </row>
    <row r="3167" spans="1:3" x14ac:dyDescent="0.25">
      <c r="A3167" t="s">
        <v>9</v>
      </c>
      <c r="B3167" s="1">
        <v>44798</v>
      </c>
      <c r="C3167">
        <v>50.707698999999998</v>
      </c>
    </row>
    <row r="3168" spans="1:3" x14ac:dyDescent="0.25">
      <c r="A3168" t="s">
        <v>9</v>
      </c>
      <c r="B3168" s="1">
        <v>44799</v>
      </c>
      <c r="C3168">
        <v>50.042808999999998</v>
      </c>
    </row>
    <row r="3169" spans="1:3" x14ac:dyDescent="0.25">
      <c r="A3169" t="s">
        <v>9</v>
      </c>
      <c r="B3169" s="1">
        <v>44802</v>
      </c>
      <c r="C3169">
        <v>50.492584000000001</v>
      </c>
    </row>
    <row r="3170" spans="1:3" x14ac:dyDescent="0.25">
      <c r="A3170" t="s">
        <v>9</v>
      </c>
      <c r="B3170" s="1">
        <v>44803</v>
      </c>
      <c r="C3170">
        <v>50.179695000000002</v>
      </c>
    </row>
    <row r="3171" spans="1:3" x14ac:dyDescent="0.25">
      <c r="A3171" t="s">
        <v>9</v>
      </c>
      <c r="B3171" s="1">
        <v>44804</v>
      </c>
      <c r="C3171">
        <v>48.155689000000002</v>
      </c>
    </row>
    <row r="3172" spans="1:3" x14ac:dyDescent="0.25">
      <c r="A3172" t="s">
        <v>9</v>
      </c>
      <c r="B3172" s="1">
        <v>44805</v>
      </c>
      <c r="C3172">
        <v>46.757469</v>
      </c>
    </row>
    <row r="3173" spans="1:3" x14ac:dyDescent="0.25">
      <c r="A3173" t="s">
        <v>9</v>
      </c>
      <c r="B3173" s="1">
        <v>44806</v>
      </c>
      <c r="C3173">
        <v>47.881915999999997</v>
      </c>
    </row>
    <row r="3174" spans="1:3" x14ac:dyDescent="0.25">
      <c r="A3174" t="s">
        <v>9</v>
      </c>
      <c r="B3174" s="1">
        <v>44809</v>
      </c>
      <c r="C3174">
        <v>47.265915</v>
      </c>
    </row>
    <row r="3175" spans="1:3" x14ac:dyDescent="0.25">
      <c r="A3175" t="s">
        <v>9</v>
      </c>
      <c r="B3175" s="1">
        <v>44810</v>
      </c>
      <c r="C3175">
        <v>46.513019999999997</v>
      </c>
    </row>
    <row r="3176" spans="1:3" x14ac:dyDescent="0.25">
      <c r="A3176" t="s">
        <v>9</v>
      </c>
      <c r="B3176" s="1">
        <v>44811</v>
      </c>
      <c r="C3176">
        <v>45.955680999999998</v>
      </c>
    </row>
    <row r="3177" spans="1:3" x14ac:dyDescent="0.25">
      <c r="A3177" t="s">
        <v>9</v>
      </c>
      <c r="B3177" s="1">
        <v>44812</v>
      </c>
      <c r="C3177">
        <v>46.121906000000003</v>
      </c>
    </row>
    <row r="3178" spans="1:3" x14ac:dyDescent="0.25">
      <c r="A3178" t="s">
        <v>9</v>
      </c>
      <c r="B3178" s="1">
        <v>44813</v>
      </c>
      <c r="C3178">
        <v>46.728133999999997</v>
      </c>
    </row>
    <row r="3179" spans="1:3" x14ac:dyDescent="0.25">
      <c r="A3179" t="s">
        <v>9</v>
      </c>
      <c r="B3179" s="1">
        <v>44816</v>
      </c>
      <c r="C3179">
        <v>46.953021999999997</v>
      </c>
    </row>
    <row r="3180" spans="1:3" x14ac:dyDescent="0.25">
      <c r="A3180" t="s">
        <v>9</v>
      </c>
      <c r="B3180" s="1">
        <v>44817</v>
      </c>
      <c r="C3180">
        <v>44.195683000000002</v>
      </c>
    </row>
    <row r="3181" spans="1:3" x14ac:dyDescent="0.25">
      <c r="A3181" t="s">
        <v>9</v>
      </c>
      <c r="B3181" s="1">
        <v>44818</v>
      </c>
      <c r="C3181">
        <v>43.970790999999998</v>
      </c>
    </row>
    <row r="3182" spans="1:3" x14ac:dyDescent="0.25">
      <c r="A3182" t="s">
        <v>9</v>
      </c>
      <c r="B3182" s="1">
        <v>44819</v>
      </c>
      <c r="C3182">
        <v>43.540565000000001</v>
      </c>
    </row>
    <row r="3183" spans="1:3" x14ac:dyDescent="0.25">
      <c r="A3183" t="s">
        <v>9</v>
      </c>
      <c r="B3183" s="1">
        <v>44820</v>
      </c>
      <c r="C3183">
        <v>42.807228000000002</v>
      </c>
    </row>
    <row r="3184" spans="1:3" x14ac:dyDescent="0.25">
      <c r="A3184" t="s">
        <v>9</v>
      </c>
      <c r="B3184" s="1">
        <v>44823</v>
      </c>
      <c r="C3184">
        <v>42.425899999999999</v>
      </c>
    </row>
    <row r="3185" spans="1:3" x14ac:dyDescent="0.25">
      <c r="A3185" t="s">
        <v>9</v>
      </c>
      <c r="B3185" s="1">
        <v>44824</v>
      </c>
      <c r="C3185">
        <v>41.809891</v>
      </c>
    </row>
    <row r="3186" spans="1:3" x14ac:dyDescent="0.25">
      <c r="A3186" t="s">
        <v>9</v>
      </c>
      <c r="B3186" s="1">
        <v>44825</v>
      </c>
      <c r="C3186">
        <v>42.533454999999996</v>
      </c>
    </row>
    <row r="3187" spans="1:3" x14ac:dyDescent="0.25">
      <c r="A3187" t="s">
        <v>9</v>
      </c>
      <c r="B3187" s="1">
        <v>44826</v>
      </c>
      <c r="C3187">
        <v>42.230339000000001</v>
      </c>
    </row>
    <row r="3188" spans="1:3" x14ac:dyDescent="0.25">
      <c r="A3188" t="s">
        <v>9</v>
      </c>
      <c r="B3188" s="1">
        <v>44827</v>
      </c>
      <c r="C3188">
        <v>41.321007000000002</v>
      </c>
    </row>
    <row r="3189" spans="1:3" x14ac:dyDescent="0.25">
      <c r="A3189" t="s">
        <v>9</v>
      </c>
      <c r="B3189" s="1">
        <v>44830</v>
      </c>
      <c r="C3189">
        <v>41.223227999999999</v>
      </c>
    </row>
    <row r="3190" spans="1:3" x14ac:dyDescent="0.25">
      <c r="A3190" t="s">
        <v>9</v>
      </c>
      <c r="B3190" s="1">
        <v>44831</v>
      </c>
      <c r="C3190">
        <v>42.328121000000003</v>
      </c>
    </row>
    <row r="3191" spans="1:3" x14ac:dyDescent="0.25">
      <c r="A3191" t="s">
        <v>9</v>
      </c>
      <c r="B3191" s="1">
        <v>44832</v>
      </c>
      <c r="C3191">
        <v>43.374347999999998</v>
      </c>
    </row>
    <row r="3192" spans="1:3" x14ac:dyDescent="0.25">
      <c r="A3192" t="s">
        <v>9</v>
      </c>
      <c r="B3192" s="1">
        <v>44833</v>
      </c>
      <c r="C3192">
        <v>43.275649999999999</v>
      </c>
    </row>
    <row r="3193" spans="1:3" x14ac:dyDescent="0.25">
      <c r="A3193" t="s">
        <v>9</v>
      </c>
      <c r="B3193" s="1">
        <v>44834</v>
      </c>
      <c r="C3193">
        <v>44.213206999999997</v>
      </c>
    </row>
    <row r="3194" spans="1:3" x14ac:dyDescent="0.25">
      <c r="A3194" t="s">
        <v>9</v>
      </c>
      <c r="B3194" s="1">
        <v>44837</v>
      </c>
      <c r="C3194">
        <v>43.956614999999999</v>
      </c>
    </row>
    <row r="3195" spans="1:3" x14ac:dyDescent="0.25">
      <c r="A3195" t="s">
        <v>9</v>
      </c>
      <c r="B3195" s="1">
        <v>44838</v>
      </c>
      <c r="C3195">
        <v>45.624481000000003</v>
      </c>
    </row>
    <row r="3196" spans="1:3" x14ac:dyDescent="0.25">
      <c r="A3196" t="s">
        <v>9</v>
      </c>
      <c r="B3196" s="1">
        <v>44839</v>
      </c>
      <c r="C3196">
        <v>45.871203999999999</v>
      </c>
    </row>
    <row r="3197" spans="1:3" x14ac:dyDescent="0.25">
      <c r="A3197" t="s">
        <v>9</v>
      </c>
      <c r="B3197" s="1">
        <v>44840</v>
      </c>
      <c r="C3197">
        <v>45.881076999999998</v>
      </c>
    </row>
    <row r="3198" spans="1:3" x14ac:dyDescent="0.25">
      <c r="A3198" t="s">
        <v>9</v>
      </c>
      <c r="B3198" s="1">
        <v>44841</v>
      </c>
      <c r="C3198">
        <v>44.302028999999997</v>
      </c>
    </row>
    <row r="3199" spans="1:3" x14ac:dyDescent="0.25">
      <c r="A3199" t="s">
        <v>9</v>
      </c>
      <c r="B3199" s="1">
        <v>44844</v>
      </c>
      <c r="C3199">
        <v>44.005958999999997</v>
      </c>
    </row>
    <row r="3200" spans="1:3" x14ac:dyDescent="0.25">
      <c r="A3200" t="s">
        <v>9</v>
      </c>
      <c r="B3200" s="1">
        <v>44845</v>
      </c>
      <c r="C3200">
        <v>43.749366999999999</v>
      </c>
    </row>
    <row r="3201" spans="1:3" x14ac:dyDescent="0.25">
      <c r="A3201" t="s">
        <v>9</v>
      </c>
      <c r="B3201" s="1">
        <v>44846</v>
      </c>
      <c r="C3201">
        <v>43.867794000000004</v>
      </c>
    </row>
    <row r="3202" spans="1:3" x14ac:dyDescent="0.25">
      <c r="A3202" t="s">
        <v>9</v>
      </c>
      <c r="B3202" s="1">
        <v>44847</v>
      </c>
      <c r="C3202">
        <v>44.864562999999997</v>
      </c>
    </row>
    <row r="3203" spans="1:3" x14ac:dyDescent="0.25">
      <c r="A3203" t="s">
        <v>9</v>
      </c>
      <c r="B3203" s="1">
        <v>44848</v>
      </c>
      <c r="C3203">
        <v>43.848056999999997</v>
      </c>
    </row>
    <row r="3204" spans="1:3" x14ac:dyDescent="0.25">
      <c r="A3204" t="s">
        <v>9</v>
      </c>
      <c r="B3204" s="1">
        <v>44851</v>
      </c>
      <c r="C3204">
        <v>45.180374</v>
      </c>
    </row>
    <row r="3205" spans="1:3" x14ac:dyDescent="0.25">
      <c r="A3205" t="s">
        <v>9</v>
      </c>
      <c r="B3205" s="1">
        <v>44852</v>
      </c>
      <c r="C3205">
        <v>45.427097000000003</v>
      </c>
    </row>
    <row r="3206" spans="1:3" x14ac:dyDescent="0.25">
      <c r="A3206" t="s">
        <v>9</v>
      </c>
      <c r="B3206" s="1">
        <v>44853</v>
      </c>
      <c r="C3206">
        <v>44.302028999999997</v>
      </c>
    </row>
    <row r="3207" spans="1:3" x14ac:dyDescent="0.25">
      <c r="A3207" t="s">
        <v>9</v>
      </c>
      <c r="B3207" s="1">
        <v>44854</v>
      </c>
      <c r="C3207">
        <v>44.894173000000002</v>
      </c>
    </row>
    <row r="3208" spans="1:3" x14ac:dyDescent="0.25">
      <c r="A3208" t="s">
        <v>9</v>
      </c>
      <c r="B3208" s="1">
        <v>44855</v>
      </c>
      <c r="C3208">
        <v>45.634349999999998</v>
      </c>
    </row>
    <row r="3209" spans="1:3" x14ac:dyDescent="0.25">
      <c r="A3209" t="s">
        <v>9</v>
      </c>
      <c r="B3209" s="1">
        <v>44858</v>
      </c>
      <c r="C3209">
        <v>46.394260000000003</v>
      </c>
    </row>
    <row r="3210" spans="1:3" x14ac:dyDescent="0.25">
      <c r="A3210" t="s">
        <v>9</v>
      </c>
      <c r="B3210" s="1">
        <v>44859</v>
      </c>
      <c r="C3210">
        <v>47.094966999999997</v>
      </c>
    </row>
    <row r="3211" spans="1:3" x14ac:dyDescent="0.25">
      <c r="A3211" t="s">
        <v>9</v>
      </c>
      <c r="B3211" s="1">
        <v>44860</v>
      </c>
      <c r="C3211">
        <v>48.052258000000002</v>
      </c>
    </row>
    <row r="3212" spans="1:3" x14ac:dyDescent="0.25">
      <c r="A3212" t="s">
        <v>9</v>
      </c>
      <c r="B3212" s="1">
        <v>44861</v>
      </c>
      <c r="C3212">
        <v>44.864562999999997</v>
      </c>
    </row>
    <row r="3213" spans="1:3" x14ac:dyDescent="0.25">
      <c r="A3213" t="s">
        <v>9</v>
      </c>
      <c r="B3213" s="1">
        <v>44862</v>
      </c>
      <c r="C3213">
        <v>42.999321000000002</v>
      </c>
    </row>
    <row r="3214" spans="1:3" x14ac:dyDescent="0.25">
      <c r="A3214" t="s">
        <v>9</v>
      </c>
      <c r="B3214" s="1">
        <v>44865</v>
      </c>
      <c r="C3214">
        <v>43.759234999999997</v>
      </c>
    </row>
    <row r="3215" spans="1:3" x14ac:dyDescent="0.25">
      <c r="A3215" t="s">
        <v>9</v>
      </c>
      <c r="B3215" s="1">
        <v>44866</v>
      </c>
      <c r="C3215">
        <v>44.055304999999997</v>
      </c>
    </row>
    <row r="3216" spans="1:3" x14ac:dyDescent="0.25">
      <c r="A3216" t="s">
        <v>9</v>
      </c>
      <c r="B3216" s="1">
        <v>44867</v>
      </c>
      <c r="C3216">
        <v>44.045437</v>
      </c>
    </row>
    <row r="3217" spans="1:3" x14ac:dyDescent="0.25">
      <c r="A3217" t="s">
        <v>9</v>
      </c>
      <c r="B3217" s="1">
        <v>44868</v>
      </c>
      <c r="C3217">
        <v>43.601329999999997</v>
      </c>
    </row>
    <row r="3218" spans="1:3" x14ac:dyDescent="0.25">
      <c r="A3218" t="s">
        <v>9</v>
      </c>
      <c r="B3218" s="1">
        <v>44869</v>
      </c>
      <c r="C3218">
        <v>44.874434999999998</v>
      </c>
    </row>
    <row r="3219" spans="1:3" x14ac:dyDescent="0.25">
      <c r="A3219" t="s">
        <v>9</v>
      </c>
      <c r="B3219" s="1">
        <v>44872</v>
      </c>
      <c r="C3219">
        <v>45.989632</v>
      </c>
    </row>
    <row r="3220" spans="1:3" x14ac:dyDescent="0.25">
      <c r="A3220" t="s">
        <v>9</v>
      </c>
      <c r="B3220" s="1">
        <v>44873</v>
      </c>
      <c r="C3220">
        <v>45.782383000000003</v>
      </c>
    </row>
    <row r="3221" spans="1:3" x14ac:dyDescent="0.25">
      <c r="A3221" t="s">
        <v>9</v>
      </c>
      <c r="B3221" s="1">
        <v>44874</v>
      </c>
      <c r="C3221">
        <v>45.436970000000002</v>
      </c>
    </row>
    <row r="3222" spans="1:3" x14ac:dyDescent="0.25">
      <c r="A3222" t="s">
        <v>9</v>
      </c>
      <c r="B3222" s="1">
        <v>44875</v>
      </c>
      <c r="C3222">
        <v>45.496181</v>
      </c>
    </row>
    <row r="3223" spans="1:3" x14ac:dyDescent="0.25">
      <c r="A3223" t="s">
        <v>9</v>
      </c>
      <c r="B3223" s="1">
        <v>44876</v>
      </c>
      <c r="C3223">
        <v>46.127800000000001</v>
      </c>
    </row>
    <row r="3224" spans="1:3" x14ac:dyDescent="0.25">
      <c r="A3224" t="s">
        <v>9</v>
      </c>
      <c r="B3224" s="1">
        <v>44879</v>
      </c>
      <c r="C3224">
        <v>46.216621000000004</v>
      </c>
    </row>
    <row r="3225" spans="1:3" x14ac:dyDescent="0.25">
      <c r="A3225" t="s">
        <v>9</v>
      </c>
      <c r="B3225" s="1">
        <v>44880</v>
      </c>
      <c r="C3225">
        <v>46.206752999999999</v>
      </c>
    </row>
    <row r="3226" spans="1:3" x14ac:dyDescent="0.25">
      <c r="A3226" t="s">
        <v>9</v>
      </c>
      <c r="B3226" s="1">
        <v>44881</v>
      </c>
      <c r="C3226">
        <v>45.367885999999999</v>
      </c>
    </row>
    <row r="3227" spans="1:3" x14ac:dyDescent="0.25">
      <c r="A3227" t="s">
        <v>9</v>
      </c>
      <c r="B3227" s="1">
        <v>44882</v>
      </c>
      <c r="C3227">
        <v>44.450066</v>
      </c>
    </row>
    <row r="3228" spans="1:3" x14ac:dyDescent="0.25">
      <c r="A3228" t="s">
        <v>9</v>
      </c>
      <c r="B3228" s="1">
        <v>44883</v>
      </c>
      <c r="C3228">
        <v>44.647449000000002</v>
      </c>
    </row>
    <row r="3229" spans="1:3" x14ac:dyDescent="0.25">
      <c r="A3229" t="s">
        <v>9</v>
      </c>
      <c r="B3229" s="1">
        <v>44886</v>
      </c>
      <c r="C3229">
        <v>44.756003999999997</v>
      </c>
    </row>
    <row r="3230" spans="1:3" x14ac:dyDescent="0.25">
      <c r="A3230" t="s">
        <v>9</v>
      </c>
      <c r="B3230" s="1">
        <v>44887</v>
      </c>
      <c r="C3230">
        <v>45.466576000000003</v>
      </c>
    </row>
    <row r="3231" spans="1:3" x14ac:dyDescent="0.25">
      <c r="A3231" t="s">
        <v>9</v>
      </c>
      <c r="B3231" s="1">
        <v>44888</v>
      </c>
      <c r="C3231">
        <v>46.463348000000003</v>
      </c>
    </row>
    <row r="3232" spans="1:3" x14ac:dyDescent="0.25">
      <c r="A3232" t="s">
        <v>9</v>
      </c>
      <c r="B3232" s="1">
        <v>44889</v>
      </c>
      <c r="C3232">
        <v>46.710071999999997</v>
      </c>
    </row>
    <row r="3233" spans="1:3" x14ac:dyDescent="0.25">
      <c r="A3233" t="s">
        <v>9</v>
      </c>
      <c r="B3233" s="1">
        <v>44890</v>
      </c>
      <c r="C3233">
        <v>47.144309999999997</v>
      </c>
    </row>
    <row r="3234" spans="1:3" x14ac:dyDescent="0.25">
      <c r="A3234" t="s">
        <v>9</v>
      </c>
      <c r="B3234" s="1">
        <v>44893</v>
      </c>
      <c r="C3234">
        <v>46.295574000000002</v>
      </c>
    </row>
    <row r="3235" spans="1:3" x14ac:dyDescent="0.25">
      <c r="A3235" t="s">
        <v>9</v>
      </c>
      <c r="B3235" s="1">
        <v>44894</v>
      </c>
      <c r="C3235">
        <v>46.078453000000003</v>
      </c>
    </row>
    <row r="3236" spans="1:3" x14ac:dyDescent="0.25">
      <c r="A3236" t="s">
        <v>9</v>
      </c>
      <c r="B3236" s="1">
        <v>44895</v>
      </c>
      <c r="C3236">
        <v>48.693745</v>
      </c>
    </row>
    <row r="3237" spans="1:3" x14ac:dyDescent="0.25">
      <c r="A3237" t="s">
        <v>9</v>
      </c>
      <c r="B3237" s="1">
        <v>44896</v>
      </c>
      <c r="C3237">
        <v>47.529198000000001</v>
      </c>
    </row>
    <row r="3238" spans="1:3" x14ac:dyDescent="0.25">
      <c r="A3238" t="s">
        <v>9</v>
      </c>
      <c r="B3238" s="1">
        <v>44897</v>
      </c>
      <c r="C3238">
        <v>48.200294</v>
      </c>
    </row>
    <row r="3239" spans="1:3" x14ac:dyDescent="0.25">
      <c r="A3239" t="s">
        <v>9</v>
      </c>
      <c r="B3239" s="1">
        <v>44900</v>
      </c>
      <c r="C3239">
        <v>48.042389</v>
      </c>
    </row>
    <row r="3240" spans="1:3" x14ac:dyDescent="0.25">
      <c r="A3240" t="s">
        <v>9</v>
      </c>
      <c r="B3240" s="1">
        <v>44902</v>
      </c>
      <c r="C3240">
        <v>46.423873999999998</v>
      </c>
    </row>
    <row r="3241" spans="1:3" x14ac:dyDescent="0.25">
      <c r="A3241" t="s">
        <v>9</v>
      </c>
      <c r="B3241" s="1">
        <v>44903</v>
      </c>
      <c r="C3241">
        <v>45.377749999999999</v>
      </c>
    </row>
    <row r="3242" spans="1:3" x14ac:dyDescent="0.25">
      <c r="A3242" t="s">
        <v>9</v>
      </c>
      <c r="B3242" s="1">
        <v>44904</v>
      </c>
      <c r="C3242">
        <v>45.140895999999998</v>
      </c>
    </row>
    <row r="3243" spans="1:3" x14ac:dyDescent="0.25">
      <c r="A3243" t="s">
        <v>9</v>
      </c>
      <c r="B3243" s="1">
        <v>44907</v>
      </c>
      <c r="C3243">
        <v>45.209983999999999</v>
      </c>
    </row>
    <row r="3244" spans="1:3" x14ac:dyDescent="0.25">
      <c r="A3244" t="s">
        <v>9</v>
      </c>
      <c r="B3244" s="1">
        <v>44908</v>
      </c>
      <c r="C3244">
        <v>45.594872000000002</v>
      </c>
    </row>
    <row r="3245" spans="1:3" x14ac:dyDescent="0.25">
      <c r="A3245" t="s">
        <v>9</v>
      </c>
      <c r="B3245" s="1">
        <v>44909</v>
      </c>
      <c r="C3245">
        <v>45.515918999999997</v>
      </c>
    </row>
    <row r="3246" spans="1:3" x14ac:dyDescent="0.25">
      <c r="A3246" t="s">
        <v>9</v>
      </c>
      <c r="B3246" s="1">
        <v>44910</v>
      </c>
      <c r="C3246">
        <v>45.002727999999998</v>
      </c>
    </row>
    <row r="3247" spans="1:3" x14ac:dyDescent="0.25">
      <c r="A3247" t="s">
        <v>9</v>
      </c>
      <c r="B3247" s="1">
        <v>44911</v>
      </c>
      <c r="C3247">
        <v>44.025700000000001</v>
      </c>
    </row>
    <row r="3248" spans="1:3" x14ac:dyDescent="0.25">
      <c r="A3248" t="s">
        <v>9</v>
      </c>
      <c r="B3248" s="1">
        <v>44914</v>
      </c>
      <c r="C3248">
        <v>44.795479</v>
      </c>
    </row>
    <row r="3249" spans="1:3" x14ac:dyDescent="0.25">
      <c r="A3249" t="s">
        <v>9</v>
      </c>
      <c r="B3249" s="1">
        <v>44915</v>
      </c>
      <c r="C3249">
        <v>45.881076999999998</v>
      </c>
    </row>
    <row r="3250" spans="1:3" x14ac:dyDescent="0.25">
      <c r="A3250" t="s">
        <v>9</v>
      </c>
      <c r="B3250" s="1">
        <v>44916</v>
      </c>
      <c r="C3250">
        <v>43.966484000000001</v>
      </c>
    </row>
    <row r="3251" spans="1:3" x14ac:dyDescent="0.25">
      <c r="A3251" t="s">
        <v>9</v>
      </c>
      <c r="B3251" s="1">
        <v>44917</v>
      </c>
      <c r="C3251">
        <v>43.354607000000001</v>
      </c>
    </row>
    <row r="3252" spans="1:3" x14ac:dyDescent="0.25">
      <c r="A3252" t="s">
        <v>9</v>
      </c>
      <c r="B3252" s="1">
        <v>44918</v>
      </c>
      <c r="C3252">
        <v>43.315128000000001</v>
      </c>
    </row>
    <row r="3253" spans="1:3" x14ac:dyDescent="0.25">
      <c r="A3253" t="s">
        <v>9</v>
      </c>
      <c r="B3253" s="1">
        <v>44922</v>
      </c>
      <c r="C3253">
        <v>43.117747999999999</v>
      </c>
    </row>
    <row r="3254" spans="1:3" x14ac:dyDescent="0.25">
      <c r="A3254" t="s">
        <v>9</v>
      </c>
      <c r="B3254" s="1">
        <v>44923</v>
      </c>
      <c r="C3254">
        <v>42.762462999999997</v>
      </c>
    </row>
    <row r="3255" spans="1:3" x14ac:dyDescent="0.25">
      <c r="A3255" t="s">
        <v>9</v>
      </c>
      <c r="B3255" s="1">
        <v>44924</v>
      </c>
      <c r="C3255">
        <v>43.226306999999998</v>
      </c>
    </row>
    <row r="3256" spans="1:3" x14ac:dyDescent="0.25">
      <c r="A3256" t="s">
        <v>9</v>
      </c>
      <c r="B3256" s="1">
        <v>44925</v>
      </c>
      <c r="C3256">
        <v>42.456524000000002</v>
      </c>
    </row>
    <row r="3257" spans="1:3" x14ac:dyDescent="0.25">
      <c r="A3257" t="s">
        <v>9</v>
      </c>
      <c r="B3257" s="1">
        <v>44928</v>
      </c>
      <c r="C3257">
        <v>43.897399999999998</v>
      </c>
    </row>
    <row r="3258" spans="1:3" x14ac:dyDescent="0.25">
      <c r="A3258" t="s">
        <v>9</v>
      </c>
      <c r="B3258" s="1">
        <v>44929</v>
      </c>
      <c r="C3258">
        <v>43.571728</v>
      </c>
    </row>
    <row r="3259" spans="1:3" x14ac:dyDescent="0.25">
      <c r="A3259" t="s">
        <v>9</v>
      </c>
      <c r="B3259" s="1">
        <v>44930</v>
      </c>
      <c r="C3259">
        <v>42.969710999999997</v>
      </c>
    </row>
    <row r="3260" spans="1:3" x14ac:dyDescent="0.25">
      <c r="A3260" t="s">
        <v>9</v>
      </c>
      <c r="B3260" s="1">
        <v>44931</v>
      </c>
      <c r="C3260">
        <v>43.551986999999997</v>
      </c>
    </row>
    <row r="3261" spans="1:3" x14ac:dyDescent="0.25">
      <c r="A3261" t="s">
        <v>9</v>
      </c>
      <c r="B3261" s="1">
        <v>44935</v>
      </c>
      <c r="C3261">
        <v>44.331634999999999</v>
      </c>
    </row>
    <row r="3262" spans="1:3" x14ac:dyDescent="0.25">
      <c r="A3262" t="s">
        <v>9</v>
      </c>
      <c r="B3262" s="1">
        <v>44936</v>
      </c>
      <c r="C3262">
        <v>43.788837000000001</v>
      </c>
    </row>
    <row r="3263" spans="1:3" x14ac:dyDescent="0.25">
      <c r="A3263" t="s">
        <v>9</v>
      </c>
      <c r="B3263" s="1">
        <v>44937</v>
      </c>
      <c r="C3263">
        <v>44.390853999999997</v>
      </c>
    </row>
    <row r="3264" spans="1:3" x14ac:dyDescent="0.25">
      <c r="A3264" t="s">
        <v>9</v>
      </c>
      <c r="B3264" s="1">
        <v>44938</v>
      </c>
      <c r="C3264">
        <v>44.844825999999998</v>
      </c>
    </row>
    <row r="3265" spans="1:3" x14ac:dyDescent="0.25">
      <c r="A3265" t="s">
        <v>9</v>
      </c>
      <c r="B3265" s="1">
        <v>44939</v>
      </c>
      <c r="C3265">
        <v>44.716534000000003</v>
      </c>
    </row>
    <row r="3266" spans="1:3" x14ac:dyDescent="0.25">
      <c r="A3266" t="s">
        <v>9</v>
      </c>
      <c r="B3266" s="1">
        <v>44942</v>
      </c>
      <c r="C3266">
        <v>44.558624000000002</v>
      </c>
    </row>
    <row r="3267" spans="1:3" x14ac:dyDescent="0.25">
      <c r="A3267" t="s">
        <v>9</v>
      </c>
      <c r="B3267" s="1">
        <v>44943</v>
      </c>
      <c r="C3267">
        <v>44.509281000000001</v>
      </c>
    </row>
    <row r="3268" spans="1:3" x14ac:dyDescent="0.25">
      <c r="A3268" t="s">
        <v>9</v>
      </c>
      <c r="B3268" s="1">
        <v>44944</v>
      </c>
      <c r="C3268">
        <v>45.358013</v>
      </c>
    </row>
    <row r="3269" spans="1:3" x14ac:dyDescent="0.25">
      <c r="A3269" t="s">
        <v>9</v>
      </c>
      <c r="B3269" s="1">
        <v>44945</v>
      </c>
      <c r="C3269">
        <v>43.946747000000002</v>
      </c>
    </row>
    <row r="3270" spans="1:3" x14ac:dyDescent="0.25">
      <c r="A3270" t="s">
        <v>9</v>
      </c>
      <c r="B3270" s="1">
        <v>44946</v>
      </c>
      <c r="C3270">
        <v>44.292164</v>
      </c>
    </row>
    <row r="3271" spans="1:3" x14ac:dyDescent="0.25">
      <c r="A3271" t="s">
        <v>9</v>
      </c>
      <c r="B3271" s="1">
        <v>44949</v>
      </c>
      <c r="C3271">
        <v>45.002727999999998</v>
      </c>
    </row>
    <row r="3272" spans="1:3" x14ac:dyDescent="0.25">
      <c r="A3272" t="s">
        <v>9</v>
      </c>
      <c r="B3272" s="1">
        <v>44950</v>
      </c>
      <c r="C3272">
        <v>44.785614000000002</v>
      </c>
    </row>
    <row r="3273" spans="1:3" x14ac:dyDescent="0.25">
      <c r="A3273" t="s">
        <v>9</v>
      </c>
      <c r="B3273" s="1">
        <v>44951</v>
      </c>
      <c r="C3273">
        <v>44.844825999999998</v>
      </c>
    </row>
    <row r="3274" spans="1:3" x14ac:dyDescent="0.25">
      <c r="A3274" t="s">
        <v>9</v>
      </c>
      <c r="B3274" s="1">
        <v>44952</v>
      </c>
      <c r="C3274">
        <v>44.943519999999999</v>
      </c>
    </row>
    <row r="3275" spans="1:3" x14ac:dyDescent="0.25">
      <c r="A3275" t="s">
        <v>9</v>
      </c>
      <c r="B3275" s="1">
        <v>44953</v>
      </c>
      <c r="C3275">
        <v>45.012599999999999</v>
      </c>
    </row>
    <row r="3276" spans="1:3" x14ac:dyDescent="0.25">
      <c r="A3276" t="s">
        <v>9</v>
      </c>
      <c r="B3276" s="1">
        <v>44956</v>
      </c>
      <c r="C3276">
        <v>43.808582000000001</v>
      </c>
    </row>
    <row r="3277" spans="1:3" x14ac:dyDescent="0.25">
      <c r="A3277" t="s">
        <v>9</v>
      </c>
      <c r="B3277" s="1">
        <v>44957</v>
      </c>
      <c r="C3277">
        <v>43.255916999999997</v>
      </c>
    </row>
    <row r="3278" spans="1:3" x14ac:dyDescent="0.25">
      <c r="A3278" t="s">
        <v>9</v>
      </c>
      <c r="B3278" s="1">
        <v>44958</v>
      </c>
      <c r="C3278">
        <v>42.584823999999998</v>
      </c>
    </row>
    <row r="3279" spans="1:3" x14ac:dyDescent="0.25">
      <c r="A3279" t="s">
        <v>9</v>
      </c>
      <c r="B3279" s="1">
        <v>44959</v>
      </c>
      <c r="C3279">
        <v>42.436787000000002</v>
      </c>
    </row>
    <row r="3280" spans="1:3" x14ac:dyDescent="0.25">
      <c r="A3280" t="s">
        <v>9</v>
      </c>
      <c r="B3280" s="1">
        <v>44960</v>
      </c>
      <c r="C3280">
        <v>42.150585</v>
      </c>
    </row>
    <row r="3281" spans="1:3" x14ac:dyDescent="0.25">
      <c r="A3281" t="s">
        <v>9</v>
      </c>
      <c r="B3281" s="1">
        <v>44963</v>
      </c>
      <c r="C3281">
        <v>42.150585</v>
      </c>
    </row>
    <row r="3282" spans="1:3" x14ac:dyDescent="0.25">
      <c r="A3282" t="s">
        <v>9</v>
      </c>
      <c r="B3282" s="1">
        <v>44964</v>
      </c>
      <c r="C3282">
        <v>42.377571000000003</v>
      </c>
    </row>
    <row r="3283" spans="1:3" x14ac:dyDescent="0.25">
      <c r="A3283" t="s">
        <v>9</v>
      </c>
      <c r="B3283" s="1">
        <v>44965</v>
      </c>
      <c r="C3283">
        <v>46.877845999999998</v>
      </c>
    </row>
    <row r="3284" spans="1:3" x14ac:dyDescent="0.25">
      <c r="A3284" t="s">
        <v>9</v>
      </c>
      <c r="B3284" s="1">
        <v>44966</v>
      </c>
      <c r="C3284">
        <v>46.187016</v>
      </c>
    </row>
    <row r="3285" spans="1:3" x14ac:dyDescent="0.25">
      <c r="A3285" t="s">
        <v>9</v>
      </c>
      <c r="B3285" s="1">
        <v>44967</v>
      </c>
      <c r="C3285">
        <v>46.305442999999997</v>
      </c>
    </row>
    <row r="3286" spans="1:3" x14ac:dyDescent="0.25">
      <c r="A3286" t="s">
        <v>9</v>
      </c>
      <c r="B3286" s="1">
        <v>44970</v>
      </c>
      <c r="C3286">
        <v>46.512690999999997</v>
      </c>
    </row>
    <row r="3287" spans="1:3" x14ac:dyDescent="0.25">
      <c r="A3287" t="s">
        <v>9</v>
      </c>
      <c r="B3287" s="1">
        <v>44971</v>
      </c>
      <c r="C3287">
        <v>45.693562</v>
      </c>
    </row>
    <row r="3288" spans="1:3" x14ac:dyDescent="0.25">
      <c r="A3288" t="s">
        <v>9</v>
      </c>
      <c r="B3288" s="1">
        <v>44972</v>
      </c>
      <c r="C3288">
        <v>44.795479</v>
      </c>
    </row>
    <row r="3289" spans="1:3" x14ac:dyDescent="0.25">
      <c r="A3289" t="s">
        <v>9</v>
      </c>
      <c r="B3289" s="1">
        <v>44973</v>
      </c>
      <c r="C3289">
        <v>44.548755999999997</v>
      </c>
    </row>
    <row r="3290" spans="1:3" x14ac:dyDescent="0.25">
      <c r="A3290" t="s">
        <v>9</v>
      </c>
      <c r="B3290" s="1">
        <v>44974</v>
      </c>
      <c r="C3290">
        <v>44.420456000000001</v>
      </c>
    </row>
    <row r="3291" spans="1:3" x14ac:dyDescent="0.25">
      <c r="A3291" t="s">
        <v>9</v>
      </c>
      <c r="B3291" s="1">
        <v>44977</v>
      </c>
      <c r="C3291">
        <v>44.716534000000003</v>
      </c>
    </row>
    <row r="3292" spans="1:3" x14ac:dyDescent="0.25">
      <c r="A3292" t="s">
        <v>9</v>
      </c>
      <c r="B3292" s="1">
        <v>44978</v>
      </c>
      <c r="C3292">
        <v>43.877662999999998</v>
      </c>
    </row>
    <row r="3293" spans="1:3" x14ac:dyDescent="0.25">
      <c r="A3293" t="s">
        <v>9</v>
      </c>
      <c r="B3293" s="1">
        <v>44979</v>
      </c>
      <c r="C3293">
        <v>43.670409999999997</v>
      </c>
    </row>
    <row r="3294" spans="1:3" x14ac:dyDescent="0.25">
      <c r="A3294" t="s">
        <v>9</v>
      </c>
      <c r="B3294" s="1">
        <v>44980</v>
      </c>
      <c r="C3294">
        <v>44.242817000000002</v>
      </c>
    </row>
    <row r="3295" spans="1:3" x14ac:dyDescent="0.25">
      <c r="A3295" t="s">
        <v>9</v>
      </c>
      <c r="B3295" s="1">
        <v>44981</v>
      </c>
      <c r="C3295">
        <v>43.966484000000001</v>
      </c>
    </row>
    <row r="3296" spans="1:3" x14ac:dyDescent="0.25">
      <c r="A3296" t="s">
        <v>9</v>
      </c>
      <c r="B3296" s="1">
        <v>44984</v>
      </c>
      <c r="C3296">
        <v>44.509281000000001</v>
      </c>
    </row>
    <row r="3297" spans="1:3" x14ac:dyDescent="0.25">
      <c r="A3297" t="s">
        <v>9</v>
      </c>
      <c r="B3297" s="1">
        <v>44985</v>
      </c>
      <c r="C3297">
        <v>45.091552999999998</v>
      </c>
    </row>
    <row r="3298" spans="1:3" x14ac:dyDescent="0.25">
      <c r="A3298" t="s">
        <v>9</v>
      </c>
      <c r="B3298" s="1">
        <v>44986</v>
      </c>
      <c r="C3298">
        <v>44.874434999999998</v>
      </c>
    </row>
    <row r="3299" spans="1:3" x14ac:dyDescent="0.25">
      <c r="A3299" t="s">
        <v>9</v>
      </c>
      <c r="B3299" s="1">
        <v>44987</v>
      </c>
      <c r="C3299">
        <v>44.627707999999998</v>
      </c>
    </row>
    <row r="3300" spans="1:3" x14ac:dyDescent="0.25">
      <c r="A3300" t="s">
        <v>9</v>
      </c>
      <c r="B3300" s="1">
        <v>44988</v>
      </c>
      <c r="C3300">
        <v>44.519150000000003</v>
      </c>
    </row>
    <row r="3301" spans="1:3" x14ac:dyDescent="0.25">
      <c r="A3301" t="s">
        <v>9</v>
      </c>
      <c r="B3301" s="1">
        <v>44991</v>
      </c>
      <c r="C3301">
        <v>44.637577</v>
      </c>
    </row>
    <row r="3302" spans="1:3" x14ac:dyDescent="0.25">
      <c r="A3302" t="s">
        <v>9</v>
      </c>
      <c r="B3302" s="1">
        <v>44992</v>
      </c>
      <c r="C3302">
        <v>44.311900999999999</v>
      </c>
    </row>
    <row r="3303" spans="1:3" x14ac:dyDescent="0.25">
      <c r="A3303" t="s">
        <v>9</v>
      </c>
      <c r="B3303" s="1">
        <v>44993</v>
      </c>
      <c r="C3303">
        <v>43.591461000000002</v>
      </c>
    </row>
    <row r="3304" spans="1:3" x14ac:dyDescent="0.25">
      <c r="A3304" t="s">
        <v>9</v>
      </c>
      <c r="B3304" s="1">
        <v>44994</v>
      </c>
      <c r="C3304">
        <v>43.236179</v>
      </c>
    </row>
    <row r="3305" spans="1:3" x14ac:dyDescent="0.25">
      <c r="A3305" t="s">
        <v>9</v>
      </c>
      <c r="B3305" s="1">
        <v>44995</v>
      </c>
      <c r="C3305">
        <v>43.265785000000001</v>
      </c>
    </row>
    <row r="3306" spans="1:3" x14ac:dyDescent="0.25">
      <c r="A3306" t="s">
        <v>9</v>
      </c>
      <c r="B3306" s="1">
        <v>44998</v>
      </c>
      <c r="C3306">
        <v>42.160454000000001</v>
      </c>
    </row>
    <row r="3307" spans="1:3" x14ac:dyDescent="0.25">
      <c r="A3307" t="s">
        <v>9</v>
      </c>
      <c r="B3307" s="1">
        <v>44999</v>
      </c>
      <c r="C3307">
        <v>43.078274</v>
      </c>
    </row>
    <row r="3308" spans="1:3" x14ac:dyDescent="0.25">
      <c r="A3308" t="s">
        <v>9</v>
      </c>
      <c r="B3308" s="1">
        <v>45000</v>
      </c>
      <c r="C3308">
        <v>41.459750999999997</v>
      </c>
    </row>
    <row r="3309" spans="1:3" x14ac:dyDescent="0.25">
      <c r="A3309" t="s">
        <v>9</v>
      </c>
      <c r="B3309" s="1">
        <v>45001</v>
      </c>
      <c r="C3309">
        <v>41.528838999999998</v>
      </c>
    </row>
    <row r="3310" spans="1:3" x14ac:dyDescent="0.25">
      <c r="A3310" t="s">
        <v>9</v>
      </c>
      <c r="B3310" s="1">
        <v>45002</v>
      </c>
      <c r="C3310">
        <v>41.775565999999998</v>
      </c>
    </row>
    <row r="3311" spans="1:3" x14ac:dyDescent="0.25">
      <c r="A3311" t="s">
        <v>9</v>
      </c>
      <c r="B3311" s="1">
        <v>45005</v>
      </c>
      <c r="C3311">
        <v>41.489361000000002</v>
      </c>
    </row>
    <row r="3312" spans="1:3" x14ac:dyDescent="0.25">
      <c r="A3312" t="s">
        <v>9</v>
      </c>
      <c r="B3312" s="1">
        <v>45006</v>
      </c>
      <c r="C3312">
        <v>42.999321000000002</v>
      </c>
    </row>
    <row r="3313" spans="1:3" x14ac:dyDescent="0.25">
      <c r="A3313" t="s">
        <v>9</v>
      </c>
      <c r="B3313" s="1">
        <v>45007</v>
      </c>
      <c r="C3313">
        <v>43.255916999999997</v>
      </c>
    </row>
    <row r="3314" spans="1:3" x14ac:dyDescent="0.25">
      <c r="A3314" t="s">
        <v>9</v>
      </c>
      <c r="B3314" s="1">
        <v>45008</v>
      </c>
      <c r="C3314">
        <v>43.078274</v>
      </c>
    </row>
    <row r="3315" spans="1:3" x14ac:dyDescent="0.25">
      <c r="A3315" t="s">
        <v>9</v>
      </c>
      <c r="B3315" s="1">
        <v>45009</v>
      </c>
      <c r="C3315">
        <v>43.127620999999998</v>
      </c>
    </row>
    <row r="3316" spans="1:3" x14ac:dyDescent="0.25">
      <c r="A3316" t="s">
        <v>9</v>
      </c>
      <c r="B3316" s="1">
        <v>45012</v>
      </c>
      <c r="C3316">
        <v>44.627707999999998</v>
      </c>
    </row>
    <row r="3317" spans="1:3" x14ac:dyDescent="0.25">
      <c r="A3317" t="s">
        <v>9</v>
      </c>
      <c r="B3317" s="1">
        <v>45013</v>
      </c>
      <c r="C3317">
        <v>44.844825999999998</v>
      </c>
    </row>
    <row r="3318" spans="1:3" x14ac:dyDescent="0.25">
      <c r="A3318" t="s">
        <v>9</v>
      </c>
      <c r="B3318" s="1">
        <v>45014</v>
      </c>
      <c r="C3318">
        <v>44.299025999999998</v>
      </c>
    </row>
    <row r="3319" spans="1:3" x14ac:dyDescent="0.25">
      <c r="A3319" t="s">
        <v>9</v>
      </c>
      <c r="B3319" s="1">
        <v>45015</v>
      </c>
      <c r="C3319">
        <v>44.795208000000002</v>
      </c>
    </row>
    <row r="3320" spans="1:3" x14ac:dyDescent="0.25">
      <c r="A3320" t="s">
        <v>9</v>
      </c>
      <c r="B3320" s="1">
        <v>45016</v>
      </c>
      <c r="C3320">
        <v>45.082993000000002</v>
      </c>
    </row>
    <row r="3321" spans="1:3" x14ac:dyDescent="0.25">
      <c r="A3321" t="s">
        <v>9</v>
      </c>
      <c r="B3321" s="1">
        <v>45019</v>
      </c>
      <c r="C3321">
        <v>44.824978000000002</v>
      </c>
    </row>
    <row r="3322" spans="1:3" x14ac:dyDescent="0.25">
      <c r="A3322" t="s">
        <v>9</v>
      </c>
      <c r="B3322" s="1">
        <v>45020</v>
      </c>
      <c r="C3322">
        <v>45.192154000000002</v>
      </c>
    </row>
    <row r="3323" spans="1:3" x14ac:dyDescent="0.25">
      <c r="A3323" t="s">
        <v>9</v>
      </c>
      <c r="B3323" s="1">
        <v>45021</v>
      </c>
      <c r="C3323">
        <v>44.973830999999997</v>
      </c>
    </row>
    <row r="3324" spans="1:3" x14ac:dyDescent="0.25">
      <c r="A3324" t="s">
        <v>9</v>
      </c>
      <c r="B3324" s="1">
        <v>45022</v>
      </c>
      <c r="C3324">
        <v>44.606659000000001</v>
      </c>
    </row>
    <row r="3325" spans="1:3" x14ac:dyDescent="0.25">
      <c r="A3325" t="s">
        <v>9</v>
      </c>
      <c r="B3325" s="1">
        <v>45027</v>
      </c>
      <c r="C3325">
        <v>45.261620000000001</v>
      </c>
    </row>
    <row r="3326" spans="1:3" x14ac:dyDescent="0.25">
      <c r="A3326" t="s">
        <v>9</v>
      </c>
      <c r="B3326" s="1">
        <v>45028</v>
      </c>
      <c r="C3326">
        <v>45.360855000000001</v>
      </c>
    </row>
    <row r="3327" spans="1:3" x14ac:dyDescent="0.25">
      <c r="A3327" t="s">
        <v>9</v>
      </c>
      <c r="B3327" s="1">
        <v>45029</v>
      </c>
      <c r="C3327">
        <v>45.182228000000002</v>
      </c>
    </row>
    <row r="3328" spans="1:3" x14ac:dyDescent="0.25">
      <c r="A3328" t="s">
        <v>9</v>
      </c>
      <c r="B3328" s="1">
        <v>45030</v>
      </c>
      <c r="C3328">
        <v>45.221924000000001</v>
      </c>
    </row>
    <row r="3329" spans="1:3" x14ac:dyDescent="0.25">
      <c r="A3329" t="s">
        <v>9</v>
      </c>
      <c r="B3329" s="1">
        <v>45033</v>
      </c>
      <c r="C3329">
        <v>44.537196999999999</v>
      </c>
    </row>
    <row r="3330" spans="1:3" x14ac:dyDescent="0.25">
      <c r="A3330" t="s">
        <v>9</v>
      </c>
      <c r="B3330" s="1">
        <v>45034</v>
      </c>
      <c r="C3330">
        <v>43.802844999999998</v>
      </c>
    </row>
    <row r="3331" spans="1:3" x14ac:dyDescent="0.25">
      <c r="A3331" t="s">
        <v>9</v>
      </c>
      <c r="B3331" s="1">
        <v>45035</v>
      </c>
      <c r="C3331">
        <v>43.247127999999996</v>
      </c>
    </row>
    <row r="3332" spans="1:3" x14ac:dyDescent="0.25">
      <c r="A3332" t="s">
        <v>9</v>
      </c>
      <c r="B3332" s="1">
        <v>45036</v>
      </c>
      <c r="C3332">
        <v>43.376128999999999</v>
      </c>
    </row>
    <row r="3333" spans="1:3" x14ac:dyDescent="0.25">
      <c r="A3333" t="s">
        <v>9</v>
      </c>
      <c r="B3333" s="1">
        <v>45037</v>
      </c>
      <c r="C3333">
        <v>43.435673000000001</v>
      </c>
    </row>
    <row r="3334" spans="1:3" x14ac:dyDescent="0.25">
      <c r="A3334" t="s">
        <v>9</v>
      </c>
      <c r="B3334" s="1">
        <v>45040</v>
      </c>
      <c r="C3334">
        <v>43.763148999999999</v>
      </c>
    </row>
    <row r="3335" spans="1:3" x14ac:dyDescent="0.25">
      <c r="A3335" t="s">
        <v>9</v>
      </c>
      <c r="B3335" s="1">
        <v>45041</v>
      </c>
      <c r="C3335">
        <v>43.564681999999998</v>
      </c>
    </row>
    <row r="3336" spans="1:3" x14ac:dyDescent="0.25">
      <c r="A3336" t="s">
        <v>9</v>
      </c>
      <c r="B3336" s="1">
        <v>45042</v>
      </c>
      <c r="C3336">
        <v>43.118118000000003</v>
      </c>
    </row>
    <row r="3337" spans="1:3" x14ac:dyDescent="0.25">
      <c r="A3337" t="s">
        <v>9</v>
      </c>
      <c r="B3337" s="1">
        <v>45043</v>
      </c>
      <c r="C3337">
        <v>43.048653000000002</v>
      </c>
    </row>
    <row r="3338" spans="1:3" x14ac:dyDescent="0.25">
      <c r="A3338" t="s">
        <v>9</v>
      </c>
      <c r="B3338" s="1">
        <v>45044</v>
      </c>
      <c r="C3338">
        <v>43.604374</v>
      </c>
    </row>
    <row r="3339" spans="1:3" x14ac:dyDescent="0.25">
      <c r="A3339" t="s">
        <v>9</v>
      </c>
      <c r="B3339" s="1">
        <v>45048</v>
      </c>
      <c r="C3339">
        <v>43.058574999999998</v>
      </c>
    </row>
    <row r="3340" spans="1:3" x14ac:dyDescent="0.25">
      <c r="A3340" t="s">
        <v>9</v>
      </c>
      <c r="B3340" s="1">
        <v>45049</v>
      </c>
      <c r="C3340">
        <v>42.641784999999999</v>
      </c>
    </row>
    <row r="3341" spans="1:3" x14ac:dyDescent="0.25">
      <c r="A3341" t="s">
        <v>9</v>
      </c>
      <c r="B3341" s="1">
        <v>45050</v>
      </c>
      <c r="C3341">
        <v>41.917361999999997</v>
      </c>
    </row>
    <row r="3342" spans="1:3" x14ac:dyDescent="0.25">
      <c r="A3342" t="s">
        <v>9</v>
      </c>
      <c r="B3342" s="1">
        <v>45051</v>
      </c>
      <c r="C3342">
        <v>42.125754999999998</v>
      </c>
    </row>
    <row r="3343" spans="1:3" x14ac:dyDescent="0.25">
      <c r="A3343" t="s">
        <v>9</v>
      </c>
      <c r="B3343" s="1">
        <v>45054</v>
      </c>
      <c r="C3343">
        <v>41.728808999999998</v>
      </c>
    </row>
    <row r="3344" spans="1:3" x14ac:dyDescent="0.25">
      <c r="A3344" t="s">
        <v>9</v>
      </c>
      <c r="B3344" s="1">
        <v>45055</v>
      </c>
      <c r="C3344">
        <v>39.376914999999997</v>
      </c>
    </row>
    <row r="3345" spans="1:3" x14ac:dyDescent="0.25">
      <c r="A3345" t="s">
        <v>9</v>
      </c>
      <c r="B3345" s="1">
        <v>45056</v>
      </c>
      <c r="C3345">
        <v>39.734164999999997</v>
      </c>
    </row>
    <row r="3346" spans="1:3" x14ac:dyDescent="0.25">
      <c r="A3346" t="s">
        <v>9</v>
      </c>
      <c r="B3346" s="1">
        <v>45057</v>
      </c>
      <c r="C3346">
        <v>39.009739000000003</v>
      </c>
    </row>
    <row r="3347" spans="1:3" x14ac:dyDescent="0.25">
      <c r="A3347" t="s">
        <v>9</v>
      </c>
      <c r="B3347" s="1">
        <v>45058</v>
      </c>
      <c r="C3347">
        <v>38.533408999999999</v>
      </c>
    </row>
    <row r="3348" spans="1:3" x14ac:dyDescent="0.25">
      <c r="A3348" t="s">
        <v>9</v>
      </c>
      <c r="B3348" s="1">
        <v>45061</v>
      </c>
      <c r="C3348">
        <v>38.146385000000002</v>
      </c>
    </row>
    <row r="3349" spans="1:3" x14ac:dyDescent="0.25">
      <c r="A3349" t="s">
        <v>9</v>
      </c>
      <c r="B3349" s="1">
        <v>45062</v>
      </c>
      <c r="C3349">
        <v>38.066997999999998</v>
      </c>
    </row>
    <row r="3350" spans="1:3" x14ac:dyDescent="0.25">
      <c r="A3350" t="s">
        <v>9</v>
      </c>
      <c r="B3350" s="1">
        <v>45063</v>
      </c>
      <c r="C3350">
        <v>39.099052</v>
      </c>
    </row>
    <row r="3351" spans="1:3" x14ac:dyDescent="0.25">
      <c r="A3351" t="s">
        <v>9</v>
      </c>
      <c r="B3351" s="1">
        <v>45065</v>
      </c>
      <c r="C3351">
        <v>37.660130000000002</v>
      </c>
    </row>
    <row r="3352" spans="1:3" x14ac:dyDescent="0.25">
      <c r="A3352" t="s">
        <v>9</v>
      </c>
      <c r="B3352" s="1">
        <v>45068</v>
      </c>
      <c r="C3352">
        <v>37.064709000000001</v>
      </c>
    </row>
    <row r="3353" spans="1:3" x14ac:dyDescent="0.25">
      <c r="A3353" t="s">
        <v>9</v>
      </c>
      <c r="B3353" s="1">
        <v>45069</v>
      </c>
      <c r="C3353">
        <v>37.104404000000002</v>
      </c>
    </row>
    <row r="3354" spans="1:3" x14ac:dyDescent="0.25">
      <c r="A3354" t="s">
        <v>9</v>
      </c>
      <c r="B3354" s="1">
        <v>45070</v>
      </c>
      <c r="C3354">
        <v>36.379981999999998</v>
      </c>
    </row>
    <row r="3355" spans="1:3" x14ac:dyDescent="0.25">
      <c r="A3355" t="s">
        <v>9</v>
      </c>
      <c r="B3355" s="1">
        <v>45071</v>
      </c>
      <c r="C3355">
        <v>35.476933000000002</v>
      </c>
    </row>
    <row r="3356" spans="1:3" x14ac:dyDescent="0.25">
      <c r="A3356" t="s">
        <v>9</v>
      </c>
      <c r="B3356" s="1">
        <v>45072</v>
      </c>
      <c r="C3356">
        <v>35.91357</v>
      </c>
    </row>
    <row r="3357" spans="1:3" x14ac:dyDescent="0.25">
      <c r="A3357" t="s">
        <v>9</v>
      </c>
      <c r="B3357" s="1">
        <v>45075</v>
      </c>
      <c r="C3357">
        <v>35.953265999999999</v>
      </c>
    </row>
    <row r="3358" spans="1:3" x14ac:dyDescent="0.25">
      <c r="A3358" t="s">
        <v>9</v>
      </c>
      <c r="B3358" s="1">
        <v>45076</v>
      </c>
      <c r="C3358">
        <v>36.052501999999997</v>
      </c>
    </row>
    <row r="3359" spans="1:3" x14ac:dyDescent="0.25">
      <c r="A3359" t="s">
        <v>9</v>
      </c>
      <c r="B3359" s="1">
        <v>45077</v>
      </c>
      <c r="C3359">
        <v>35.099834000000001</v>
      </c>
    </row>
    <row r="3360" spans="1:3" x14ac:dyDescent="0.25">
      <c r="A3360" t="s">
        <v>9</v>
      </c>
      <c r="B3360" s="1">
        <v>45078</v>
      </c>
      <c r="C3360">
        <v>36.241050999999999</v>
      </c>
    </row>
    <row r="3361" spans="1:3" x14ac:dyDescent="0.25">
      <c r="A3361" t="s">
        <v>9</v>
      </c>
      <c r="B3361" s="1">
        <v>45079</v>
      </c>
      <c r="C3361">
        <v>37.084556999999997</v>
      </c>
    </row>
    <row r="3362" spans="1:3" x14ac:dyDescent="0.25">
      <c r="A3362" t="s">
        <v>9</v>
      </c>
      <c r="B3362" s="1">
        <v>45082</v>
      </c>
      <c r="C3362">
        <v>37.243335999999999</v>
      </c>
    </row>
    <row r="3363" spans="1:3" x14ac:dyDescent="0.25">
      <c r="A3363" t="s">
        <v>9</v>
      </c>
      <c r="B3363" s="1">
        <v>45083</v>
      </c>
      <c r="C3363">
        <v>37.838752999999997</v>
      </c>
    </row>
    <row r="3364" spans="1:3" x14ac:dyDescent="0.25">
      <c r="A3364" t="s">
        <v>9</v>
      </c>
      <c r="B3364" s="1">
        <v>45084</v>
      </c>
      <c r="C3364">
        <v>38.583022999999997</v>
      </c>
    </row>
    <row r="3365" spans="1:3" x14ac:dyDescent="0.25">
      <c r="A3365" t="s">
        <v>9</v>
      </c>
      <c r="B3365" s="1">
        <v>45085</v>
      </c>
      <c r="C3365">
        <v>38.196002999999997</v>
      </c>
    </row>
    <row r="3366" spans="1:3" x14ac:dyDescent="0.25">
      <c r="A3366" t="s">
        <v>9</v>
      </c>
      <c r="B3366" s="1">
        <v>45086</v>
      </c>
      <c r="C3366">
        <v>38.612793000000003</v>
      </c>
    </row>
    <row r="3367" spans="1:3" x14ac:dyDescent="0.25">
      <c r="A3367" t="s">
        <v>9</v>
      </c>
      <c r="B3367" s="1">
        <v>45089</v>
      </c>
      <c r="C3367">
        <v>38.771571999999999</v>
      </c>
    </row>
    <row r="3368" spans="1:3" x14ac:dyDescent="0.25">
      <c r="A3368" t="s">
        <v>9</v>
      </c>
      <c r="B3368" s="1">
        <v>45090</v>
      </c>
      <c r="C3368">
        <v>40.647137000000001</v>
      </c>
    </row>
    <row r="3369" spans="1:3" x14ac:dyDescent="0.25">
      <c r="A3369" t="s">
        <v>9</v>
      </c>
      <c r="B3369" s="1">
        <v>45091</v>
      </c>
      <c r="C3369">
        <v>40.666984999999997</v>
      </c>
    </row>
    <row r="3370" spans="1:3" x14ac:dyDescent="0.25">
      <c r="A3370" t="s">
        <v>9</v>
      </c>
      <c r="B3370" s="1">
        <v>45092</v>
      </c>
      <c r="C3370">
        <v>40.220421000000002</v>
      </c>
    </row>
    <row r="3371" spans="1:3" x14ac:dyDescent="0.25">
      <c r="A3371" t="s">
        <v>9</v>
      </c>
      <c r="B3371" s="1">
        <v>45093</v>
      </c>
      <c r="C3371">
        <v>39.466225000000001</v>
      </c>
    </row>
    <row r="3372" spans="1:3" x14ac:dyDescent="0.25">
      <c r="A3372" t="s">
        <v>9</v>
      </c>
      <c r="B3372" s="1">
        <v>45096</v>
      </c>
      <c r="C3372">
        <v>39.634926</v>
      </c>
    </row>
    <row r="3373" spans="1:3" x14ac:dyDescent="0.25">
      <c r="A3373" t="s">
        <v>9</v>
      </c>
      <c r="B3373" s="1">
        <v>45097</v>
      </c>
      <c r="C3373">
        <v>36.211281</v>
      </c>
    </row>
    <row r="3374" spans="1:3" x14ac:dyDescent="0.25">
      <c r="A3374" t="s">
        <v>9</v>
      </c>
      <c r="B3374" s="1">
        <v>45098</v>
      </c>
      <c r="C3374">
        <v>35.318153000000002</v>
      </c>
    </row>
    <row r="3375" spans="1:3" x14ac:dyDescent="0.25">
      <c r="A3375" t="s">
        <v>9</v>
      </c>
      <c r="B3375" s="1">
        <v>45099</v>
      </c>
      <c r="C3375">
        <v>34.434952000000003</v>
      </c>
    </row>
    <row r="3376" spans="1:3" x14ac:dyDescent="0.25">
      <c r="A3376" t="s">
        <v>9</v>
      </c>
      <c r="B3376" s="1">
        <v>45103</v>
      </c>
      <c r="C3376">
        <v>34.494492000000001</v>
      </c>
    </row>
    <row r="3377" spans="1:3" x14ac:dyDescent="0.25">
      <c r="A3377" t="s">
        <v>9</v>
      </c>
      <c r="B3377" s="1">
        <v>45104</v>
      </c>
      <c r="C3377">
        <v>34.355559999999997</v>
      </c>
    </row>
    <row r="3378" spans="1:3" x14ac:dyDescent="0.25">
      <c r="A3378" t="s">
        <v>9</v>
      </c>
      <c r="B3378" s="1">
        <v>45105</v>
      </c>
      <c r="C3378">
        <v>35.020446999999997</v>
      </c>
    </row>
    <row r="3379" spans="1:3" x14ac:dyDescent="0.25">
      <c r="A3379" t="s">
        <v>9</v>
      </c>
      <c r="B3379" s="1">
        <v>45106</v>
      </c>
      <c r="C3379">
        <v>34.583804999999998</v>
      </c>
    </row>
    <row r="3380" spans="1:3" x14ac:dyDescent="0.25">
      <c r="A3380" t="s">
        <v>9</v>
      </c>
      <c r="B3380" s="1">
        <v>45107</v>
      </c>
      <c r="C3380">
        <v>34.990673000000001</v>
      </c>
    </row>
    <row r="3381" spans="1:3" x14ac:dyDescent="0.25">
      <c r="A3381" t="s">
        <v>9</v>
      </c>
      <c r="B3381" s="1">
        <v>45110</v>
      </c>
      <c r="C3381">
        <v>35.605938000000002</v>
      </c>
    </row>
    <row r="3382" spans="1:3" x14ac:dyDescent="0.25">
      <c r="A3382" t="s">
        <v>9</v>
      </c>
      <c r="B3382" s="1">
        <v>45111</v>
      </c>
      <c r="C3382">
        <v>35.596012000000002</v>
      </c>
    </row>
    <row r="3383" spans="1:3" x14ac:dyDescent="0.25">
      <c r="A3383" t="s">
        <v>9</v>
      </c>
      <c r="B3383" s="1">
        <v>45112</v>
      </c>
      <c r="C3383">
        <v>35.725020999999998</v>
      </c>
    </row>
    <row r="3384" spans="1:3" x14ac:dyDescent="0.25">
      <c r="A3384" t="s">
        <v>9</v>
      </c>
      <c r="B3384" s="1">
        <v>45113</v>
      </c>
      <c r="C3384">
        <v>35.248688000000001</v>
      </c>
    </row>
    <row r="3385" spans="1:3" x14ac:dyDescent="0.25">
      <c r="A3385" t="s">
        <v>9</v>
      </c>
      <c r="B3385" s="1">
        <v>45114</v>
      </c>
      <c r="C3385">
        <v>35.377696999999998</v>
      </c>
    </row>
    <row r="3386" spans="1:3" x14ac:dyDescent="0.25">
      <c r="A3386" t="s">
        <v>9</v>
      </c>
      <c r="B3386" s="1">
        <v>45117</v>
      </c>
      <c r="C3386">
        <v>35.000599000000001</v>
      </c>
    </row>
    <row r="3387" spans="1:3" x14ac:dyDescent="0.25">
      <c r="A3387" t="s">
        <v>9</v>
      </c>
      <c r="B3387" s="1">
        <v>45118</v>
      </c>
      <c r="C3387">
        <v>35.556323999999996</v>
      </c>
    </row>
    <row r="3388" spans="1:3" x14ac:dyDescent="0.25">
      <c r="A3388" t="s">
        <v>9</v>
      </c>
      <c r="B3388" s="1">
        <v>45119</v>
      </c>
      <c r="C3388">
        <v>35.625785999999998</v>
      </c>
    </row>
    <row r="3389" spans="1:3" x14ac:dyDescent="0.25">
      <c r="A3389" t="s">
        <v>9</v>
      </c>
      <c r="B3389" s="1">
        <v>45120</v>
      </c>
      <c r="C3389">
        <v>35.705173000000002</v>
      </c>
    </row>
    <row r="3390" spans="1:3" x14ac:dyDescent="0.25">
      <c r="A3390" t="s">
        <v>9</v>
      </c>
      <c r="B3390" s="1">
        <v>45121</v>
      </c>
      <c r="C3390">
        <v>35.119681999999997</v>
      </c>
    </row>
    <row r="3391" spans="1:3" x14ac:dyDescent="0.25">
      <c r="A3391" t="s">
        <v>9</v>
      </c>
      <c r="B3391" s="1">
        <v>45124</v>
      </c>
      <c r="C3391">
        <v>35.298305999999997</v>
      </c>
    </row>
    <row r="3392" spans="1:3" x14ac:dyDescent="0.25">
      <c r="A3392" t="s">
        <v>9</v>
      </c>
      <c r="B3392" s="1">
        <v>45125</v>
      </c>
      <c r="C3392">
        <v>35.725020999999998</v>
      </c>
    </row>
    <row r="3393" spans="1:3" x14ac:dyDescent="0.25">
      <c r="A3393" t="s">
        <v>9</v>
      </c>
      <c r="B3393" s="1">
        <v>45126</v>
      </c>
      <c r="C3393">
        <v>36.419677999999998</v>
      </c>
    </row>
    <row r="3394" spans="1:3" x14ac:dyDescent="0.25">
      <c r="A3394" t="s">
        <v>9</v>
      </c>
      <c r="B3394" s="1">
        <v>45127</v>
      </c>
      <c r="C3394">
        <v>36.647919000000002</v>
      </c>
    </row>
    <row r="3395" spans="1:3" x14ac:dyDescent="0.25">
      <c r="A3395" t="s">
        <v>9</v>
      </c>
      <c r="B3395" s="1">
        <v>45128</v>
      </c>
      <c r="C3395">
        <v>36.975394999999999</v>
      </c>
    </row>
    <row r="3396" spans="1:3" x14ac:dyDescent="0.25">
      <c r="A3396" t="s">
        <v>9</v>
      </c>
      <c r="B3396" s="1">
        <v>45131</v>
      </c>
      <c r="C3396">
        <v>37.600586</v>
      </c>
    </row>
    <row r="3397" spans="1:3" x14ac:dyDescent="0.25">
      <c r="A3397" t="s">
        <v>9</v>
      </c>
      <c r="B3397" s="1">
        <v>45132</v>
      </c>
      <c r="C3397">
        <v>37.531120000000001</v>
      </c>
    </row>
    <row r="3398" spans="1:3" x14ac:dyDescent="0.25">
      <c r="A3398" t="s">
        <v>9</v>
      </c>
      <c r="B3398" s="1">
        <v>45133</v>
      </c>
      <c r="C3398">
        <v>37.412036999999998</v>
      </c>
    </row>
    <row r="3399" spans="1:3" x14ac:dyDescent="0.25">
      <c r="A3399" t="s">
        <v>9</v>
      </c>
      <c r="B3399" s="1">
        <v>45134</v>
      </c>
      <c r="C3399">
        <v>32.321219999999997</v>
      </c>
    </row>
    <row r="3400" spans="1:3" x14ac:dyDescent="0.25">
      <c r="A3400" t="s">
        <v>9</v>
      </c>
      <c r="B3400" s="1">
        <v>45135</v>
      </c>
      <c r="C3400">
        <v>33.392975</v>
      </c>
    </row>
    <row r="3401" spans="1:3" x14ac:dyDescent="0.25">
      <c r="A3401" t="s">
        <v>9</v>
      </c>
      <c r="B3401" s="1">
        <v>45138</v>
      </c>
      <c r="C3401">
        <v>33.204422000000001</v>
      </c>
    </row>
    <row r="3402" spans="1:3" x14ac:dyDescent="0.25">
      <c r="A3402" t="s">
        <v>9</v>
      </c>
      <c r="B3402" s="1">
        <v>45139</v>
      </c>
      <c r="C3402">
        <v>32.986106999999997</v>
      </c>
    </row>
    <row r="3403" spans="1:3" x14ac:dyDescent="0.25">
      <c r="A3403" t="s">
        <v>9</v>
      </c>
      <c r="B3403" s="1">
        <v>45140</v>
      </c>
      <c r="C3403">
        <v>32.341068</v>
      </c>
    </row>
    <row r="3404" spans="1:3" x14ac:dyDescent="0.25">
      <c r="A3404" t="s">
        <v>9</v>
      </c>
      <c r="B3404" s="1">
        <v>45141</v>
      </c>
      <c r="C3404">
        <v>32.331145999999997</v>
      </c>
    </row>
    <row r="3405" spans="1:3" x14ac:dyDescent="0.25">
      <c r="A3405" t="s">
        <v>9</v>
      </c>
      <c r="B3405" s="1">
        <v>45142</v>
      </c>
      <c r="C3405">
        <v>32.341068</v>
      </c>
    </row>
    <row r="3406" spans="1:3" x14ac:dyDescent="0.25">
      <c r="A3406" t="s">
        <v>9</v>
      </c>
      <c r="B3406" s="1">
        <v>45145</v>
      </c>
      <c r="C3406">
        <v>32.728088</v>
      </c>
    </row>
    <row r="3407" spans="1:3" x14ac:dyDescent="0.25">
      <c r="A3407" t="s">
        <v>9</v>
      </c>
      <c r="B3407" s="1">
        <v>45146</v>
      </c>
      <c r="C3407">
        <v>32.857098000000001</v>
      </c>
    </row>
    <row r="3408" spans="1:3" x14ac:dyDescent="0.25">
      <c r="A3408" t="s">
        <v>9</v>
      </c>
      <c r="B3408" s="1">
        <v>45147</v>
      </c>
      <c r="C3408">
        <v>32.976180999999997</v>
      </c>
    </row>
    <row r="3409" spans="1:3" x14ac:dyDescent="0.25">
      <c r="A3409" t="s">
        <v>9</v>
      </c>
      <c r="B3409" s="1">
        <v>45148</v>
      </c>
      <c r="C3409">
        <v>32.797553999999998</v>
      </c>
    </row>
    <row r="3410" spans="1:3" x14ac:dyDescent="0.25">
      <c r="A3410" t="s">
        <v>9</v>
      </c>
      <c r="B3410" s="1">
        <v>45149</v>
      </c>
      <c r="C3410">
        <v>32.688392999999998</v>
      </c>
    </row>
    <row r="3411" spans="1:3" x14ac:dyDescent="0.25">
      <c r="A3411" t="s">
        <v>9</v>
      </c>
      <c r="B3411" s="1">
        <v>45152</v>
      </c>
      <c r="C3411">
        <v>32.092979</v>
      </c>
    </row>
    <row r="3412" spans="1:3" x14ac:dyDescent="0.25">
      <c r="A3412" t="s">
        <v>9</v>
      </c>
      <c r="B3412" s="1">
        <v>45153</v>
      </c>
      <c r="C3412">
        <v>32.876944999999999</v>
      </c>
    </row>
    <row r="3413" spans="1:3" x14ac:dyDescent="0.25">
      <c r="A3413" t="s">
        <v>9</v>
      </c>
      <c r="B3413" s="1">
        <v>45154</v>
      </c>
      <c r="C3413">
        <v>32.440303999999998</v>
      </c>
    </row>
    <row r="3414" spans="1:3" x14ac:dyDescent="0.25">
      <c r="A3414" t="s">
        <v>9</v>
      </c>
      <c r="B3414" s="1">
        <v>45155</v>
      </c>
      <c r="C3414">
        <v>32.202137</v>
      </c>
    </row>
    <row r="3415" spans="1:3" x14ac:dyDescent="0.25">
      <c r="A3415" t="s">
        <v>9</v>
      </c>
      <c r="B3415" s="1">
        <v>45156</v>
      </c>
      <c r="C3415">
        <v>31.944122</v>
      </c>
    </row>
    <row r="3416" spans="1:3" x14ac:dyDescent="0.25">
      <c r="A3416" t="s">
        <v>9</v>
      </c>
      <c r="B3416" s="1">
        <v>45159</v>
      </c>
      <c r="C3416">
        <v>32.063209999999998</v>
      </c>
    </row>
    <row r="3417" spans="1:3" x14ac:dyDescent="0.25">
      <c r="A3417" t="s">
        <v>9</v>
      </c>
      <c r="B3417" s="1">
        <v>45160</v>
      </c>
      <c r="C3417">
        <v>33.015877000000003</v>
      </c>
    </row>
    <row r="3418" spans="1:3" x14ac:dyDescent="0.25">
      <c r="A3418" t="s">
        <v>9</v>
      </c>
      <c r="B3418" s="1">
        <v>45161</v>
      </c>
      <c r="C3418">
        <v>32.916637000000001</v>
      </c>
    </row>
    <row r="3419" spans="1:3" x14ac:dyDescent="0.25">
      <c r="A3419" t="s">
        <v>9</v>
      </c>
      <c r="B3419" s="1">
        <v>45162</v>
      </c>
      <c r="C3419">
        <v>32.996029</v>
      </c>
    </row>
    <row r="3420" spans="1:3" x14ac:dyDescent="0.25">
      <c r="A3420" t="s">
        <v>9</v>
      </c>
      <c r="B3420" s="1">
        <v>45163</v>
      </c>
      <c r="C3420">
        <v>32.777706000000002</v>
      </c>
    </row>
    <row r="3421" spans="1:3" x14ac:dyDescent="0.25">
      <c r="A3421" t="s">
        <v>9</v>
      </c>
      <c r="B3421" s="1">
        <v>45166</v>
      </c>
      <c r="C3421">
        <v>33.422744999999999</v>
      </c>
    </row>
    <row r="3422" spans="1:3" x14ac:dyDescent="0.25">
      <c r="A3422" t="s">
        <v>9</v>
      </c>
      <c r="B3422" s="1">
        <v>45167</v>
      </c>
      <c r="C3422">
        <v>33.819690999999999</v>
      </c>
    </row>
    <row r="3423" spans="1:3" x14ac:dyDescent="0.25">
      <c r="A3423" t="s">
        <v>9</v>
      </c>
      <c r="B3423" s="1">
        <v>45168</v>
      </c>
      <c r="C3423">
        <v>33.770068999999999</v>
      </c>
    </row>
    <row r="3424" spans="1:3" x14ac:dyDescent="0.25">
      <c r="A3424" t="s">
        <v>9</v>
      </c>
      <c r="B3424" s="1">
        <v>45169</v>
      </c>
      <c r="C3424">
        <v>33.521976000000002</v>
      </c>
    </row>
    <row r="3425" spans="1:3" x14ac:dyDescent="0.25">
      <c r="A3425" t="s">
        <v>9</v>
      </c>
      <c r="B3425" s="1">
        <v>45170</v>
      </c>
      <c r="C3425">
        <v>33.809764999999999</v>
      </c>
    </row>
    <row r="3426" spans="1:3" x14ac:dyDescent="0.25">
      <c r="A3426" t="s">
        <v>9</v>
      </c>
      <c r="B3426" s="1">
        <v>45173</v>
      </c>
      <c r="C3426">
        <v>33.561672000000002</v>
      </c>
    </row>
    <row r="3427" spans="1:3" x14ac:dyDescent="0.25">
      <c r="A3427" t="s">
        <v>9</v>
      </c>
      <c r="B3427" s="1">
        <v>45174</v>
      </c>
      <c r="C3427">
        <v>33.412818999999999</v>
      </c>
    </row>
    <row r="3428" spans="1:3" x14ac:dyDescent="0.25">
      <c r="A3428" t="s">
        <v>9</v>
      </c>
      <c r="B3428" s="1">
        <v>45175</v>
      </c>
      <c r="C3428">
        <v>33.760147000000003</v>
      </c>
    </row>
    <row r="3429" spans="1:3" x14ac:dyDescent="0.25">
      <c r="A3429" t="s">
        <v>9</v>
      </c>
      <c r="B3429" s="1">
        <v>45176</v>
      </c>
      <c r="C3429">
        <v>33.541823999999998</v>
      </c>
    </row>
    <row r="3430" spans="1:3" x14ac:dyDescent="0.25">
      <c r="A3430" t="s">
        <v>9</v>
      </c>
      <c r="B3430" s="1">
        <v>45177</v>
      </c>
      <c r="C3430">
        <v>33.343353</v>
      </c>
    </row>
    <row r="3431" spans="1:3" x14ac:dyDescent="0.25">
      <c r="A3431" t="s">
        <v>9</v>
      </c>
      <c r="B3431" s="1">
        <v>45180</v>
      </c>
      <c r="C3431">
        <v>35.605938000000002</v>
      </c>
    </row>
    <row r="3432" spans="1:3" x14ac:dyDescent="0.25">
      <c r="A3432" t="s">
        <v>9</v>
      </c>
      <c r="B3432" s="1">
        <v>45181</v>
      </c>
      <c r="C3432">
        <v>34.732661999999998</v>
      </c>
    </row>
    <row r="3433" spans="1:3" x14ac:dyDescent="0.25">
      <c r="A3433" t="s">
        <v>9</v>
      </c>
      <c r="B3433" s="1">
        <v>45182</v>
      </c>
      <c r="C3433">
        <v>34.345638000000001</v>
      </c>
    </row>
    <row r="3434" spans="1:3" x14ac:dyDescent="0.25">
      <c r="A3434" t="s">
        <v>9</v>
      </c>
      <c r="B3434" s="1">
        <v>45183</v>
      </c>
      <c r="C3434">
        <v>35.764716999999997</v>
      </c>
    </row>
    <row r="3435" spans="1:3" x14ac:dyDescent="0.25">
      <c r="A3435" t="s">
        <v>9</v>
      </c>
      <c r="B3435" s="1">
        <v>45184</v>
      </c>
      <c r="C3435">
        <v>36.002884000000002</v>
      </c>
    </row>
    <row r="3436" spans="1:3" x14ac:dyDescent="0.25">
      <c r="A3436" t="s">
        <v>9</v>
      </c>
      <c r="B3436" s="1">
        <v>45187</v>
      </c>
      <c r="C3436">
        <v>35.705173000000002</v>
      </c>
    </row>
    <row r="3437" spans="1:3" x14ac:dyDescent="0.25">
      <c r="A3437" t="s">
        <v>9</v>
      </c>
      <c r="B3437" s="1">
        <v>45188</v>
      </c>
      <c r="C3437">
        <v>35.437237000000003</v>
      </c>
    </row>
    <row r="3438" spans="1:3" x14ac:dyDescent="0.25">
      <c r="A3438" t="s">
        <v>9</v>
      </c>
      <c r="B3438" s="1">
        <v>45189</v>
      </c>
      <c r="C3438">
        <v>35.030369</v>
      </c>
    </row>
    <row r="3439" spans="1:3" x14ac:dyDescent="0.25">
      <c r="A3439" t="s">
        <v>9</v>
      </c>
      <c r="B3439" s="1">
        <v>45190</v>
      </c>
      <c r="C3439">
        <v>35.288383000000003</v>
      </c>
    </row>
    <row r="3440" spans="1:3" x14ac:dyDescent="0.25">
      <c r="A3440" t="s">
        <v>9</v>
      </c>
      <c r="B3440" s="1">
        <v>45191</v>
      </c>
      <c r="C3440">
        <v>35.149451999999997</v>
      </c>
    </row>
    <row r="3441" spans="1:3" x14ac:dyDescent="0.25">
      <c r="A3441" t="s">
        <v>9</v>
      </c>
      <c r="B3441" s="1">
        <v>45194</v>
      </c>
      <c r="C3441">
        <v>34.028084</v>
      </c>
    </row>
    <row r="3442" spans="1:3" x14ac:dyDescent="0.25">
      <c r="A3442" t="s">
        <v>9</v>
      </c>
      <c r="B3442" s="1">
        <v>45195</v>
      </c>
      <c r="C3442">
        <v>32.539543000000002</v>
      </c>
    </row>
    <row r="3443" spans="1:3" x14ac:dyDescent="0.25">
      <c r="A3443" t="s">
        <v>9</v>
      </c>
      <c r="B3443" s="1">
        <v>45196</v>
      </c>
      <c r="C3443">
        <v>32.479999999999997</v>
      </c>
    </row>
    <row r="3444" spans="1:3" x14ac:dyDescent="0.25">
      <c r="A3444" t="s">
        <v>9</v>
      </c>
      <c r="B3444" s="1">
        <v>45197</v>
      </c>
      <c r="C3444">
        <v>32.419998</v>
      </c>
    </row>
    <row r="3445" spans="1:3" x14ac:dyDescent="0.25">
      <c r="A3445" t="s">
        <v>9</v>
      </c>
      <c r="B3445" s="1">
        <v>45198</v>
      </c>
      <c r="C3445">
        <v>32.130001</v>
      </c>
    </row>
    <row r="3446" spans="1:3" x14ac:dyDescent="0.25">
      <c r="A3446" t="s">
        <v>9</v>
      </c>
      <c r="B3446" s="1">
        <v>45201</v>
      </c>
      <c r="C3446">
        <v>31.02</v>
      </c>
    </row>
    <row r="3447" spans="1:3" x14ac:dyDescent="0.25">
      <c r="A3447" t="s">
        <v>9</v>
      </c>
      <c r="B3447" s="1">
        <v>45202</v>
      </c>
      <c r="C3447">
        <v>31.049999</v>
      </c>
    </row>
    <row r="3448" spans="1:3" x14ac:dyDescent="0.25">
      <c r="A3448" t="s">
        <v>9</v>
      </c>
      <c r="B3448" s="1">
        <v>45203</v>
      </c>
      <c r="C3448">
        <v>30.280000999999999</v>
      </c>
    </row>
    <row r="3449" spans="1:3" x14ac:dyDescent="0.25">
      <c r="A3449" t="s">
        <v>9</v>
      </c>
      <c r="B3449" s="1">
        <v>45204</v>
      </c>
      <c r="C3449">
        <v>29.940000999999999</v>
      </c>
    </row>
    <row r="3450" spans="1:3" x14ac:dyDescent="0.25">
      <c r="A3450" t="s">
        <v>9</v>
      </c>
      <c r="B3450" s="1">
        <v>45205</v>
      </c>
      <c r="C3450">
        <v>29.99</v>
      </c>
    </row>
    <row r="3451" spans="1:3" x14ac:dyDescent="0.25">
      <c r="A3451" t="s">
        <v>9</v>
      </c>
      <c r="B3451" s="1">
        <v>45208</v>
      </c>
      <c r="C3451">
        <v>30.299999</v>
      </c>
    </row>
    <row r="3452" spans="1:3" x14ac:dyDescent="0.25">
      <c r="A3452" t="s">
        <v>9</v>
      </c>
      <c r="B3452" s="1">
        <v>45209</v>
      </c>
      <c r="C3452">
        <v>31.309999000000001</v>
      </c>
    </row>
    <row r="3453" spans="1:3" x14ac:dyDescent="0.25">
      <c r="A3453" t="s">
        <v>9</v>
      </c>
      <c r="B3453" s="1">
        <v>45210</v>
      </c>
      <c r="C3453">
        <v>31.02</v>
      </c>
    </row>
    <row r="3454" spans="1:3" x14ac:dyDescent="0.25">
      <c r="A3454" t="s">
        <v>9</v>
      </c>
      <c r="B3454" s="1">
        <v>45211</v>
      </c>
      <c r="C3454">
        <v>31.459999</v>
      </c>
    </row>
    <row r="3455" spans="1:3" x14ac:dyDescent="0.25">
      <c r="A3455" t="s">
        <v>9</v>
      </c>
      <c r="B3455" s="1">
        <v>45212</v>
      </c>
      <c r="C3455">
        <v>30.82</v>
      </c>
    </row>
    <row r="3456" spans="1:3" x14ac:dyDescent="0.25">
      <c r="A3456" t="s">
        <v>9</v>
      </c>
      <c r="B3456" s="1">
        <v>45215</v>
      </c>
      <c r="C3456">
        <v>30.790001</v>
      </c>
    </row>
    <row r="3457" spans="1:3" x14ac:dyDescent="0.25">
      <c r="A3457" t="s">
        <v>9</v>
      </c>
      <c r="B3457" s="1">
        <v>45216</v>
      </c>
      <c r="C3457">
        <v>30.780000999999999</v>
      </c>
    </row>
    <row r="3458" spans="1:3" x14ac:dyDescent="0.25">
      <c r="A3458" t="s">
        <v>9</v>
      </c>
      <c r="B3458" s="1">
        <v>45217</v>
      </c>
      <c r="C3458">
        <v>30.5</v>
      </c>
    </row>
    <row r="3459" spans="1:3" x14ac:dyDescent="0.25">
      <c r="A3459" t="s">
        <v>9</v>
      </c>
      <c r="B3459" s="1">
        <v>45218</v>
      </c>
      <c r="C3459">
        <v>29.969999000000001</v>
      </c>
    </row>
    <row r="3460" spans="1:3" x14ac:dyDescent="0.25">
      <c r="A3460" t="s">
        <v>9</v>
      </c>
      <c r="B3460" s="1">
        <v>45219</v>
      </c>
      <c r="C3460">
        <v>29.219999000000001</v>
      </c>
    </row>
    <row r="3461" spans="1:3" x14ac:dyDescent="0.25">
      <c r="A3461" t="s">
        <v>9</v>
      </c>
      <c r="B3461" s="1">
        <v>45222</v>
      </c>
      <c r="C3461">
        <v>29.23</v>
      </c>
    </row>
    <row r="3462" spans="1:3" x14ac:dyDescent="0.25">
      <c r="A3462" t="s">
        <v>9</v>
      </c>
      <c r="B3462" s="1">
        <v>45223</v>
      </c>
      <c r="C3462">
        <v>29.75</v>
      </c>
    </row>
    <row r="3463" spans="1:3" x14ac:dyDescent="0.25">
      <c r="A3463" t="s">
        <v>9</v>
      </c>
      <c r="B3463" s="1">
        <v>45224</v>
      </c>
      <c r="C3463">
        <v>29.219999000000001</v>
      </c>
    </row>
    <row r="3464" spans="1:3" x14ac:dyDescent="0.25">
      <c r="A3464" t="s">
        <v>9</v>
      </c>
      <c r="B3464" s="1">
        <v>45225</v>
      </c>
      <c r="C3464">
        <v>31.9</v>
      </c>
    </row>
    <row r="3465" spans="1:3" x14ac:dyDescent="0.25">
      <c r="A3465" t="s">
        <v>9</v>
      </c>
      <c r="B3465" s="1">
        <v>45226</v>
      </c>
      <c r="C3465">
        <v>32.520000000000003</v>
      </c>
    </row>
    <row r="3466" spans="1:3" x14ac:dyDescent="0.25">
      <c r="A3466" t="s">
        <v>9</v>
      </c>
      <c r="B3466" s="1">
        <v>45229</v>
      </c>
      <c r="C3466">
        <v>32.159999999999997</v>
      </c>
    </row>
    <row r="3467" spans="1:3" x14ac:dyDescent="0.25">
      <c r="A3467" t="s">
        <v>9</v>
      </c>
      <c r="B3467" s="1">
        <v>45230</v>
      </c>
      <c r="C3467">
        <v>31.709999</v>
      </c>
    </row>
    <row r="3468" spans="1:3" x14ac:dyDescent="0.25">
      <c r="A3468" t="s">
        <v>9</v>
      </c>
      <c r="B3468" s="1">
        <v>45231</v>
      </c>
      <c r="C3468">
        <v>31.41</v>
      </c>
    </row>
    <row r="3469" spans="1:3" x14ac:dyDescent="0.25">
      <c r="A3469" t="s">
        <v>9</v>
      </c>
      <c r="B3469" s="1">
        <v>45232</v>
      </c>
      <c r="C3469">
        <v>32.25</v>
      </c>
    </row>
    <row r="3470" spans="1:3" x14ac:dyDescent="0.25">
      <c r="A3470" t="s">
        <v>9</v>
      </c>
      <c r="B3470" s="1">
        <v>45233</v>
      </c>
      <c r="C3470">
        <v>32.189999</v>
      </c>
    </row>
    <row r="3471" spans="1:3" x14ac:dyDescent="0.25">
      <c r="A3471" t="s">
        <v>9</v>
      </c>
      <c r="B3471" s="1">
        <v>45236</v>
      </c>
      <c r="C3471">
        <v>32.5</v>
      </c>
    </row>
    <row r="3472" spans="1:3" x14ac:dyDescent="0.25">
      <c r="A3472" t="s">
        <v>9</v>
      </c>
      <c r="B3472" s="1">
        <v>45237</v>
      </c>
      <c r="C3472">
        <v>31.49</v>
      </c>
    </row>
    <row r="3473" spans="1:3" x14ac:dyDescent="0.25">
      <c r="A3473" t="s">
        <v>9</v>
      </c>
      <c r="B3473" s="1">
        <v>45238</v>
      </c>
      <c r="C3473">
        <v>31.940000999999999</v>
      </c>
    </row>
    <row r="3474" spans="1:3" x14ac:dyDescent="0.25">
      <c r="A3474" t="s">
        <v>9</v>
      </c>
      <c r="B3474" s="1">
        <v>45239</v>
      </c>
      <c r="C3474">
        <v>32.709999000000003</v>
      </c>
    </row>
    <row r="3475" spans="1:3" x14ac:dyDescent="0.25">
      <c r="A3475" t="s">
        <v>9</v>
      </c>
      <c r="B3475" s="1">
        <v>45240</v>
      </c>
      <c r="C3475">
        <v>32.880001</v>
      </c>
    </row>
    <row r="3476" spans="1:3" x14ac:dyDescent="0.25">
      <c r="A3476" t="s">
        <v>9</v>
      </c>
      <c r="B3476" s="1">
        <v>45243</v>
      </c>
      <c r="C3476">
        <v>33.369999</v>
      </c>
    </row>
    <row r="3477" spans="1:3" x14ac:dyDescent="0.25">
      <c r="A3477" t="s">
        <v>9</v>
      </c>
      <c r="B3477" s="1">
        <v>45244</v>
      </c>
      <c r="C3477">
        <v>34</v>
      </c>
    </row>
    <row r="3478" spans="1:3" x14ac:dyDescent="0.25">
      <c r="A3478" t="s">
        <v>9</v>
      </c>
      <c r="B3478" s="1">
        <v>45245</v>
      </c>
      <c r="C3478">
        <v>34.389999000000003</v>
      </c>
    </row>
    <row r="3479" spans="1:3" x14ac:dyDescent="0.25">
      <c r="A3479" t="s">
        <v>9</v>
      </c>
      <c r="B3479" s="1">
        <v>45246</v>
      </c>
      <c r="C3479">
        <v>33.830002</v>
      </c>
    </row>
    <row r="3480" spans="1:3" x14ac:dyDescent="0.25">
      <c r="A3480" t="s">
        <v>9</v>
      </c>
      <c r="B3480" s="1">
        <v>45247</v>
      </c>
      <c r="C3480">
        <v>34.479999999999997</v>
      </c>
    </row>
    <row r="3481" spans="1:3" x14ac:dyDescent="0.25">
      <c r="A3481" t="s">
        <v>9</v>
      </c>
      <c r="B3481" s="1">
        <v>45250</v>
      </c>
      <c r="C3481">
        <v>34.720001000000003</v>
      </c>
    </row>
    <row r="3482" spans="1:3" x14ac:dyDescent="0.25">
      <c r="A3482" t="s">
        <v>9</v>
      </c>
      <c r="B3482" s="1">
        <v>45251</v>
      </c>
      <c r="C3482">
        <v>34.5</v>
      </c>
    </row>
    <row r="3483" spans="1:3" x14ac:dyDescent="0.25">
      <c r="A3483" t="s">
        <v>9</v>
      </c>
      <c r="B3483" s="1">
        <v>45252</v>
      </c>
      <c r="C3483">
        <v>34.549999</v>
      </c>
    </row>
    <row r="3484" spans="1:3" x14ac:dyDescent="0.25">
      <c r="A3484" t="s">
        <v>9</v>
      </c>
      <c r="B3484" s="1">
        <v>45253</v>
      </c>
      <c r="C3484">
        <v>34.619999</v>
      </c>
    </row>
    <row r="3485" spans="1:3" x14ac:dyDescent="0.25">
      <c r="A3485" t="s">
        <v>9</v>
      </c>
      <c r="B3485" s="1">
        <v>45254</v>
      </c>
      <c r="C3485">
        <v>34.409999999999997</v>
      </c>
    </row>
    <row r="3486" spans="1:3" x14ac:dyDescent="0.25">
      <c r="A3486" t="s">
        <v>9</v>
      </c>
      <c r="B3486" s="1">
        <v>45257</v>
      </c>
      <c r="C3486">
        <v>33.909999999999997</v>
      </c>
    </row>
    <row r="3487" spans="1:3" x14ac:dyDescent="0.25">
      <c r="A3487" t="s">
        <v>9</v>
      </c>
      <c r="B3487" s="1">
        <v>45258</v>
      </c>
      <c r="C3487">
        <v>34.130001</v>
      </c>
    </row>
    <row r="3488" spans="1:3" x14ac:dyDescent="0.25">
      <c r="A3488" t="s">
        <v>9</v>
      </c>
      <c r="B3488" s="1">
        <v>45259</v>
      </c>
      <c r="C3488">
        <v>34.200001</v>
      </c>
    </row>
    <row r="3489" spans="1:3" x14ac:dyDescent="0.25">
      <c r="A3489" t="s">
        <v>9</v>
      </c>
      <c r="B3489" s="1">
        <v>45260</v>
      </c>
      <c r="C3489">
        <v>34.880001</v>
      </c>
    </row>
    <row r="3490" spans="1:3" x14ac:dyDescent="0.25">
      <c r="A3490" t="s">
        <v>9</v>
      </c>
      <c r="B3490" s="1">
        <v>45261</v>
      </c>
      <c r="C3490">
        <v>35.139999000000003</v>
      </c>
    </row>
    <row r="3491" spans="1:3" x14ac:dyDescent="0.25">
      <c r="A3491" t="s">
        <v>9</v>
      </c>
      <c r="B3491" s="1">
        <v>45264</v>
      </c>
      <c r="C3491">
        <v>34.669998</v>
      </c>
    </row>
    <row r="3492" spans="1:3" x14ac:dyDescent="0.25">
      <c r="A3492" t="s">
        <v>9</v>
      </c>
      <c r="B3492" s="1">
        <v>45265</v>
      </c>
      <c r="C3492">
        <v>34.790000999999997</v>
      </c>
    </row>
    <row r="3493" spans="1:3" x14ac:dyDescent="0.25">
      <c r="A3493" t="s">
        <v>9</v>
      </c>
      <c r="B3493" s="1">
        <v>45267</v>
      </c>
      <c r="C3493">
        <v>34.93</v>
      </c>
    </row>
    <row r="3494" spans="1:3" x14ac:dyDescent="0.25">
      <c r="A3494" t="s">
        <v>9</v>
      </c>
      <c r="B3494" s="1">
        <v>45268</v>
      </c>
      <c r="C3494">
        <v>35.220001000000003</v>
      </c>
    </row>
    <row r="3495" spans="1:3" x14ac:dyDescent="0.25">
      <c r="A3495" t="s">
        <v>9</v>
      </c>
      <c r="B3495" s="1">
        <v>45271</v>
      </c>
      <c r="C3495">
        <v>35.220001000000003</v>
      </c>
    </row>
    <row r="3496" spans="1:3" x14ac:dyDescent="0.25">
      <c r="A3496" t="s">
        <v>9</v>
      </c>
      <c r="B3496" s="1">
        <v>45272</v>
      </c>
      <c r="C3496">
        <v>34.689999</v>
      </c>
    </row>
    <row r="3497" spans="1:3" x14ac:dyDescent="0.25">
      <c r="A3497" t="s">
        <v>9</v>
      </c>
      <c r="B3497" s="1">
        <v>45273</v>
      </c>
      <c r="C3497">
        <v>34.650002000000001</v>
      </c>
    </row>
    <row r="3498" spans="1:3" x14ac:dyDescent="0.25">
      <c r="A3498" t="s">
        <v>9</v>
      </c>
      <c r="B3498" s="1">
        <v>45274</v>
      </c>
      <c r="C3498">
        <v>34.689999</v>
      </c>
    </row>
    <row r="3499" spans="1:3" x14ac:dyDescent="0.25">
      <c r="A3499" t="s">
        <v>9</v>
      </c>
      <c r="B3499" s="1">
        <v>45275</v>
      </c>
      <c r="C3499">
        <v>33.009998000000003</v>
      </c>
    </row>
    <row r="3500" spans="1:3" x14ac:dyDescent="0.25">
      <c r="A3500" t="s">
        <v>9</v>
      </c>
      <c r="B3500" s="1">
        <v>45278</v>
      </c>
      <c r="C3500">
        <v>33.07</v>
      </c>
    </row>
    <row r="3501" spans="1:3" x14ac:dyDescent="0.25">
      <c r="A3501" t="s">
        <v>9</v>
      </c>
      <c r="B3501" s="1">
        <v>45279</v>
      </c>
      <c r="C3501">
        <v>33.540000999999997</v>
      </c>
    </row>
    <row r="3502" spans="1:3" x14ac:dyDescent="0.25">
      <c r="A3502" t="s">
        <v>9</v>
      </c>
      <c r="B3502" s="1">
        <v>45280</v>
      </c>
      <c r="C3502">
        <v>33</v>
      </c>
    </row>
    <row r="3503" spans="1:3" x14ac:dyDescent="0.25">
      <c r="A3503" t="s">
        <v>9</v>
      </c>
      <c r="B3503" s="1">
        <v>45281</v>
      </c>
      <c r="C3503">
        <v>32.25</v>
      </c>
    </row>
    <row r="3504" spans="1:3" x14ac:dyDescent="0.25">
      <c r="A3504" t="s">
        <v>9</v>
      </c>
      <c r="B3504" s="1">
        <v>45282</v>
      </c>
      <c r="C3504">
        <v>32.369999</v>
      </c>
    </row>
    <row r="3505" spans="1:3" x14ac:dyDescent="0.25">
      <c r="A3505" t="s">
        <v>9</v>
      </c>
      <c r="B3505" s="1">
        <v>45287</v>
      </c>
      <c r="C3505">
        <v>32.880001</v>
      </c>
    </row>
    <row r="3506" spans="1:3" x14ac:dyDescent="0.25">
      <c r="A3506" t="s">
        <v>9</v>
      </c>
      <c r="B3506" s="1">
        <v>45288</v>
      </c>
      <c r="C3506">
        <v>32.419998</v>
      </c>
    </row>
    <row r="3507" spans="1:3" x14ac:dyDescent="0.25">
      <c r="A3507" t="s">
        <v>9</v>
      </c>
      <c r="B3507" s="1">
        <v>45289</v>
      </c>
      <c r="C3507">
        <v>32.330002</v>
      </c>
    </row>
    <row r="3508" spans="1:3" x14ac:dyDescent="0.25">
      <c r="A3508" t="s">
        <v>9</v>
      </c>
      <c r="B3508" s="1">
        <v>45293</v>
      </c>
      <c r="C3508">
        <v>32.479999999999997</v>
      </c>
    </row>
    <row r="3509" spans="1:3" x14ac:dyDescent="0.25">
      <c r="A3509" t="s">
        <v>9</v>
      </c>
      <c r="B3509" s="1">
        <v>45294</v>
      </c>
      <c r="C3509">
        <v>31.799999</v>
      </c>
    </row>
    <row r="3510" spans="1:3" x14ac:dyDescent="0.25">
      <c r="A3510" t="s">
        <v>9</v>
      </c>
      <c r="B3510" s="1">
        <v>45295</v>
      </c>
      <c r="C3510">
        <v>32.270000000000003</v>
      </c>
    </row>
    <row r="3511" spans="1:3" x14ac:dyDescent="0.25">
      <c r="A3511" t="s">
        <v>9</v>
      </c>
      <c r="B3511" s="1">
        <v>45296</v>
      </c>
      <c r="C3511">
        <v>32.400002000000001</v>
      </c>
    </row>
    <row r="3512" spans="1:3" x14ac:dyDescent="0.25">
      <c r="A3512" t="s">
        <v>9</v>
      </c>
      <c r="B3512" s="1">
        <v>45299</v>
      </c>
      <c r="C3512">
        <v>32.270000000000003</v>
      </c>
    </row>
    <row r="3513" spans="1:3" x14ac:dyDescent="0.25">
      <c r="A3513" t="s">
        <v>9</v>
      </c>
      <c r="B3513" s="1">
        <v>45300</v>
      </c>
      <c r="C3513">
        <v>32.150002000000001</v>
      </c>
    </row>
    <row r="3514" spans="1:3" x14ac:dyDescent="0.25">
      <c r="A3514" t="s">
        <v>9</v>
      </c>
      <c r="B3514" s="1">
        <v>45301</v>
      </c>
      <c r="C3514">
        <v>31.969999000000001</v>
      </c>
    </row>
    <row r="3515" spans="1:3" x14ac:dyDescent="0.25">
      <c r="A3515" t="s">
        <v>9</v>
      </c>
      <c r="B3515" s="1">
        <v>45302</v>
      </c>
      <c r="C3515">
        <v>32.090000000000003</v>
      </c>
    </row>
    <row r="3516" spans="1:3" x14ac:dyDescent="0.25">
      <c r="A3516" t="s">
        <v>9</v>
      </c>
      <c r="B3516" s="1">
        <v>45303</v>
      </c>
      <c r="C3516">
        <v>32.479999999999997</v>
      </c>
    </row>
    <row r="3517" spans="1:3" x14ac:dyDescent="0.25">
      <c r="A3517" t="s">
        <v>9</v>
      </c>
      <c r="B3517" s="1">
        <v>45306</v>
      </c>
      <c r="C3517">
        <v>32.32</v>
      </c>
    </row>
    <row r="3518" spans="1:3" x14ac:dyDescent="0.25">
      <c r="A3518" t="s">
        <v>9</v>
      </c>
      <c r="B3518" s="1">
        <v>45307</v>
      </c>
      <c r="C3518">
        <v>32.700001</v>
      </c>
    </row>
    <row r="3519" spans="1:3" x14ac:dyDescent="0.25">
      <c r="A3519" t="s">
        <v>9</v>
      </c>
      <c r="B3519" s="1">
        <v>45308</v>
      </c>
      <c r="C3519">
        <v>32.240001999999997</v>
      </c>
    </row>
    <row r="3520" spans="1:3" x14ac:dyDescent="0.25">
      <c r="A3520" t="s">
        <v>9</v>
      </c>
      <c r="B3520" s="1">
        <v>45309</v>
      </c>
      <c r="C3520">
        <v>31.75</v>
      </c>
    </row>
    <row r="3521" spans="1:3" x14ac:dyDescent="0.25">
      <c r="A3521" t="s">
        <v>9</v>
      </c>
      <c r="B3521" s="1">
        <v>45310</v>
      </c>
      <c r="C3521">
        <v>31.16</v>
      </c>
    </row>
    <row r="3522" spans="1:3" x14ac:dyDescent="0.25">
      <c r="A3522" t="s">
        <v>9</v>
      </c>
      <c r="B3522" s="1">
        <v>45313</v>
      </c>
      <c r="C3522">
        <v>31.16</v>
      </c>
    </row>
    <row r="3523" spans="1:3" x14ac:dyDescent="0.25">
      <c r="A3523" t="s">
        <v>9</v>
      </c>
      <c r="B3523" s="1">
        <v>45314</v>
      </c>
      <c r="C3523">
        <v>31.709999</v>
      </c>
    </row>
    <row r="3524" spans="1:3" x14ac:dyDescent="0.25">
      <c r="A3524" t="s">
        <v>9</v>
      </c>
      <c r="B3524" s="1">
        <v>45315</v>
      </c>
      <c r="C3524">
        <v>32.139999000000003</v>
      </c>
    </row>
    <row r="3525" spans="1:3" x14ac:dyDescent="0.25">
      <c r="A3525" t="s">
        <v>9</v>
      </c>
      <c r="B3525" s="1">
        <v>45316</v>
      </c>
      <c r="C3525">
        <v>31.91</v>
      </c>
    </row>
    <row r="3526" spans="1:3" x14ac:dyDescent="0.25">
      <c r="A3526" t="s">
        <v>9</v>
      </c>
      <c r="B3526" s="1">
        <v>45317</v>
      </c>
      <c r="C3526">
        <v>32.479999999999997</v>
      </c>
    </row>
    <row r="3527" spans="1:3" x14ac:dyDescent="0.25">
      <c r="A3527" t="s">
        <v>9</v>
      </c>
      <c r="B3527" s="1">
        <v>45320</v>
      </c>
      <c r="C3527">
        <v>32.849997999999999</v>
      </c>
    </row>
    <row r="3528" spans="1:3" x14ac:dyDescent="0.25">
      <c r="A3528" t="s">
        <v>9</v>
      </c>
      <c r="B3528" s="1">
        <v>45321</v>
      </c>
      <c r="C3528">
        <v>32.639999000000003</v>
      </c>
    </row>
    <row r="3529" spans="1:3" x14ac:dyDescent="0.25">
      <c r="A3529" t="s">
        <v>9</v>
      </c>
      <c r="B3529" s="1">
        <v>45322</v>
      </c>
      <c r="C3529">
        <v>32.049999</v>
      </c>
    </row>
    <row r="3530" spans="1:3" x14ac:dyDescent="0.25">
      <c r="A3530" t="s">
        <v>9</v>
      </c>
      <c r="B3530" s="1">
        <v>45323</v>
      </c>
      <c r="C3530">
        <v>32.159999999999997</v>
      </c>
    </row>
    <row r="3531" spans="1:3" x14ac:dyDescent="0.25">
      <c r="A3531" t="s">
        <v>9</v>
      </c>
      <c r="B3531" s="1">
        <v>45324</v>
      </c>
      <c r="C3531">
        <v>31.68</v>
      </c>
    </row>
    <row r="3532" spans="1:3" x14ac:dyDescent="0.25">
      <c r="A3532" t="s">
        <v>9</v>
      </c>
      <c r="B3532" s="1">
        <v>45327</v>
      </c>
      <c r="C3532">
        <v>31.51</v>
      </c>
    </row>
    <row r="3533" spans="1:3" x14ac:dyDescent="0.25">
      <c r="A3533" t="s">
        <v>9</v>
      </c>
      <c r="B3533" s="1">
        <v>45328</v>
      </c>
      <c r="C3533">
        <v>31.65</v>
      </c>
    </row>
    <row r="3534" spans="1:3" x14ac:dyDescent="0.25">
      <c r="A3534" t="s">
        <v>9</v>
      </c>
      <c r="B3534" s="1">
        <v>45329</v>
      </c>
      <c r="C3534">
        <v>31.49</v>
      </c>
    </row>
    <row r="3535" spans="1:3" x14ac:dyDescent="0.25">
      <c r="A3535" t="s">
        <v>9</v>
      </c>
      <c r="B3535" s="1">
        <v>45330</v>
      </c>
      <c r="C3535">
        <v>27.74</v>
      </c>
    </row>
    <row r="3536" spans="1:3" x14ac:dyDescent="0.25">
      <c r="A3536" t="s">
        <v>9</v>
      </c>
      <c r="B3536" s="1">
        <v>45331</v>
      </c>
      <c r="C3536">
        <v>26.98</v>
      </c>
    </row>
    <row r="3537" spans="1:3" x14ac:dyDescent="0.25">
      <c r="A3537" t="s">
        <v>10</v>
      </c>
      <c r="B3537" s="1">
        <v>44603</v>
      </c>
      <c r="C3537">
        <v>4.751112</v>
      </c>
    </row>
    <row r="3538" spans="1:3" x14ac:dyDescent="0.25">
      <c r="A3538" t="s">
        <v>10</v>
      </c>
      <c r="B3538" s="1">
        <v>44606</v>
      </c>
      <c r="C3538">
        <v>4.6281809999999997</v>
      </c>
    </row>
    <row r="3539" spans="1:3" x14ac:dyDescent="0.25">
      <c r="A3539" t="s">
        <v>10</v>
      </c>
      <c r="B3539" s="1">
        <v>44607</v>
      </c>
      <c r="C3539">
        <v>4.6822889999999999</v>
      </c>
    </row>
    <row r="3540" spans="1:3" x14ac:dyDescent="0.25">
      <c r="A3540" t="s">
        <v>10</v>
      </c>
      <c r="B3540" s="1">
        <v>44608</v>
      </c>
      <c r="C3540">
        <v>4.8498359999999998</v>
      </c>
    </row>
    <row r="3541" spans="1:3" x14ac:dyDescent="0.25">
      <c r="A3541" t="s">
        <v>10</v>
      </c>
      <c r="B3541" s="1">
        <v>44609</v>
      </c>
      <c r="C3541">
        <v>4.8336980000000001</v>
      </c>
    </row>
    <row r="3542" spans="1:3" x14ac:dyDescent="0.25">
      <c r="A3542" t="s">
        <v>10</v>
      </c>
      <c r="B3542" s="1">
        <v>44610</v>
      </c>
      <c r="C3542">
        <v>4.7700969999999998</v>
      </c>
    </row>
    <row r="3543" spans="1:3" x14ac:dyDescent="0.25">
      <c r="A3543" t="s">
        <v>10</v>
      </c>
      <c r="B3543" s="1">
        <v>44613</v>
      </c>
      <c r="C3543">
        <v>4.6618789999999999</v>
      </c>
    </row>
    <row r="3544" spans="1:3" x14ac:dyDescent="0.25">
      <c r="A3544" t="s">
        <v>10</v>
      </c>
      <c r="B3544" s="1">
        <v>44614</v>
      </c>
      <c r="C3544">
        <v>4.6689990000000003</v>
      </c>
    </row>
    <row r="3545" spans="1:3" x14ac:dyDescent="0.25">
      <c r="A3545" t="s">
        <v>10</v>
      </c>
      <c r="B3545" s="1">
        <v>44615</v>
      </c>
      <c r="C3545">
        <v>4.6068220000000002</v>
      </c>
    </row>
    <row r="3546" spans="1:3" x14ac:dyDescent="0.25">
      <c r="A3546" t="s">
        <v>10</v>
      </c>
      <c r="B3546" s="1">
        <v>44616</v>
      </c>
      <c r="C3546">
        <v>4.5047740000000003</v>
      </c>
    </row>
    <row r="3547" spans="1:3" x14ac:dyDescent="0.25">
      <c r="A3547" t="s">
        <v>10</v>
      </c>
      <c r="B3547" s="1">
        <v>44617</v>
      </c>
      <c r="C3547">
        <v>4.6248579999999997</v>
      </c>
    </row>
    <row r="3548" spans="1:3" x14ac:dyDescent="0.25">
      <c r="A3548" t="s">
        <v>10</v>
      </c>
      <c r="B3548" s="1">
        <v>44620</v>
      </c>
      <c r="C3548">
        <v>4.5921070000000004</v>
      </c>
    </row>
    <row r="3549" spans="1:3" x14ac:dyDescent="0.25">
      <c r="A3549" t="s">
        <v>10</v>
      </c>
      <c r="B3549" s="1">
        <v>44621</v>
      </c>
      <c r="C3549">
        <v>4.5000289999999996</v>
      </c>
    </row>
    <row r="3550" spans="1:3" x14ac:dyDescent="0.25">
      <c r="A3550" t="s">
        <v>10</v>
      </c>
      <c r="B3550" s="1">
        <v>44622</v>
      </c>
      <c r="C3550">
        <v>4.5878370000000004</v>
      </c>
    </row>
    <row r="3551" spans="1:3" x14ac:dyDescent="0.25">
      <c r="A3551" t="s">
        <v>10</v>
      </c>
      <c r="B3551" s="1">
        <v>44623</v>
      </c>
      <c r="C3551">
        <v>4.3377020000000002</v>
      </c>
    </row>
    <row r="3552" spans="1:3" x14ac:dyDescent="0.25">
      <c r="A3552" t="s">
        <v>10</v>
      </c>
      <c r="B3552" s="1">
        <v>44624</v>
      </c>
      <c r="C3552">
        <v>4.2000580000000003</v>
      </c>
    </row>
    <row r="3553" spans="1:3" x14ac:dyDescent="0.25">
      <c r="A3553" t="s">
        <v>10</v>
      </c>
      <c r="B3553" s="1">
        <v>44627</v>
      </c>
      <c r="C3553">
        <v>4.1094030000000004</v>
      </c>
    </row>
    <row r="3554" spans="1:3" x14ac:dyDescent="0.25">
      <c r="A3554" t="s">
        <v>10</v>
      </c>
      <c r="B3554" s="1">
        <v>44628</v>
      </c>
      <c r="C3554">
        <v>4.0970630000000003</v>
      </c>
    </row>
    <row r="3555" spans="1:3" x14ac:dyDescent="0.25">
      <c r="A3555" t="s">
        <v>10</v>
      </c>
      <c r="B3555" s="1">
        <v>44629</v>
      </c>
      <c r="C3555">
        <v>4.2399279999999999</v>
      </c>
    </row>
    <row r="3556" spans="1:3" x14ac:dyDescent="0.25">
      <c r="A3556" t="s">
        <v>10</v>
      </c>
      <c r="B3556" s="1">
        <v>44630</v>
      </c>
      <c r="C3556">
        <v>4.1910410000000002</v>
      </c>
    </row>
    <row r="3557" spans="1:3" x14ac:dyDescent="0.25">
      <c r="A3557" t="s">
        <v>10</v>
      </c>
      <c r="B3557" s="1">
        <v>44631</v>
      </c>
      <c r="C3557">
        <v>4.2741020000000001</v>
      </c>
    </row>
    <row r="3558" spans="1:3" x14ac:dyDescent="0.25">
      <c r="A3558" t="s">
        <v>10</v>
      </c>
      <c r="B3558" s="1">
        <v>44634</v>
      </c>
      <c r="C3558">
        <v>4.4250350000000003</v>
      </c>
    </row>
    <row r="3559" spans="1:3" x14ac:dyDescent="0.25">
      <c r="A3559" t="s">
        <v>10</v>
      </c>
      <c r="B3559" s="1">
        <v>44635</v>
      </c>
      <c r="C3559">
        <v>4.4231379999999998</v>
      </c>
    </row>
    <row r="3560" spans="1:3" x14ac:dyDescent="0.25">
      <c r="A3560" t="s">
        <v>10</v>
      </c>
      <c r="B3560" s="1">
        <v>44636</v>
      </c>
      <c r="C3560">
        <v>4.5294559999999997</v>
      </c>
    </row>
    <row r="3561" spans="1:3" x14ac:dyDescent="0.25">
      <c r="A3561" t="s">
        <v>10</v>
      </c>
      <c r="B3561" s="1">
        <v>44637</v>
      </c>
      <c r="C3561">
        <v>4.5826159999999998</v>
      </c>
    </row>
    <row r="3562" spans="1:3" x14ac:dyDescent="0.25">
      <c r="A3562" t="s">
        <v>10</v>
      </c>
      <c r="B3562" s="1">
        <v>44638</v>
      </c>
      <c r="C3562">
        <v>4.6044489999999998</v>
      </c>
    </row>
    <row r="3563" spans="1:3" x14ac:dyDescent="0.25">
      <c r="A3563" t="s">
        <v>10</v>
      </c>
      <c r="B3563" s="1">
        <v>44641</v>
      </c>
      <c r="C3563">
        <v>4.616314</v>
      </c>
    </row>
    <row r="3564" spans="1:3" x14ac:dyDescent="0.25">
      <c r="A3564" t="s">
        <v>10</v>
      </c>
      <c r="B3564" s="1">
        <v>44642</v>
      </c>
      <c r="C3564">
        <v>4.6514379999999997</v>
      </c>
    </row>
    <row r="3565" spans="1:3" x14ac:dyDescent="0.25">
      <c r="A3565" t="s">
        <v>10</v>
      </c>
      <c r="B3565" s="1">
        <v>44643</v>
      </c>
      <c r="C3565">
        <v>4.6286550000000002</v>
      </c>
    </row>
    <row r="3566" spans="1:3" x14ac:dyDescent="0.25">
      <c r="A3566" t="s">
        <v>10</v>
      </c>
      <c r="B3566" s="1">
        <v>44644</v>
      </c>
      <c r="C3566">
        <v>4.6329269999999996</v>
      </c>
    </row>
    <row r="3567" spans="1:3" x14ac:dyDescent="0.25">
      <c r="A3567" t="s">
        <v>10</v>
      </c>
      <c r="B3567" s="1">
        <v>44645</v>
      </c>
      <c r="C3567">
        <v>4.6353010000000001</v>
      </c>
    </row>
    <row r="3568" spans="1:3" x14ac:dyDescent="0.25">
      <c r="A3568" t="s">
        <v>10</v>
      </c>
      <c r="B3568" s="1">
        <v>44648</v>
      </c>
      <c r="C3568">
        <v>4.6666259999999999</v>
      </c>
    </row>
    <row r="3569" spans="1:3" x14ac:dyDescent="0.25">
      <c r="A3569" t="s">
        <v>10</v>
      </c>
      <c r="B3569" s="1">
        <v>44649</v>
      </c>
      <c r="C3569">
        <v>4.758705</v>
      </c>
    </row>
    <row r="3570" spans="1:3" x14ac:dyDescent="0.25">
      <c r="A3570" t="s">
        <v>10</v>
      </c>
      <c r="B3570" s="1">
        <v>44650</v>
      </c>
      <c r="C3570">
        <v>4.7795889999999996</v>
      </c>
    </row>
    <row r="3571" spans="1:3" x14ac:dyDescent="0.25">
      <c r="A3571" t="s">
        <v>10</v>
      </c>
      <c r="B3571" s="1">
        <v>44651</v>
      </c>
      <c r="C3571">
        <v>4.7326009999999998</v>
      </c>
    </row>
    <row r="3572" spans="1:3" x14ac:dyDescent="0.25">
      <c r="A3572" t="s">
        <v>10</v>
      </c>
      <c r="B3572" s="1">
        <v>44652</v>
      </c>
      <c r="C3572">
        <v>4.7890819999999996</v>
      </c>
    </row>
    <row r="3573" spans="1:3" x14ac:dyDescent="0.25">
      <c r="A3573" t="s">
        <v>10</v>
      </c>
      <c r="B3573" s="1">
        <v>44655</v>
      </c>
      <c r="C3573">
        <v>4.8479369999999999</v>
      </c>
    </row>
    <row r="3574" spans="1:3" x14ac:dyDescent="0.25">
      <c r="A3574" t="s">
        <v>10</v>
      </c>
      <c r="B3574" s="1">
        <v>44656</v>
      </c>
      <c r="C3574">
        <v>4.852684</v>
      </c>
    </row>
    <row r="3575" spans="1:3" x14ac:dyDescent="0.25">
      <c r="A3575" t="s">
        <v>10</v>
      </c>
      <c r="B3575" s="1">
        <v>44657</v>
      </c>
      <c r="C3575">
        <v>4.7392450000000004</v>
      </c>
    </row>
    <row r="3576" spans="1:3" x14ac:dyDescent="0.25">
      <c r="A3576" t="s">
        <v>10</v>
      </c>
      <c r="B3576" s="1">
        <v>44658</v>
      </c>
      <c r="C3576">
        <v>4.7302270000000002</v>
      </c>
    </row>
    <row r="3577" spans="1:3" x14ac:dyDescent="0.25">
      <c r="A3577" t="s">
        <v>10</v>
      </c>
      <c r="B3577" s="1">
        <v>44659</v>
      </c>
      <c r="C3577">
        <v>4.7700969999999998</v>
      </c>
    </row>
    <row r="3578" spans="1:3" x14ac:dyDescent="0.25">
      <c r="A3578" t="s">
        <v>10</v>
      </c>
      <c r="B3578" s="1">
        <v>44662</v>
      </c>
      <c r="C3578">
        <v>4.687036</v>
      </c>
    </row>
    <row r="3579" spans="1:3" x14ac:dyDescent="0.25">
      <c r="A3579" t="s">
        <v>10</v>
      </c>
      <c r="B3579" s="1">
        <v>44663</v>
      </c>
      <c r="C3579">
        <v>4.6205860000000003</v>
      </c>
    </row>
    <row r="3580" spans="1:3" x14ac:dyDescent="0.25">
      <c r="A3580" t="s">
        <v>10</v>
      </c>
      <c r="B3580" s="1">
        <v>44664</v>
      </c>
      <c r="C3580">
        <v>4.6267569999999996</v>
      </c>
    </row>
    <row r="3581" spans="1:3" x14ac:dyDescent="0.25">
      <c r="A3581" t="s">
        <v>10</v>
      </c>
      <c r="B3581" s="1">
        <v>44665</v>
      </c>
      <c r="C3581">
        <v>4.603974</v>
      </c>
    </row>
    <row r="3582" spans="1:3" x14ac:dyDescent="0.25">
      <c r="A3582" t="s">
        <v>10</v>
      </c>
      <c r="B3582" s="1">
        <v>44670</v>
      </c>
      <c r="C3582">
        <v>4.6144160000000003</v>
      </c>
    </row>
    <row r="3583" spans="1:3" x14ac:dyDescent="0.25">
      <c r="A3583" t="s">
        <v>10</v>
      </c>
      <c r="B3583" s="1">
        <v>44671</v>
      </c>
      <c r="C3583">
        <v>4.6908329999999996</v>
      </c>
    </row>
    <row r="3584" spans="1:3" x14ac:dyDescent="0.25">
      <c r="A3584" t="s">
        <v>10</v>
      </c>
      <c r="B3584" s="1">
        <v>44672</v>
      </c>
      <c r="C3584">
        <v>4.730702</v>
      </c>
    </row>
    <row r="3585" spans="1:3" x14ac:dyDescent="0.25">
      <c r="A3585" t="s">
        <v>10</v>
      </c>
      <c r="B3585" s="1">
        <v>44673</v>
      </c>
      <c r="C3585">
        <v>4.6205860000000003</v>
      </c>
    </row>
    <row r="3586" spans="1:3" x14ac:dyDescent="0.25">
      <c r="A3586" t="s">
        <v>10</v>
      </c>
      <c r="B3586" s="1">
        <v>44676</v>
      </c>
      <c r="C3586">
        <v>4.5707490000000002</v>
      </c>
    </row>
    <row r="3587" spans="1:3" x14ac:dyDescent="0.25">
      <c r="A3587" t="s">
        <v>10</v>
      </c>
      <c r="B3587" s="1">
        <v>44677</v>
      </c>
      <c r="C3587">
        <v>4.6087210000000001</v>
      </c>
    </row>
    <row r="3588" spans="1:3" x14ac:dyDescent="0.25">
      <c r="A3588" t="s">
        <v>10</v>
      </c>
      <c r="B3588" s="1">
        <v>44678</v>
      </c>
      <c r="C3588">
        <v>4.566478</v>
      </c>
    </row>
    <row r="3589" spans="1:3" x14ac:dyDescent="0.25">
      <c r="A3589" t="s">
        <v>10</v>
      </c>
      <c r="B3589" s="1">
        <v>44679</v>
      </c>
      <c r="C3589">
        <v>4.422663</v>
      </c>
    </row>
    <row r="3590" spans="1:3" x14ac:dyDescent="0.25">
      <c r="A3590" t="s">
        <v>10</v>
      </c>
      <c r="B3590" s="1">
        <v>44680</v>
      </c>
      <c r="C3590">
        <v>4.6234339999999996</v>
      </c>
    </row>
    <row r="3591" spans="1:3" x14ac:dyDescent="0.25">
      <c r="A3591" t="s">
        <v>10</v>
      </c>
      <c r="B3591" s="1">
        <v>44683</v>
      </c>
      <c r="C3591">
        <v>4.6143789999999996</v>
      </c>
    </row>
    <row r="3592" spans="1:3" x14ac:dyDescent="0.25">
      <c r="A3592" t="s">
        <v>10</v>
      </c>
      <c r="B3592" s="1">
        <v>44684</v>
      </c>
      <c r="C3592">
        <v>4.7363869999999997</v>
      </c>
    </row>
    <row r="3593" spans="1:3" x14ac:dyDescent="0.25">
      <c r="A3593" t="s">
        <v>10</v>
      </c>
      <c r="B3593" s="1">
        <v>44685</v>
      </c>
      <c r="C3593">
        <v>4.6853910000000001</v>
      </c>
    </row>
    <row r="3594" spans="1:3" x14ac:dyDescent="0.25">
      <c r="A3594" t="s">
        <v>10</v>
      </c>
      <c r="B3594" s="1">
        <v>44686</v>
      </c>
      <c r="C3594">
        <v>4.6320129999999997</v>
      </c>
    </row>
    <row r="3595" spans="1:3" x14ac:dyDescent="0.25">
      <c r="A3595" t="s">
        <v>10</v>
      </c>
      <c r="B3595" s="1">
        <v>44687</v>
      </c>
      <c r="C3595">
        <v>4.5443199999999999</v>
      </c>
    </row>
    <row r="3596" spans="1:3" x14ac:dyDescent="0.25">
      <c r="A3596" t="s">
        <v>10</v>
      </c>
      <c r="B3596" s="1">
        <v>44690</v>
      </c>
      <c r="C3596">
        <v>4.3460570000000001</v>
      </c>
    </row>
    <row r="3597" spans="1:3" x14ac:dyDescent="0.25">
      <c r="A3597" t="s">
        <v>10</v>
      </c>
      <c r="B3597" s="1">
        <v>44691</v>
      </c>
      <c r="C3597">
        <v>4.3193669999999997</v>
      </c>
    </row>
    <row r="3598" spans="1:3" x14ac:dyDescent="0.25">
      <c r="A3598" t="s">
        <v>10</v>
      </c>
      <c r="B3598" s="1">
        <v>44692</v>
      </c>
      <c r="C3598">
        <v>4.3980050000000004</v>
      </c>
    </row>
    <row r="3599" spans="1:3" x14ac:dyDescent="0.25">
      <c r="A3599" t="s">
        <v>10</v>
      </c>
      <c r="B3599" s="1">
        <v>44693</v>
      </c>
      <c r="C3599">
        <v>4.3165079999999998</v>
      </c>
    </row>
    <row r="3600" spans="1:3" x14ac:dyDescent="0.25">
      <c r="A3600" t="s">
        <v>10</v>
      </c>
      <c r="B3600" s="1">
        <v>44694</v>
      </c>
      <c r="C3600">
        <v>4.4785490000000001</v>
      </c>
    </row>
    <row r="3601" spans="1:3" x14ac:dyDescent="0.25">
      <c r="A3601" t="s">
        <v>10</v>
      </c>
      <c r="B3601" s="1">
        <v>44697</v>
      </c>
      <c r="C3601">
        <v>4.4856980000000002</v>
      </c>
    </row>
    <row r="3602" spans="1:3" x14ac:dyDescent="0.25">
      <c r="A3602" t="s">
        <v>10</v>
      </c>
      <c r="B3602" s="1">
        <v>44698</v>
      </c>
      <c r="C3602">
        <v>4.5352639999999997</v>
      </c>
    </row>
    <row r="3603" spans="1:3" x14ac:dyDescent="0.25">
      <c r="A3603" t="s">
        <v>10</v>
      </c>
      <c r="B3603" s="1">
        <v>44699</v>
      </c>
      <c r="C3603">
        <v>4.4985660000000003</v>
      </c>
    </row>
    <row r="3604" spans="1:3" x14ac:dyDescent="0.25">
      <c r="A3604" t="s">
        <v>10</v>
      </c>
      <c r="B3604" s="1">
        <v>44700</v>
      </c>
      <c r="C3604">
        <v>4.3694100000000002</v>
      </c>
    </row>
    <row r="3605" spans="1:3" x14ac:dyDescent="0.25">
      <c r="A3605" t="s">
        <v>10</v>
      </c>
      <c r="B3605" s="1">
        <v>44701</v>
      </c>
      <c r="C3605">
        <v>4.3922860000000004</v>
      </c>
    </row>
    <row r="3606" spans="1:3" x14ac:dyDescent="0.25">
      <c r="A3606" t="s">
        <v>10</v>
      </c>
      <c r="B3606" s="1">
        <v>44704</v>
      </c>
      <c r="C3606">
        <v>4.4223119999999998</v>
      </c>
    </row>
    <row r="3607" spans="1:3" x14ac:dyDescent="0.25">
      <c r="A3607" t="s">
        <v>10</v>
      </c>
      <c r="B3607" s="1">
        <v>44705</v>
      </c>
      <c r="C3607">
        <v>4.3489170000000001</v>
      </c>
    </row>
    <row r="3608" spans="1:3" x14ac:dyDescent="0.25">
      <c r="A3608" t="s">
        <v>10</v>
      </c>
      <c r="B3608" s="1">
        <v>44706</v>
      </c>
      <c r="C3608">
        <v>4.4199289999999998</v>
      </c>
    </row>
    <row r="3609" spans="1:3" x14ac:dyDescent="0.25">
      <c r="A3609" t="s">
        <v>10</v>
      </c>
      <c r="B3609" s="1">
        <v>44708</v>
      </c>
      <c r="C3609">
        <v>4.5905490000000002</v>
      </c>
    </row>
    <row r="3610" spans="1:3" x14ac:dyDescent="0.25">
      <c r="A3610" t="s">
        <v>10</v>
      </c>
      <c r="B3610" s="1">
        <v>44711</v>
      </c>
      <c r="C3610">
        <v>4.5567120000000001</v>
      </c>
    </row>
    <row r="3611" spans="1:3" x14ac:dyDescent="0.25">
      <c r="A3611" t="s">
        <v>10</v>
      </c>
      <c r="B3611" s="1">
        <v>44712</v>
      </c>
      <c r="C3611">
        <v>4.4618690000000001</v>
      </c>
    </row>
    <row r="3612" spans="1:3" x14ac:dyDescent="0.25">
      <c r="A3612" t="s">
        <v>10</v>
      </c>
      <c r="B3612" s="1">
        <v>44713</v>
      </c>
      <c r="C3612">
        <v>4.443759</v>
      </c>
    </row>
    <row r="3613" spans="1:3" x14ac:dyDescent="0.25">
      <c r="A3613" t="s">
        <v>10</v>
      </c>
      <c r="B3613" s="1">
        <v>44714</v>
      </c>
      <c r="C3613">
        <v>4.4685410000000001</v>
      </c>
    </row>
    <row r="3614" spans="1:3" x14ac:dyDescent="0.25">
      <c r="A3614" t="s">
        <v>10</v>
      </c>
      <c r="B3614" s="1">
        <v>44715</v>
      </c>
      <c r="C3614">
        <v>4.4690180000000002</v>
      </c>
    </row>
    <row r="3615" spans="1:3" x14ac:dyDescent="0.25">
      <c r="A3615" t="s">
        <v>10</v>
      </c>
      <c r="B3615" s="1">
        <v>44718</v>
      </c>
      <c r="C3615">
        <v>4.5123870000000004</v>
      </c>
    </row>
    <row r="3616" spans="1:3" x14ac:dyDescent="0.25">
      <c r="A3616" t="s">
        <v>10</v>
      </c>
      <c r="B3616" s="1">
        <v>44719</v>
      </c>
      <c r="C3616">
        <v>4.4899880000000003</v>
      </c>
    </row>
    <row r="3617" spans="1:3" x14ac:dyDescent="0.25">
      <c r="A3617" t="s">
        <v>10</v>
      </c>
      <c r="B3617" s="1">
        <v>44720</v>
      </c>
      <c r="C3617">
        <v>4.4847450000000002</v>
      </c>
    </row>
    <row r="3618" spans="1:3" x14ac:dyDescent="0.25">
      <c r="A3618" t="s">
        <v>10</v>
      </c>
      <c r="B3618" s="1">
        <v>44721</v>
      </c>
      <c r="C3618">
        <v>4.4194529999999999</v>
      </c>
    </row>
    <row r="3619" spans="1:3" x14ac:dyDescent="0.25">
      <c r="A3619" t="s">
        <v>10</v>
      </c>
      <c r="B3619" s="1">
        <v>44722</v>
      </c>
      <c r="C3619">
        <v>4.2883889999999996</v>
      </c>
    </row>
    <row r="3620" spans="1:3" x14ac:dyDescent="0.25">
      <c r="A3620" t="s">
        <v>10</v>
      </c>
      <c r="B3620" s="1">
        <v>44725</v>
      </c>
      <c r="C3620">
        <v>4.2464490000000001</v>
      </c>
    </row>
    <row r="3621" spans="1:3" x14ac:dyDescent="0.25">
      <c r="A3621" t="s">
        <v>10</v>
      </c>
      <c r="B3621" s="1">
        <v>44726</v>
      </c>
      <c r="C3621">
        <v>4.3084049999999996</v>
      </c>
    </row>
    <row r="3622" spans="1:3" x14ac:dyDescent="0.25">
      <c r="A3622" t="s">
        <v>10</v>
      </c>
      <c r="B3622" s="1">
        <v>44727</v>
      </c>
      <c r="C3622">
        <v>4.34558</v>
      </c>
    </row>
    <row r="3623" spans="1:3" x14ac:dyDescent="0.25">
      <c r="A3623" t="s">
        <v>10</v>
      </c>
      <c r="B3623" s="1">
        <v>44728</v>
      </c>
      <c r="C3623">
        <v>4.233104</v>
      </c>
    </row>
    <row r="3624" spans="1:3" x14ac:dyDescent="0.25">
      <c r="A3624" t="s">
        <v>10</v>
      </c>
      <c r="B3624" s="1">
        <v>44729</v>
      </c>
      <c r="C3624">
        <v>4.2016479999999996</v>
      </c>
    </row>
    <row r="3625" spans="1:3" x14ac:dyDescent="0.25">
      <c r="A3625" t="s">
        <v>10</v>
      </c>
      <c r="B3625" s="1">
        <v>44732</v>
      </c>
      <c r="C3625">
        <v>4.2769510000000004</v>
      </c>
    </row>
    <row r="3626" spans="1:3" x14ac:dyDescent="0.25">
      <c r="A3626" t="s">
        <v>10</v>
      </c>
      <c r="B3626" s="1">
        <v>44733</v>
      </c>
      <c r="C3626">
        <v>4.3236569999999999</v>
      </c>
    </row>
    <row r="3627" spans="1:3" x14ac:dyDescent="0.25">
      <c r="A3627" t="s">
        <v>10</v>
      </c>
      <c r="B3627" s="1">
        <v>44734</v>
      </c>
      <c r="C3627">
        <v>4.2650360000000003</v>
      </c>
    </row>
    <row r="3628" spans="1:3" x14ac:dyDescent="0.25">
      <c r="A3628" t="s">
        <v>10</v>
      </c>
      <c r="B3628" s="1">
        <v>44735</v>
      </c>
      <c r="C3628">
        <v>4.2416830000000001</v>
      </c>
    </row>
    <row r="3629" spans="1:3" x14ac:dyDescent="0.25">
      <c r="A3629" t="s">
        <v>10</v>
      </c>
      <c r="B3629" s="1">
        <v>44739</v>
      </c>
      <c r="C3629">
        <v>4.3789420000000003</v>
      </c>
    </row>
    <row r="3630" spans="1:3" x14ac:dyDescent="0.25">
      <c r="A3630" t="s">
        <v>10</v>
      </c>
      <c r="B3630" s="1">
        <v>44740</v>
      </c>
      <c r="C3630">
        <v>4.3941929999999996</v>
      </c>
    </row>
    <row r="3631" spans="1:3" x14ac:dyDescent="0.25">
      <c r="A3631" t="s">
        <v>10</v>
      </c>
      <c r="B3631" s="1">
        <v>44741</v>
      </c>
      <c r="C3631">
        <v>4.3241339999999999</v>
      </c>
    </row>
    <row r="3632" spans="1:3" x14ac:dyDescent="0.25">
      <c r="A3632" t="s">
        <v>10</v>
      </c>
      <c r="B3632" s="1">
        <v>44742</v>
      </c>
      <c r="C3632">
        <v>4.2316739999999999</v>
      </c>
    </row>
    <row r="3633" spans="1:3" x14ac:dyDescent="0.25">
      <c r="A3633" t="s">
        <v>10</v>
      </c>
      <c r="B3633" s="1">
        <v>44743</v>
      </c>
      <c r="C3633">
        <v>4.2459720000000001</v>
      </c>
    </row>
    <row r="3634" spans="1:3" x14ac:dyDescent="0.25">
      <c r="A3634" t="s">
        <v>10</v>
      </c>
      <c r="B3634" s="1">
        <v>44746</v>
      </c>
      <c r="C3634">
        <v>4.2397770000000001</v>
      </c>
    </row>
    <row r="3635" spans="1:3" x14ac:dyDescent="0.25">
      <c r="A3635" t="s">
        <v>10</v>
      </c>
      <c r="B3635" s="1">
        <v>44747</v>
      </c>
      <c r="C3635">
        <v>4.1520830000000002</v>
      </c>
    </row>
    <row r="3636" spans="1:3" x14ac:dyDescent="0.25">
      <c r="A3636" t="s">
        <v>10</v>
      </c>
      <c r="B3636" s="1">
        <v>44748</v>
      </c>
      <c r="C3636">
        <v>4.2211889999999999</v>
      </c>
    </row>
    <row r="3637" spans="1:3" x14ac:dyDescent="0.25">
      <c r="A3637" t="s">
        <v>10</v>
      </c>
      <c r="B3637" s="1">
        <v>44749</v>
      </c>
      <c r="C3637">
        <v>4.341291</v>
      </c>
    </row>
    <row r="3638" spans="1:3" x14ac:dyDescent="0.25">
      <c r="A3638" t="s">
        <v>10</v>
      </c>
      <c r="B3638" s="1">
        <v>44750</v>
      </c>
      <c r="C3638">
        <v>4.3870440000000004</v>
      </c>
    </row>
    <row r="3639" spans="1:3" x14ac:dyDescent="0.25">
      <c r="A3639" t="s">
        <v>10</v>
      </c>
      <c r="B3639" s="1">
        <v>44753</v>
      </c>
      <c r="C3639">
        <v>4.3856140000000003</v>
      </c>
    </row>
    <row r="3640" spans="1:3" x14ac:dyDescent="0.25">
      <c r="A3640" t="s">
        <v>10</v>
      </c>
      <c r="B3640" s="1">
        <v>44754</v>
      </c>
      <c r="C3640">
        <v>4.4065839999999996</v>
      </c>
    </row>
    <row r="3641" spans="1:3" x14ac:dyDescent="0.25">
      <c r="A3641" t="s">
        <v>10</v>
      </c>
      <c r="B3641" s="1">
        <v>44755</v>
      </c>
      <c r="C3641">
        <v>4.3374779999999999</v>
      </c>
    </row>
    <row r="3642" spans="1:3" x14ac:dyDescent="0.25">
      <c r="A3642" t="s">
        <v>10</v>
      </c>
      <c r="B3642" s="1">
        <v>44756</v>
      </c>
      <c r="C3642">
        <v>4.2226189999999999</v>
      </c>
    </row>
    <row r="3643" spans="1:3" x14ac:dyDescent="0.25">
      <c r="A3643" t="s">
        <v>10</v>
      </c>
      <c r="B3643" s="1">
        <v>44757</v>
      </c>
      <c r="C3643">
        <v>4.329853</v>
      </c>
    </row>
    <row r="3644" spans="1:3" x14ac:dyDescent="0.25">
      <c r="A3644" t="s">
        <v>10</v>
      </c>
      <c r="B3644" s="1">
        <v>44760</v>
      </c>
      <c r="C3644">
        <v>4.329853</v>
      </c>
    </row>
    <row r="3645" spans="1:3" x14ac:dyDescent="0.25">
      <c r="A3645" t="s">
        <v>10</v>
      </c>
      <c r="B3645" s="1">
        <v>44761</v>
      </c>
      <c r="C3645">
        <v>4.3017329999999996</v>
      </c>
    </row>
    <row r="3646" spans="1:3" x14ac:dyDescent="0.25">
      <c r="A3646" t="s">
        <v>10</v>
      </c>
      <c r="B3646" s="1">
        <v>44762</v>
      </c>
      <c r="C3646">
        <v>4.3713160000000002</v>
      </c>
    </row>
    <row r="3647" spans="1:3" x14ac:dyDescent="0.25">
      <c r="A3647" t="s">
        <v>10</v>
      </c>
      <c r="B3647" s="1">
        <v>44763</v>
      </c>
      <c r="C3647">
        <v>4.777374</v>
      </c>
    </row>
    <row r="3648" spans="1:3" x14ac:dyDescent="0.25">
      <c r="A3648" t="s">
        <v>10</v>
      </c>
      <c r="B3648" s="1">
        <v>44764</v>
      </c>
      <c r="C3648">
        <v>4.778327</v>
      </c>
    </row>
    <row r="3649" spans="1:3" x14ac:dyDescent="0.25">
      <c r="A3649" t="s">
        <v>10</v>
      </c>
      <c r="B3649" s="1">
        <v>44767</v>
      </c>
      <c r="C3649">
        <v>4.8108659999999999</v>
      </c>
    </row>
    <row r="3650" spans="1:3" x14ac:dyDescent="0.25">
      <c r="A3650" t="s">
        <v>10</v>
      </c>
      <c r="B3650" s="1">
        <v>44768</v>
      </c>
      <c r="C3650">
        <v>4.8127789999999999</v>
      </c>
    </row>
    <row r="3651" spans="1:3" x14ac:dyDescent="0.25">
      <c r="A3651" t="s">
        <v>10</v>
      </c>
      <c r="B3651" s="1">
        <v>44769</v>
      </c>
      <c r="C3651">
        <v>4.874028</v>
      </c>
    </row>
    <row r="3652" spans="1:3" x14ac:dyDescent="0.25">
      <c r="A3652" t="s">
        <v>10</v>
      </c>
      <c r="B3652" s="1">
        <v>44770</v>
      </c>
      <c r="C3652">
        <v>4.8989099999999999</v>
      </c>
    </row>
    <row r="3653" spans="1:3" x14ac:dyDescent="0.25">
      <c r="A3653" t="s">
        <v>10</v>
      </c>
      <c r="B3653" s="1">
        <v>44771</v>
      </c>
      <c r="C3653">
        <v>4.8797689999999996</v>
      </c>
    </row>
    <row r="3654" spans="1:3" x14ac:dyDescent="0.25">
      <c r="A3654" t="s">
        <v>10</v>
      </c>
      <c r="B3654" s="1">
        <v>44774</v>
      </c>
      <c r="C3654">
        <v>4.9170920000000002</v>
      </c>
    </row>
    <row r="3655" spans="1:3" x14ac:dyDescent="0.25">
      <c r="A3655" t="s">
        <v>10</v>
      </c>
      <c r="B3655" s="1">
        <v>44775</v>
      </c>
      <c r="C3655">
        <v>4.8969959999999997</v>
      </c>
    </row>
    <row r="3656" spans="1:3" x14ac:dyDescent="0.25">
      <c r="A3656" t="s">
        <v>10</v>
      </c>
      <c r="B3656" s="1">
        <v>44776</v>
      </c>
      <c r="C3656">
        <v>4.9065659999999998</v>
      </c>
    </row>
    <row r="3657" spans="1:3" x14ac:dyDescent="0.25">
      <c r="A3657" t="s">
        <v>10</v>
      </c>
      <c r="B3657" s="1">
        <v>44777</v>
      </c>
      <c r="C3657">
        <v>4.9295340000000003</v>
      </c>
    </row>
    <row r="3658" spans="1:3" x14ac:dyDescent="0.25">
      <c r="A3658" t="s">
        <v>10</v>
      </c>
      <c r="B3658" s="1">
        <v>44778</v>
      </c>
      <c r="C3658">
        <v>4.8711570000000002</v>
      </c>
    </row>
    <row r="3659" spans="1:3" x14ac:dyDescent="0.25">
      <c r="A3659" t="s">
        <v>10</v>
      </c>
      <c r="B3659" s="1">
        <v>44781</v>
      </c>
      <c r="C3659">
        <v>4.9027380000000003</v>
      </c>
    </row>
    <row r="3660" spans="1:3" x14ac:dyDescent="0.25">
      <c r="A3660" t="s">
        <v>10</v>
      </c>
      <c r="B3660" s="1">
        <v>44782</v>
      </c>
      <c r="C3660">
        <v>4.8032089999999998</v>
      </c>
    </row>
    <row r="3661" spans="1:3" x14ac:dyDescent="0.25">
      <c r="A3661" t="s">
        <v>10</v>
      </c>
      <c r="B3661" s="1">
        <v>44783</v>
      </c>
      <c r="C3661">
        <v>4.830006</v>
      </c>
    </row>
    <row r="3662" spans="1:3" x14ac:dyDescent="0.25">
      <c r="A3662" t="s">
        <v>10</v>
      </c>
      <c r="B3662" s="1">
        <v>44784</v>
      </c>
      <c r="C3662">
        <v>4.8520159999999999</v>
      </c>
    </row>
    <row r="3663" spans="1:3" x14ac:dyDescent="0.25">
      <c r="A3663" t="s">
        <v>10</v>
      </c>
      <c r="B3663" s="1">
        <v>44785</v>
      </c>
      <c r="C3663">
        <v>4.8424459999999998</v>
      </c>
    </row>
    <row r="3664" spans="1:3" x14ac:dyDescent="0.25">
      <c r="A3664" t="s">
        <v>10</v>
      </c>
      <c r="B3664" s="1">
        <v>44788</v>
      </c>
      <c r="C3664">
        <v>4.7591869999999998</v>
      </c>
    </row>
    <row r="3665" spans="1:3" x14ac:dyDescent="0.25">
      <c r="A3665" t="s">
        <v>10</v>
      </c>
      <c r="B3665" s="1">
        <v>44789</v>
      </c>
      <c r="C3665">
        <v>4.8510590000000002</v>
      </c>
    </row>
    <row r="3666" spans="1:3" x14ac:dyDescent="0.25">
      <c r="A3666" t="s">
        <v>10</v>
      </c>
      <c r="B3666" s="1">
        <v>44790</v>
      </c>
      <c r="C3666">
        <v>4.7587080000000004</v>
      </c>
    </row>
    <row r="3667" spans="1:3" x14ac:dyDescent="0.25">
      <c r="A3667" t="s">
        <v>10</v>
      </c>
      <c r="B3667" s="1">
        <v>44791</v>
      </c>
      <c r="C3667">
        <v>4.8223500000000001</v>
      </c>
    </row>
    <row r="3668" spans="1:3" x14ac:dyDescent="0.25">
      <c r="A3668" t="s">
        <v>10</v>
      </c>
      <c r="B3668" s="1">
        <v>44792</v>
      </c>
      <c r="C3668">
        <v>4.7740210000000003</v>
      </c>
    </row>
    <row r="3669" spans="1:3" x14ac:dyDescent="0.25">
      <c r="A3669" t="s">
        <v>10</v>
      </c>
      <c r="B3669" s="1">
        <v>44795</v>
      </c>
      <c r="C3669">
        <v>4.7400469999999997</v>
      </c>
    </row>
    <row r="3670" spans="1:3" x14ac:dyDescent="0.25">
      <c r="A3670" t="s">
        <v>10</v>
      </c>
      <c r="B3670" s="1">
        <v>44796</v>
      </c>
      <c r="C3670">
        <v>4.7625359999999999</v>
      </c>
    </row>
    <row r="3671" spans="1:3" x14ac:dyDescent="0.25">
      <c r="A3671" t="s">
        <v>10</v>
      </c>
      <c r="B3671" s="1">
        <v>44797</v>
      </c>
      <c r="C3671">
        <v>4.7520090000000001</v>
      </c>
    </row>
    <row r="3672" spans="1:3" x14ac:dyDescent="0.25">
      <c r="A3672" t="s">
        <v>10</v>
      </c>
      <c r="B3672" s="1">
        <v>44798</v>
      </c>
      <c r="C3672">
        <v>4.7965099999999996</v>
      </c>
    </row>
    <row r="3673" spans="1:3" x14ac:dyDescent="0.25">
      <c r="A3673" t="s">
        <v>10</v>
      </c>
      <c r="B3673" s="1">
        <v>44799</v>
      </c>
      <c r="C3673">
        <v>4.732869</v>
      </c>
    </row>
    <row r="3674" spans="1:3" x14ac:dyDescent="0.25">
      <c r="A3674" t="s">
        <v>10</v>
      </c>
      <c r="B3674" s="1">
        <v>44802</v>
      </c>
      <c r="C3674">
        <v>4.5979320000000001</v>
      </c>
    </row>
    <row r="3675" spans="1:3" x14ac:dyDescent="0.25">
      <c r="A3675" t="s">
        <v>10</v>
      </c>
      <c r="B3675" s="1">
        <v>44803</v>
      </c>
      <c r="C3675">
        <v>4.5941039999999997</v>
      </c>
    </row>
    <row r="3676" spans="1:3" x14ac:dyDescent="0.25">
      <c r="A3676" t="s">
        <v>10</v>
      </c>
      <c r="B3676" s="1">
        <v>44804</v>
      </c>
      <c r="C3676">
        <v>4.7965099999999996</v>
      </c>
    </row>
    <row r="3677" spans="1:3" x14ac:dyDescent="0.25">
      <c r="A3677" t="s">
        <v>10</v>
      </c>
      <c r="B3677" s="1">
        <v>44805</v>
      </c>
      <c r="C3677">
        <v>4.7649290000000004</v>
      </c>
    </row>
    <row r="3678" spans="1:3" x14ac:dyDescent="0.25">
      <c r="A3678" t="s">
        <v>10</v>
      </c>
      <c r="B3678" s="1">
        <v>44806</v>
      </c>
      <c r="C3678">
        <v>4.8424459999999998</v>
      </c>
    </row>
    <row r="3679" spans="1:3" x14ac:dyDescent="0.25">
      <c r="A3679" t="s">
        <v>10</v>
      </c>
      <c r="B3679" s="1">
        <v>44809</v>
      </c>
      <c r="C3679">
        <v>4.805123</v>
      </c>
    </row>
    <row r="3680" spans="1:3" x14ac:dyDescent="0.25">
      <c r="A3680" t="s">
        <v>10</v>
      </c>
      <c r="B3680" s="1">
        <v>44810</v>
      </c>
      <c r="C3680">
        <v>4.7869400000000004</v>
      </c>
    </row>
    <row r="3681" spans="1:3" x14ac:dyDescent="0.25">
      <c r="A3681" t="s">
        <v>10</v>
      </c>
      <c r="B3681" s="1">
        <v>44811</v>
      </c>
      <c r="C3681">
        <v>4.7869400000000004</v>
      </c>
    </row>
    <row r="3682" spans="1:3" x14ac:dyDescent="0.25">
      <c r="A3682" t="s">
        <v>10</v>
      </c>
      <c r="B3682" s="1">
        <v>44812</v>
      </c>
      <c r="C3682">
        <v>4.7945970000000004</v>
      </c>
    </row>
    <row r="3683" spans="1:3" x14ac:dyDescent="0.25">
      <c r="A3683" t="s">
        <v>10</v>
      </c>
      <c r="B3683" s="1">
        <v>44813</v>
      </c>
      <c r="C3683">
        <v>4.8520159999999999</v>
      </c>
    </row>
    <row r="3684" spans="1:3" x14ac:dyDescent="0.25">
      <c r="A3684" t="s">
        <v>10</v>
      </c>
      <c r="B3684" s="1">
        <v>44816</v>
      </c>
      <c r="C3684">
        <v>4.8845549999999998</v>
      </c>
    </row>
    <row r="3685" spans="1:3" x14ac:dyDescent="0.25">
      <c r="A3685" t="s">
        <v>10</v>
      </c>
      <c r="B3685" s="1">
        <v>44817</v>
      </c>
      <c r="C3685">
        <v>4.84436</v>
      </c>
    </row>
    <row r="3686" spans="1:3" x14ac:dyDescent="0.25">
      <c r="A3686" t="s">
        <v>10</v>
      </c>
      <c r="B3686" s="1">
        <v>44818</v>
      </c>
      <c r="C3686">
        <v>4.756316</v>
      </c>
    </row>
    <row r="3687" spans="1:3" x14ac:dyDescent="0.25">
      <c r="A3687" t="s">
        <v>10</v>
      </c>
      <c r="B3687" s="1">
        <v>44819</v>
      </c>
      <c r="C3687">
        <v>4.6979379999999997</v>
      </c>
    </row>
    <row r="3688" spans="1:3" x14ac:dyDescent="0.25">
      <c r="A3688" t="s">
        <v>10</v>
      </c>
      <c r="B3688" s="1">
        <v>44820</v>
      </c>
      <c r="C3688">
        <v>4.3912190000000004</v>
      </c>
    </row>
    <row r="3689" spans="1:3" x14ac:dyDescent="0.25">
      <c r="A3689" t="s">
        <v>10</v>
      </c>
      <c r="B3689" s="1">
        <v>44823</v>
      </c>
      <c r="C3689">
        <v>4.3916969999999997</v>
      </c>
    </row>
    <row r="3690" spans="1:3" x14ac:dyDescent="0.25">
      <c r="A3690" t="s">
        <v>10</v>
      </c>
      <c r="B3690" s="1">
        <v>44824</v>
      </c>
      <c r="C3690">
        <v>4.4022240000000004</v>
      </c>
    </row>
    <row r="3691" spans="1:3" x14ac:dyDescent="0.25">
      <c r="A3691" t="s">
        <v>10</v>
      </c>
      <c r="B3691" s="1">
        <v>44825</v>
      </c>
      <c r="C3691">
        <v>4.4161000000000001</v>
      </c>
    </row>
    <row r="3692" spans="1:3" x14ac:dyDescent="0.25">
      <c r="A3692" t="s">
        <v>10</v>
      </c>
      <c r="B3692" s="1">
        <v>44826</v>
      </c>
      <c r="C3692">
        <v>4.3007819999999999</v>
      </c>
    </row>
    <row r="3693" spans="1:3" x14ac:dyDescent="0.25">
      <c r="A3693" t="s">
        <v>10</v>
      </c>
      <c r="B3693" s="1">
        <v>44827</v>
      </c>
      <c r="C3693">
        <v>4.1845049999999997</v>
      </c>
    </row>
    <row r="3694" spans="1:3" x14ac:dyDescent="0.25">
      <c r="A3694" t="s">
        <v>10</v>
      </c>
      <c r="B3694" s="1">
        <v>44830</v>
      </c>
      <c r="C3694">
        <v>4.1907269999999999</v>
      </c>
    </row>
    <row r="3695" spans="1:3" x14ac:dyDescent="0.25">
      <c r="A3695" t="s">
        <v>10</v>
      </c>
      <c r="B3695" s="1">
        <v>44831</v>
      </c>
      <c r="C3695">
        <v>4.2199150000000003</v>
      </c>
    </row>
    <row r="3696" spans="1:3" x14ac:dyDescent="0.25">
      <c r="A3696" t="s">
        <v>10</v>
      </c>
      <c r="B3696" s="1">
        <v>44832</v>
      </c>
      <c r="C3696">
        <v>4.2859480000000003</v>
      </c>
    </row>
    <row r="3697" spans="1:3" x14ac:dyDescent="0.25">
      <c r="A3697" t="s">
        <v>10</v>
      </c>
      <c r="B3697" s="1">
        <v>44833</v>
      </c>
      <c r="C3697">
        <v>4.1763709999999996</v>
      </c>
    </row>
    <row r="3698" spans="1:3" x14ac:dyDescent="0.25">
      <c r="A3698" t="s">
        <v>10</v>
      </c>
      <c r="B3698" s="1">
        <v>44834</v>
      </c>
      <c r="C3698">
        <v>4.2304409999999999</v>
      </c>
    </row>
    <row r="3699" spans="1:3" x14ac:dyDescent="0.25">
      <c r="A3699" t="s">
        <v>10</v>
      </c>
      <c r="B3699" s="1">
        <v>44837</v>
      </c>
      <c r="C3699">
        <v>4.3093940000000002</v>
      </c>
    </row>
    <row r="3700" spans="1:3" x14ac:dyDescent="0.25">
      <c r="A3700" t="s">
        <v>10</v>
      </c>
      <c r="B3700" s="1">
        <v>44838</v>
      </c>
      <c r="C3700">
        <v>4.4491180000000004</v>
      </c>
    </row>
    <row r="3701" spans="1:3" x14ac:dyDescent="0.25">
      <c r="A3701" t="s">
        <v>10</v>
      </c>
      <c r="B3701" s="1">
        <v>44839</v>
      </c>
      <c r="C3701">
        <v>4.4165789999999996</v>
      </c>
    </row>
    <row r="3702" spans="1:3" x14ac:dyDescent="0.25">
      <c r="A3702" t="s">
        <v>10</v>
      </c>
      <c r="B3702" s="1">
        <v>44840</v>
      </c>
      <c r="C3702">
        <v>4.4027019999999997</v>
      </c>
    </row>
    <row r="3703" spans="1:3" x14ac:dyDescent="0.25">
      <c r="A3703" t="s">
        <v>10</v>
      </c>
      <c r="B3703" s="1">
        <v>44841</v>
      </c>
      <c r="C3703">
        <v>4.3314060000000003</v>
      </c>
    </row>
    <row r="3704" spans="1:3" x14ac:dyDescent="0.25">
      <c r="A3704" t="s">
        <v>10</v>
      </c>
      <c r="B3704" s="1">
        <v>44844</v>
      </c>
      <c r="C3704">
        <v>4.3041309999999999</v>
      </c>
    </row>
    <row r="3705" spans="1:3" x14ac:dyDescent="0.25">
      <c r="A3705" t="s">
        <v>10</v>
      </c>
      <c r="B3705" s="1">
        <v>44845</v>
      </c>
      <c r="C3705">
        <v>4.3108300000000002</v>
      </c>
    </row>
    <row r="3706" spans="1:3" x14ac:dyDescent="0.25">
      <c r="A3706" t="s">
        <v>10</v>
      </c>
      <c r="B3706" s="1">
        <v>44846</v>
      </c>
      <c r="C3706">
        <v>4.340497</v>
      </c>
    </row>
    <row r="3707" spans="1:3" x14ac:dyDescent="0.25">
      <c r="A3707" t="s">
        <v>10</v>
      </c>
      <c r="B3707" s="1">
        <v>44847</v>
      </c>
      <c r="C3707">
        <v>4.4184939999999999</v>
      </c>
    </row>
    <row r="3708" spans="1:3" x14ac:dyDescent="0.25">
      <c r="A3708" t="s">
        <v>10</v>
      </c>
      <c r="B3708" s="1">
        <v>44848</v>
      </c>
      <c r="C3708">
        <v>4.420407</v>
      </c>
    </row>
    <row r="3709" spans="1:3" x14ac:dyDescent="0.25">
      <c r="A3709" t="s">
        <v>10</v>
      </c>
      <c r="B3709" s="1">
        <v>44851</v>
      </c>
      <c r="C3709">
        <v>4.5151510000000004</v>
      </c>
    </row>
    <row r="3710" spans="1:3" x14ac:dyDescent="0.25">
      <c r="A3710" t="s">
        <v>10</v>
      </c>
      <c r="B3710" s="1">
        <v>44852</v>
      </c>
      <c r="C3710">
        <v>4.5687430000000004</v>
      </c>
    </row>
    <row r="3711" spans="1:3" x14ac:dyDescent="0.25">
      <c r="A3711" t="s">
        <v>10</v>
      </c>
      <c r="B3711" s="1">
        <v>44853</v>
      </c>
      <c r="C3711">
        <v>4.5429040000000001</v>
      </c>
    </row>
    <row r="3712" spans="1:3" x14ac:dyDescent="0.25">
      <c r="A3712" t="s">
        <v>10</v>
      </c>
      <c r="B3712" s="1">
        <v>44854</v>
      </c>
      <c r="C3712">
        <v>4.1969459999999996</v>
      </c>
    </row>
    <row r="3713" spans="1:3" x14ac:dyDescent="0.25">
      <c r="A3713" t="s">
        <v>10</v>
      </c>
      <c r="B3713" s="1">
        <v>44855</v>
      </c>
      <c r="C3713">
        <v>4.1213430000000004</v>
      </c>
    </row>
    <row r="3714" spans="1:3" x14ac:dyDescent="0.25">
      <c r="A3714" t="s">
        <v>10</v>
      </c>
      <c r="B3714" s="1">
        <v>44858</v>
      </c>
      <c r="C3714">
        <v>4.1886460000000003</v>
      </c>
    </row>
    <row r="3715" spans="1:3" x14ac:dyDescent="0.25">
      <c r="A3715" t="s">
        <v>10</v>
      </c>
      <c r="B3715" s="1">
        <v>44859</v>
      </c>
      <c r="C3715">
        <v>4.3054649999999999</v>
      </c>
    </row>
    <row r="3716" spans="1:3" x14ac:dyDescent="0.25">
      <c r="A3716" t="s">
        <v>10</v>
      </c>
      <c r="B3716" s="1">
        <v>44860</v>
      </c>
      <c r="C3716">
        <v>4.3155599999999996</v>
      </c>
    </row>
    <row r="3717" spans="1:3" x14ac:dyDescent="0.25">
      <c r="A3717" t="s">
        <v>10</v>
      </c>
      <c r="B3717" s="1">
        <v>44861</v>
      </c>
      <c r="C3717">
        <v>4.2823900000000004</v>
      </c>
    </row>
    <row r="3718" spans="1:3" x14ac:dyDescent="0.25">
      <c r="A3718" t="s">
        <v>10</v>
      </c>
      <c r="B3718" s="1">
        <v>44862</v>
      </c>
      <c r="C3718">
        <v>4.278543</v>
      </c>
    </row>
    <row r="3719" spans="1:3" x14ac:dyDescent="0.25">
      <c r="A3719" t="s">
        <v>10</v>
      </c>
      <c r="B3719" s="1">
        <v>44865</v>
      </c>
      <c r="C3719">
        <v>4.3333469999999998</v>
      </c>
    </row>
    <row r="3720" spans="1:3" x14ac:dyDescent="0.25">
      <c r="A3720" t="s">
        <v>10</v>
      </c>
      <c r="B3720" s="1">
        <v>44866</v>
      </c>
      <c r="C3720">
        <v>4.3179639999999999</v>
      </c>
    </row>
    <row r="3721" spans="1:3" x14ac:dyDescent="0.25">
      <c r="A3721" t="s">
        <v>10</v>
      </c>
      <c r="B3721" s="1">
        <v>44867</v>
      </c>
      <c r="C3721">
        <v>4.3049840000000001</v>
      </c>
    </row>
    <row r="3722" spans="1:3" x14ac:dyDescent="0.25">
      <c r="A3722" t="s">
        <v>10</v>
      </c>
      <c r="B3722" s="1">
        <v>44868</v>
      </c>
      <c r="C3722">
        <v>4.1924919999999997</v>
      </c>
    </row>
    <row r="3723" spans="1:3" x14ac:dyDescent="0.25">
      <c r="A3723" t="s">
        <v>10</v>
      </c>
      <c r="B3723" s="1">
        <v>44869</v>
      </c>
      <c r="C3723">
        <v>4.2271049999999999</v>
      </c>
    </row>
    <row r="3724" spans="1:3" x14ac:dyDescent="0.25">
      <c r="A3724" t="s">
        <v>10</v>
      </c>
      <c r="B3724" s="1">
        <v>44872</v>
      </c>
      <c r="C3724">
        <v>4.2597950000000004</v>
      </c>
    </row>
    <row r="3725" spans="1:3" x14ac:dyDescent="0.25">
      <c r="A3725" t="s">
        <v>10</v>
      </c>
      <c r="B3725" s="1">
        <v>44873</v>
      </c>
      <c r="C3725">
        <v>4.3352700000000004</v>
      </c>
    </row>
    <row r="3726" spans="1:3" x14ac:dyDescent="0.25">
      <c r="A3726" t="s">
        <v>10</v>
      </c>
      <c r="B3726" s="1">
        <v>44874</v>
      </c>
      <c r="C3726">
        <v>4.2804669999999998</v>
      </c>
    </row>
    <row r="3727" spans="1:3" x14ac:dyDescent="0.25">
      <c r="A3727" t="s">
        <v>10</v>
      </c>
      <c r="B3727" s="1">
        <v>44875</v>
      </c>
      <c r="C3727">
        <v>4.3871900000000004</v>
      </c>
    </row>
    <row r="3728" spans="1:3" x14ac:dyDescent="0.25">
      <c r="A3728" t="s">
        <v>10</v>
      </c>
      <c r="B3728" s="1">
        <v>44876</v>
      </c>
      <c r="C3728">
        <v>4.4242059999999999</v>
      </c>
    </row>
    <row r="3729" spans="1:3" x14ac:dyDescent="0.25">
      <c r="A3729" t="s">
        <v>10</v>
      </c>
      <c r="B3729" s="1">
        <v>44879</v>
      </c>
      <c r="C3729">
        <v>4.4290139999999996</v>
      </c>
    </row>
    <row r="3730" spans="1:3" x14ac:dyDescent="0.25">
      <c r="A3730" t="s">
        <v>10</v>
      </c>
      <c r="B3730" s="1">
        <v>44880</v>
      </c>
      <c r="C3730">
        <v>4.4919890000000002</v>
      </c>
    </row>
    <row r="3731" spans="1:3" x14ac:dyDescent="0.25">
      <c r="A3731" t="s">
        <v>10</v>
      </c>
      <c r="B3731" s="1">
        <v>44881</v>
      </c>
      <c r="C3731">
        <v>4.4093039999999997</v>
      </c>
    </row>
    <row r="3732" spans="1:3" x14ac:dyDescent="0.25">
      <c r="A3732" t="s">
        <v>10</v>
      </c>
      <c r="B3732" s="1">
        <v>44882</v>
      </c>
      <c r="C3732">
        <v>4.3982460000000003</v>
      </c>
    </row>
    <row r="3733" spans="1:3" x14ac:dyDescent="0.25">
      <c r="A3733" t="s">
        <v>10</v>
      </c>
      <c r="B3733" s="1">
        <v>44883</v>
      </c>
      <c r="C3733">
        <v>4.5155459999999996</v>
      </c>
    </row>
    <row r="3734" spans="1:3" x14ac:dyDescent="0.25">
      <c r="A3734" t="s">
        <v>10</v>
      </c>
      <c r="B3734" s="1">
        <v>44886</v>
      </c>
      <c r="C3734">
        <v>4.4429550000000004</v>
      </c>
    </row>
    <row r="3735" spans="1:3" x14ac:dyDescent="0.25">
      <c r="A3735" t="s">
        <v>10</v>
      </c>
      <c r="B3735" s="1">
        <v>44887</v>
      </c>
      <c r="C3735">
        <v>4.4756450000000001</v>
      </c>
    </row>
    <row r="3736" spans="1:3" x14ac:dyDescent="0.25">
      <c r="A3736" t="s">
        <v>10</v>
      </c>
      <c r="B3736" s="1">
        <v>44888</v>
      </c>
      <c r="C3736">
        <v>4.5011229999999998</v>
      </c>
    </row>
    <row r="3737" spans="1:3" x14ac:dyDescent="0.25">
      <c r="A3737" t="s">
        <v>10</v>
      </c>
      <c r="B3737" s="1">
        <v>44889</v>
      </c>
      <c r="C3737">
        <v>4.4958359999999997</v>
      </c>
    </row>
    <row r="3738" spans="1:3" x14ac:dyDescent="0.25">
      <c r="A3738" t="s">
        <v>10</v>
      </c>
      <c r="B3738" s="1">
        <v>44890</v>
      </c>
      <c r="C3738">
        <v>4.5049700000000001</v>
      </c>
    </row>
    <row r="3739" spans="1:3" x14ac:dyDescent="0.25">
      <c r="A3739" t="s">
        <v>10</v>
      </c>
      <c r="B3739" s="1">
        <v>44893</v>
      </c>
      <c r="C3739">
        <v>4.4049769999999997</v>
      </c>
    </row>
    <row r="3740" spans="1:3" x14ac:dyDescent="0.25">
      <c r="A3740" t="s">
        <v>10</v>
      </c>
      <c r="B3740" s="1">
        <v>44894</v>
      </c>
      <c r="C3740">
        <v>4.394882</v>
      </c>
    </row>
    <row r="3741" spans="1:3" x14ac:dyDescent="0.25">
      <c r="A3741" t="s">
        <v>10</v>
      </c>
      <c r="B3741" s="1">
        <v>44895</v>
      </c>
      <c r="C3741">
        <v>4.4737220000000004</v>
      </c>
    </row>
    <row r="3742" spans="1:3" x14ac:dyDescent="0.25">
      <c r="A3742" t="s">
        <v>10</v>
      </c>
      <c r="B3742" s="1">
        <v>44896</v>
      </c>
      <c r="C3742">
        <v>4.6054440000000003</v>
      </c>
    </row>
    <row r="3743" spans="1:3" x14ac:dyDescent="0.25">
      <c r="A3743" t="s">
        <v>10</v>
      </c>
      <c r="B3743" s="1">
        <v>44897</v>
      </c>
      <c r="C3743">
        <v>4.6515940000000002</v>
      </c>
    </row>
    <row r="3744" spans="1:3" x14ac:dyDescent="0.25">
      <c r="A3744" t="s">
        <v>10</v>
      </c>
      <c r="B3744" s="1">
        <v>44900</v>
      </c>
      <c r="C3744">
        <v>4.5381400000000003</v>
      </c>
    </row>
    <row r="3745" spans="1:3" x14ac:dyDescent="0.25">
      <c r="A3745" t="s">
        <v>10</v>
      </c>
      <c r="B3745" s="1">
        <v>44902</v>
      </c>
      <c r="C3745">
        <v>4.4184369999999999</v>
      </c>
    </row>
    <row r="3746" spans="1:3" x14ac:dyDescent="0.25">
      <c r="A3746" t="s">
        <v>10</v>
      </c>
      <c r="B3746" s="1">
        <v>44903</v>
      </c>
      <c r="C3746">
        <v>4.4669910000000002</v>
      </c>
    </row>
    <row r="3747" spans="1:3" x14ac:dyDescent="0.25">
      <c r="A3747" t="s">
        <v>10</v>
      </c>
      <c r="B3747" s="1">
        <v>44904</v>
      </c>
      <c r="C3747">
        <v>4.507854</v>
      </c>
    </row>
    <row r="3748" spans="1:3" x14ac:dyDescent="0.25">
      <c r="A3748" t="s">
        <v>10</v>
      </c>
      <c r="B3748" s="1">
        <v>44907</v>
      </c>
      <c r="C3748">
        <v>4.4703569999999999</v>
      </c>
    </row>
    <row r="3749" spans="1:3" x14ac:dyDescent="0.25">
      <c r="A3749" t="s">
        <v>10</v>
      </c>
      <c r="B3749" s="1">
        <v>44908</v>
      </c>
      <c r="C3749">
        <v>4.5463129999999996</v>
      </c>
    </row>
    <row r="3750" spans="1:3" x14ac:dyDescent="0.25">
      <c r="A3750" t="s">
        <v>10</v>
      </c>
      <c r="B3750" s="1">
        <v>44909</v>
      </c>
      <c r="C3750">
        <v>4.5261230000000001</v>
      </c>
    </row>
    <row r="3751" spans="1:3" x14ac:dyDescent="0.25">
      <c r="A3751" t="s">
        <v>10</v>
      </c>
      <c r="B3751" s="1">
        <v>44910</v>
      </c>
      <c r="C3751">
        <v>4.3626719999999999</v>
      </c>
    </row>
    <row r="3752" spans="1:3" x14ac:dyDescent="0.25">
      <c r="A3752" t="s">
        <v>10</v>
      </c>
      <c r="B3752" s="1">
        <v>44911</v>
      </c>
      <c r="C3752">
        <v>4.1920109999999999</v>
      </c>
    </row>
    <row r="3753" spans="1:3" x14ac:dyDescent="0.25">
      <c r="A3753" t="s">
        <v>10</v>
      </c>
      <c r="B3753" s="1">
        <v>44914</v>
      </c>
      <c r="C3753">
        <v>4.1997030000000004</v>
      </c>
    </row>
    <row r="3754" spans="1:3" x14ac:dyDescent="0.25">
      <c r="A3754" t="s">
        <v>10</v>
      </c>
      <c r="B3754" s="1">
        <v>44915</v>
      </c>
      <c r="C3754">
        <v>4.1703780000000004</v>
      </c>
    </row>
    <row r="3755" spans="1:3" x14ac:dyDescent="0.25">
      <c r="A3755" t="s">
        <v>10</v>
      </c>
      <c r="B3755" s="1">
        <v>44916</v>
      </c>
      <c r="C3755">
        <v>4.2131639999999999</v>
      </c>
    </row>
    <row r="3756" spans="1:3" x14ac:dyDescent="0.25">
      <c r="A3756" t="s">
        <v>10</v>
      </c>
      <c r="B3756" s="1">
        <v>44917</v>
      </c>
      <c r="C3756">
        <v>4.1823959999999998</v>
      </c>
    </row>
    <row r="3757" spans="1:3" x14ac:dyDescent="0.25">
      <c r="A3757" t="s">
        <v>10</v>
      </c>
      <c r="B3757" s="1">
        <v>44918</v>
      </c>
      <c r="C3757">
        <v>4.1953760000000004</v>
      </c>
    </row>
    <row r="3758" spans="1:3" x14ac:dyDescent="0.25">
      <c r="A3758" t="s">
        <v>10</v>
      </c>
      <c r="B3758" s="1">
        <v>44922</v>
      </c>
      <c r="C3758">
        <v>4.2107599999999996</v>
      </c>
    </row>
    <row r="3759" spans="1:3" x14ac:dyDescent="0.25">
      <c r="A3759" t="s">
        <v>10</v>
      </c>
      <c r="B3759" s="1">
        <v>44923</v>
      </c>
      <c r="C3759">
        <v>4.1689360000000004</v>
      </c>
    </row>
    <row r="3760" spans="1:3" x14ac:dyDescent="0.25">
      <c r="A3760" t="s">
        <v>10</v>
      </c>
      <c r="B3760" s="1">
        <v>44924</v>
      </c>
      <c r="C3760">
        <v>4.2218159999999996</v>
      </c>
    </row>
    <row r="3761" spans="1:3" x14ac:dyDescent="0.25">
      <c r="A3761" t="s">
        <v>10</v>
      </c>
      <c r="B3761" s="1">
        <v>44925</v>
      </c>
      <c r="C3761">
        <v>4.1602829999999997</v>
      </c>
    </row>
    <row r="3762" spans="1:3" x14ac:dyDescent="0.25">
      <c r="A3762" t="s">
        <v>10</v>
      </c>
      <c r="B3762" s="1">
        <v>44928</v>
      </c>
      <c r="C3762">
        <v>4.2679679999999998</v>
      </c>
    </row>
    <row r="3763" spans="1:3" x14ac:dyDescent="0.25">
      <c r="A3763" t="s">
        <v>10</v>
      </c>
      <c r="B3763" s="1">
        <v>44929</v>
      </c>
      <c r="C3763">
        <v>4.2559490000000002</v>
      </c>
    </row>
    <row r="3764" spans="1:3" x14ac:dyDescent="0.25">
      <c r="A3764" t="s">
        <v>10</v>
      </c>
      <c r="B3764" s="1">
        <v>44930</v>
      </c>
      <c r="C3764">
        <v>4.321809</v>
      </c>
    </row>
    <row r="3765" spans="1:3" x14ac:dyDescent="0.25">
      <c r="A3765" t="s">
        <v>10</v>
      </c>
      <c r="B3765" s="1">
        <v>44931</v>
      </c>
      <c r="C3765">
        <v>4.3145990000000003</v>
      </c>
    </row>
    <row r="3766" spans="1:3" x14ac:dyDescent="0.25">
      <c r="A3766" t="s">
        <v>10</v>
      </c>
      <c r="B3766" s="1">
        <v>44935</v>
      </c>
      <c r="C3766">
        <v>4.430936</v>
      </c>
    </row>
    <row r="3767" spans="1:3" x14ac:dyDescent="0.25">
      <c r="A3767" t="s">
        <v>10</v>
      </c>
      <c r="B3767" s="1">
        <v>44936</v>
      </c>
      <c r="C3767">
        <v>4.3819020000000002</v>
      </c>
    </row>
    <row r="3768" spans="1:3" x14ac:dyDescent="0.25">
      <c r="A3768" t="s">
        <v>10</v>
      </c>
      <c r="B3768" s="1">
        <v>44937</v>
      </c>
      <c r="C3768">
        <v>4.4227650000000001</v>
      </c>
    </row>
    <row r="3769" spans="1:3" x14ac:dyDescent="0.25">
      <c r="A3769" t="s">
        <v>10</v>
      </c>
      <c r="B3769" s="1">
        <v>44938</v>
      </c>
      <c r="C3769">
        <v>4.4573770000000001</v>
      </c>
    </row>
    <row r="3770" spans="1:3" x14ac:dyDescent="0.25">
      <c r="A3770" t="s">
        <v>10</v>
      </c>
      <c r="B3770" s="1">
        <v>44939</v>
      </c>
      <c r="C3770">
        <v>4.4703569999999999</v>
      </c>
    </row>
    <row r="3771" spans="1:3" x14ac:dyDescent="0.25">
      <c r="A3771" t="s">
        <v>10</v>
      </c>
      <c r="B3771" s="1">
        <v>44942</v>
      </c>
      <c r="C3771">
        <v>4.4867020000000002</v>
      </c>
    </row>
    <row r="3772" spans="1:3" x14ac:dyDescent="0.25">
      <c r="A3772" t="s">
        <v>10</v>
      </c>
      <c r="B3772" s="1">
        <v>44943</v>
      </c>
      <c r="C3772">
        <v>4.3266169999999997</v>
      </c>
    </row>
    <row r="3773" spans="1:3" x14ac:dyDescent="0.25">
      <c r="A3773" t="s">
        <v>10</v>
      </c>
      <c r="B3773" s="1">
        <v>44944</v>
      </c>
      <c r="C3773">
        <v>4.3045039999999997</v>
      </c>
    </row>
    <row r="3774" spans="1:3" x14ac:dyDescent="0.25">
      <c r="A3774" t="s">
        <v>10</v>
      </c>
      <c r="B3774" s="1">
        <v>44945</v>
      </c>
      <c r="C3774">
        <v>4.2146059999999999</v>
      </c>
    </row>
    <row r="3775" spans="1:3" x14ac:dyDescent="0.25">
      <c r="A3775" t="s">
        <v>10</v>
      </c>
      <c r="B3775" s="1">
        <v>44946</v>
      </c>
      <c r="C3775">
        <v>4.0593279999999998</v>
      </c>
    </row>
    <row r="3776" spans="1:3" x14ac:dyDescent="0.25">
      <c r="A3776" t="s">
        <v>10</v>
      </c>
      <c r="B3776" s="1">
        <v>44949</v>
      </c>
      <c r="C3776">
        <v>4.1242279999999996</v>
      </c>
    </row>
    <row r="3777" spans="1:3" x14ac:dyDescent="0.25">
      <c r="A3777" t="s">
        <v>10</v>
      </c>
      <c r="B3777" s="1">
        <v>44950</v>
      </c>
      <c r="C3777">
        <v>4.0727890000000002</v>
      </c>
    </row>
    <row r="3778" spans="1:3" x14ac:dyDescent="0.25">
      <c r="A3778" t="s">
        <v>10</v>
      </c>
      <c r="B3778" s="1">
        <v>44951</v>
      </c>
      <c r="C3778">
        <v>4.0501950000000004</v>
      </c>
    </row>
    <row r="3779" spans="1:3" x14ac:dyDescent="0.25">
      <c r="A3779" t="s">
        <v>10</v>
      </c>
      <c r="B3779" s="1">
        <v>44952</v>
      </c>
      <c r="C3779">
        <v>4.2117209999999998</v>
      </c>
    </row>
    <row r="3780" spans="1:3" x14ac:dyDescent="0.25">
      <c r="A3780" t="s">
        <v>10</v>
      </c>
      <c r="B3780" s="1">
        <v>44953</v>
      </c>
      <c r="C3780">
        <v>4.2232589999999997</v>
      </c>
    </row>
    <row r="3781" spans="1:3" x14ac:dyDescent="0.25">
      <c r="A3781" t="s">
        <v>10</v>
      </c>
      <c r="B3781" s="1">
        <v>44956</v>
      </c>
      <c r="C3781">
        <v>4.2541669999999998</v>
      </c>
    </row>
    <row r="3782" spans="1:3" x14ac:dyDescent="0.25">
      <c r="A3782" t="s">
        <v>10</v>
      </c>
      <c r="B3782" s="1">
        <v>44957</v>
      </c>
      <c r="C3782">
        <v>4.2029759999999996</v>
      </c>
    </row>
    <row r="3783" spans="1:3" x14ac:dyDescent="0.25">
      <c r="A3783" t="s">
        <v>10</v>
      </c>
      <c r="B3783" s="1">
        <v>44958</v>
      </c>
      <c r="C3783">
        <v>4.2155310000000004</v>
      </c>
    </row>
    <row r="3784" spans="1:3" x14ac:dyDescent="0.25">
      <c r="A3784" t="s">
        <v>10</v>
      </c>
      <c r="B3784" s="1">
        <v>44959</v>
      </c>
      <c r="C3784">
        <v>4.3227440000000001</v>
      </c>
    </row>
    <row r="3785" spans="1:3" x14ac:dyDescent="0.25">
      <c r="A3785" t="s">
        <v>10</v>
      </c>
      <c r="B3785" s="1">
        <v>44960</v>
      </c>
      <c r="C3785">
        <v>4.29087</v>
      </c>
    </row>
    <row r="3786" spans="1:3" x14ac:dyDescent="0.25">
      <c r="A3786" t="s">
        <v>10</v>
      </c>
      <c r="B3786" s="1">
        <v>44963</v>
      </c>
      <c r="C3786">
        <v>4.2266389999999996</v>
      </c>
    </row>
    <row r="3787" spans="1:3" x14ac:dyDescent="0.25">
      <c r="A3787" t="s">
        <v>10</v>
      </c>
      <c r="B3787" s="1">
        <v>44964</v>
      </c>
      <c r="C3787">
        <v>4.2029759999999996</v>
      </c>
    </row>
    <row r="3788" spans="1:3" x14ac:dyDescent="0.25">
      <c r="A3788" t="s">
        <v>10</v>
      </c>
      <c r="B3788" s="1">
        <v>44965</v>
      </c>
      <c r="C3788">
        <v>4.2116680000000004</v>
      </c>
    </row>
    <row r="3789" spans="1:3" x14ac:dyDescent="0.25">
      <c r="A3789" t="s">
        <v>10</v>
      </c>
      <c r="B3789" s="1">
        <v>44966</v>
      </c>
      <c r="C3789">
        <v>4.2145659999999996</v>
      </c>
    </row>
    <row r="3790" spans="1:3" x14ac:dyDescent="0.25">
      <c r="A3790" t="s">
        <v>10</v>
      </c>
      <c r="B3790" s="1">
        <v>44967</v>
      </c>
      <c r="C3790">
        <v>4.1981460000000004</v>
      </c>
    </row>
    <row r="3791" spans="1:3" x14ac:dyDescent="0.25">
      <c r="A3791" t="s">
        <v>10</v>
      </c>
      <c r="B3791" s="1">
        <v>44970</v>
      </c>
      <c r="C3791">
        <v>4.2010439999999996</v>
      </c>
    </row>
    <row r="3792" spans="1:3" x14ac:dyDescent="0.25">
      <c r="A3792" t="s">
        <v>10</v>
      </c>
      <c r="B3792" s="1">
        <v>44971</v>
      </c>
      <c r="C3792">
        <v>4.2145659999999996</v>
      </c>
    </row>
    <row r="3793" spans="1:3" x14ac:dyDescent="0.25">
      <c r="A3793" t="s">
        <v>10</v>
      </c>
      <c r="B3793" s="1">
        <v>44972</v>
      </c>
      <c r="C3793">
        <v>4.2551329999999998</v>
      </c>
    </row>
    <row r="3794" spans="1:3" x14ac:dyDescent="0.25">
      <c r="A3794" t="s">
        <v>10</v>
      </c>
      <c r="B3794" s="1">
        <v>44973</v>
      </c>
      <c r="C3794">
        <v>4.2971469999999998</v>
      </c>
    </row>
    <row r="3795" spans="1:3" x14ac:dyDescent="0.25">
      <c r="A3795" t="s">
        <v>10</v>
      </c>
      <c r="B3795" s="1">
        <v>44974</v>
      </c>
      <c r="C3795">
        <v>4.3053569999999999</v>
      </c>
    </row>
    <row r="3796" spans="1:3" x14ac:dyDescent="0.25">
      <c r="A3796" t="s">
        <v>10</v>
      </c>
      <c r="B3796" s="1">
        <v>44977</v>
      </c>
      <c r="C3796">
        <v>4.2812109999999999</v>
      </c>
    </row>
    <row r="3797" spans="1:3" x14ac:dyDescent="0.25">
      <c r="A3797" t="s">
        <v>10</v>
      </c>
      <c r="B3797" s="1">
        <v>44978</v>
      </c>
      <c r="C3797">
        <v>4.2614109999999998</v>
      </c>
    </row>
    <row r="3798" spans="1:3" x14ac:dyDescent="0.25">
      <c r="A3798" t="s">
        <v>10</v>
      </c>
      <c r="B3798" s="1">
        <v>44979</v>
      </c>
      <c r="C3798">
        <v>4.2585129999999998</v>
      </c>
    </row>
    <row r="3799" spans="1:3" x14ac:dyDescent="0.25">
      <c r="A3799" t="s">
        <v>10</v>
      </c>
      <c r="B3799" s="1">
        <v>44980</v>
      </c>
      <c r="C3799">
        <v>4.2575469999999997</v>
      </c>
    </row>
    <row r="3800" spans="1:3" x14ac:dyDescent="0.25">
      <c r="A3800" t="s">
        <v>10</v>
      </c>
      <c r="B3800" s="1">
        <v>44981</v>
      </c>
      <c r="C3800">
        <v>4.2029759999999996</v>
      </c>
    </row>
    <row r="3801" spans="1:3" x14ac:dyDescent="0.25">
      <c r="A3801" t="s">
        <v>10</v>
      </c>
      <c r="B3801" s="1">
        <v>44984</v>
      </c>
      <c r="C3801">
        <v>4.2981129999999999</v>
      </c>
    </row>
    <row r="3802" spans="1:3" x14ac:dyDescent="0.25">
      <c r="A3802" t="s">
        <v>10</v>
      </c>
      <c r="B3802" s="1">
        <v>44985</v>
      </c>
      <c r="C3802">
        <v>4.2300199999999997</v>
      </c>
    </row>
    <row r="3803" spans="1:3" x14ac:dyDescent="0.25">
      <c r="A3803" t="s">
        <v>10</v>
      </c>
      <c r="B3803" s="1">
        <v>44986</v>
      </c>
      <c r="C3803">
        <v>4.2073219999999996</v>
      </c>
    </row>
    <row r="3804" spans="1:3" x14ac:dyDescent="0.25">
      <c r="A3804" t="s">
        <v>10</v>
      </c>
      <c r="B3804" s="1">
        <v>44987</v>
      </c>
      <c r="C3804">
        <v>4.2261569999999997</v>
      </c>
    </row>
    <row r="3805" spans="1:3" x14ac:dyDescent="0.25">
      <c r="A3805" t="s">
        <v>10</v>
      </c>
      <c r="B3805" s="1">
        <v>44988</v>
      </c>
      <c r="C3805">
        <v>4.4222270000000004</v>
      </c>
    </row>
    <row r="3806" spans="1:3" x14ac:dyDescent="0.25">
      <c r="A3806" t="s">
        <v>10</v>
      </c>
      <c r="B3806" s="1">
        <v>44991</v>
      </c>
      <c r="C3806">
        <v>4.3947010000000004</v>
      </c>
    </row>
    <row r="3807" spans="1:3" x14ac:dyDescent="0.25">
      <c r="A3807" t="s">
        <v>10</v>
      </c>
      <c r="B3807" s="1">
        <v>44992</v>
      </c>
      <c r="C3807">
        <v>4.3700700000000001</v>
      </c>
    </row>
    <row r="3808" spans="1:3" x14ac:dyDescent="0.25">
      <c r="A3808" t="s">
        <v>10</v>
      </c>
      <c r="B3808" s="1">
        <v>44993</v>
      </c>
      <c r="C3808">
        <v>4.3681390000000002</v>
      </c>
    </row>
    <row r="3809" spans="1:3" x14ac:dyDescent="0.25">
      <c r="A3809" t="s">
        <v>10</v>
      </c>
      <c r="B3809" s="1">
        <v>44994</v>
      </c>
      <c r="C3809">
        <v>4.4217449999999996</v>
      </c>
    </row>
    <row r="3810" spans="1:3" x14ac:dyDescent="0.25">
      <c r="A3810" t="s">
        <v>10</v>
      </c>
      <c r="B3810" s="1">
        <v>44995</v>
      </c>
      <c r="C3810">
        <v>4.3425440000000002</v>
      </c>
    </row>
    <row r="3811" spans="1:3" x14ac:dyDescent="0.25">
      <c r="A3811" t="s">
        <v>10</v>
      </c>
      <c r="B3811" s="1">
        <v>44998</v>
      </c>
      <c r="C3811">
        <v>4.2343659999999996</v>
      </c>
    </row>
    <row r="3812" spans="1:3" x14ac:dyDescent="0.25">
      <c r="A3812" t="s">
        <v>10</v>
      </c>
      <c r="B3812" s="1">
        <v>44999</v>
      </c>
      <c r="C3812">
        <v>4.2464389999999996</v>
      </c>
    </row>
    <row r="3813" spans="1:3" x14ac:dyDescent="0.25">
      <c r="A3813" t="s">
        <v>10</v>
      </c>
      <c r="B3813" s="1">
        <v>45000</v>
      </c>
      <c r="C3813">
        <v>4.0996269999999999</v>
      </c>
    </row>
    <row r="3814" spans="1:3" x14ac:dyDescent="0.25">
      <c r="A3814" t="s">
        <v>10</v>
      </c>
      <c r="B3814" s="1">
        <v>45001</v>
      </c>
      <c r="C3814">
        <v>4.1445400000000001</v>
      </c>
    </row>
    <row r="3815" spans="1:3" x14ac:dyDescent="0.25">
      <c r="A3815" t="s">
        <v>10</v>
      </c>
      <c r="B3815" s="1">
        <v>45002</v>
      </c>
      <c r="C3815">
        <v>4.1068720000000001</v>
      </c>
    </row>
    <row r="3816" spans="1:3" x14ac:dyDescent="0.25">
      <c r="A3816" t="s">
        <v>10</v>
      </c>
      <c r="B3816" s="1">
        <v>45005</v>
      </c>
      <c r="C3816">
        <v>4.1435750000000002</v>
      </c>
    </row>
    <row r="3817" spans="1:3" x14ac:dyDescent="0.25">
      <c r="A3817" t="s">
        <v>10</v>
      </c>
      <c r="B3817" s="1">
        <v>45006</v>
      </c>
      <c r="C3817">
        <v>4.2029759999999996</v>
      </c>
    </row>
    <row r="3818" spans="1:3" x14ac:dyDescent="0.25">
      <c r="A3818" t="s">
        <v>10</v>
      </c>
      <c r="B3818" s="1">
        <v>45007</v>
      </c>
      <c r="C3818">
        <v>4.1957319999999996</v>
      </c>
    </row>
    <row r="3819" spans="1:3" x14ac:dyDescent="0.25">
      <c r="A3819" t="s">
        <v>10</v>
      </c>
      <c r="B3819" s="1">
        <v>45008</v>
      </c>
      <c r="C3819">
        <v>4.1817270000000004</v>
      </c>
    </row>
    <row r="3820" spans="1:3" x14ac:dyDescent="0.25">
      <c r="A3820" t="s">
        <v>10</v>
      </c>
      <c r="B3820" s="1">
        <v>45009</v>
      </c>
      <c r="C3820">
        <v>4.1633750000000003</v>
      </c>
    </row>
    <row r="3821" spans="1:3" x14ac:dyDescent="0.25">
      <c r="A3821" t="s">
        <v>10</v>
      </c>
      <c r="B3821" s="1">
        <v>45012</v>
      </c>
      <c r="C3821">
        <v>4.2251909999999997</v>
      </c>
    </row>
    <row r="3822" spans="1:3" x14ac:dyDescent="0.25">
      <c r="A3822" t="s">
        <v>10</v>
      </c>
      <c r="B3822" s="1">
        <v>45013</v>
      </c>
      <c r="C3822">
        <v>4.1807610000000004</v>
      </c>
    </row>
    <row r="3823" spans="1:3" x14ac:dyDescent="0.25">
      <c r="A3823" t="s">
        <v>10</v>
      </c>
      <c r="B3823" s="1">
        <v>45014</v>
      </c>
      <c r="C3823">
        <v>4.2474059999999998</v>
      </c>
    </row>
    <row r="3824" spans="1:3" x14ac:dyDescent="0.25">
      <c r="A3824" t="s">
        <v>10</v>
      </c>
      <c r="B3824" s="1">
        <v>45015</v>
      </c>
      <c r="C3824">
        <v>4.318397</v>
      </c>
    </row>
    <row r="3825" spans="1:3" x14ac:dyDescent="0.25">
      <c r="A3825" t="s">
        <v>10</v>
      </c>
      <c r="B3825" s="1">
        <v>45016</v>
      </c>
      <c r="C3825">
        <v>4.3613780000000002</v>
      </c>
    </row>
    <row r="3826" spans="1:3" x14ac:dyDescent="0.25">
      <c r="A3826" t="s">
        <v>10</v>
      </c>
      <c r="B3826" s="1">
        <v>45019</v>
      </c>
      <c r="C3826">
        <v>4.3386800000000001</v>
      </c>
    </row>
    <row r="3827" spans="1:3" x14ac:dyDescent="0.25">
      <c r="A3827" t="s">
        <v>10</v>
      </c>
      <c r="B3827" s="1">
        <v>45020</v>
      </c>
      <c r="C3827">
        <v>4.3362660000000002</v>
      </c>
    </row>
    <row r="3828" spans="1:3" x14ac:dyDescent="0.25">
      <c r="A3828" t="s">
        <v>10</v>
      </c>
      <c r="B3828" s="1">
        <v>45021</v>
      </c>
      <c r="C3828">
        <v>4.3579970000000001</v>
      </c>
    </row>
    <row r="3829" spans="1:3" x14ac:dyDescent="0.25">
      <c r="A3829" t="s">
        <v>10</v>
      </c>
      <c r="B3829" s="1">
        <v>45022</v>
      </c>
      <c r="C3829">
        <v>4.3454410000000001</v>
      </c>
    </row>
    <row r="3830" spans="1:3" x14ac:dyDescent="0.25">
      <c r="A3830" t="s">
        <v>10</v>
      </c>
      <c r="B3830" s="1">
        <v>45027</v>
      </c>
      <c r="C3830">
        <v>4.3773150000000003</v>
      </c>
    </row>
    <row r="3831" spans="1:3" x14ac:dyDescent="0.25">
      <c r="A3831" t="s">
        <v>10</v>
      </c>
      <c r="B3831" s="1">
        <v>45028</v>
      </c>
      <c r="C3831">
        <v>4.3473730000000002</v>
      </c>
    </row>
    <row r="3832" spans="1:3" x14ac:dyDescent="0.25">
      <c r="A3832" t="s">
        <v>10</v>
      </c>
      <c r="B3832" s="1">
        <v>45029</v>
      </c>
      <c r="C3832">
        <v>4.336748</v>
      </c>
    </row>
    <row r="3833" spans="1:3" x14ac:dyDescent="0.25">
      <c r="A3833" t="s">
        <v>10</v>
      </c>
      <c r="B3833" s="1">
        <v>45030</v>
      </c>
      <c r="C3833">
        <v>4.3671730000000002</v>
      </c>
    </row>
    <row r="3834" spans="1:3" x14ac:dyDescent="0.25">
      <c r="A3834" t="s">
        <v>10</v>
      </c>
      <c r="B3834" s="1">
        <v>45033</v>
      </c>
      <c r="C3834">
        <v>4.3251580000000001</v>
      </c>
    </row>
    <row r="3835" spans="1:3" x14ac:dyDescent="0.25">
      <c r="A3835" t="s">
        <v>10</v>
      </c>
      <c r="B3835" s="1">
        <v>45034</v>
      </c>
      <c r="C3835">
        <v>4.1966979999999996</v>
      </c>
    </row>
    <row r="3836" spans="1:3" x14ac:dyDescent="0.25">
      <c r="A3836" t="s">
        <v>10</v>
      </c>
      <c r="B3836" s="1">
        <v>45035</v>
      </c>
      <c r="C3836">
        <v>4.1247410000000002</v>
      </c>
    </row>
    <row r="3837" spans="1:3" x14ac:dyDescent="0.25">
      <c r="A3837" t="s">
        <v>10</v>
      </c>
      <c r="B3837" s="1">
        <v>45036</v>
      </c>
      <c r="C3837">
        <v>3.767369</v>
      </c>
    </row>
    <row r="3838" spans="1:3" x14ac:dyDescent="0.25">
      <c r="A3838" t="s">
        <v>10</v>
      </c>
      <c r="B3838" s="1">
        <v>45037</v>
      </c>
      <c r="C3838">
        <v>3.7277680000000002</v>
      </c>
    </row>
    <row r="3839" spans="1:3" x14ac:dyDescent="0.25">
      <c r="A3839" t="s">
        <v>10</v>
      </c>
      <c r="B3839" s="1">
        <v>45040</v>
      </c>
      <c r="C3839">
        <v>3.7667060000000001</v>
      </c>
    </row>
    <row r="3840" spans="1:3" x14ac:dyDescent="0.25">
      <c r="A3840" t="s">
        <v>10</v>
      </c>
      <c r="B3840" s="1">
        <v>45041</v>
      </c>
      <c r="C3840">
        <v>3.6927249999999998</v>
      </c>
    </row>
    <row r="3841" spans="1:3" x14ac:dyDescent="0.25">
      <c r="A3841" t="s">
        <v>10</v>
      </c>
      <c r="B3841" s="1">
        <v>45042</v>
      </c>
      <c r="C3841">
        <v>3.725822</v>
      </c>
    </row>
    <row r="3842" spans="1:3" x14ac:dyDescent="0.25">
      <c r="A3842" t="s">
        <v>10</v>
      </c>
      <c r="B3842" s="1">
        <v>45043</v>
      </c>
      <c r="C3842">
        <v>3.7009989999999999</v>
      </c>
    </row>
    <row r="3843" spans="1:3" x14ac:dyDescent="0.25">
      <c r="A3843" t="s">
        <v>10</v>
      </c>
      <c r="B3843" s="1">
        <v>45044</v>
      </c>
      <c r="C3843">
        <v>3.7399360000000001</v>
      </c>
    </row>
    <row r="3844" spans="1:3" x14ac:dyDescent="0.25">
      <c r="A3844" t="s">
        <v>10</v>
      </c>
      <c r="B3844" s="1">
        <v>45048</v>
      </c>
      <c r="C3844">
        <v>3.6547610000000001</v>
      </c>
    </row>
    <row r="3845" spans="1:3" x14ac:dyDescent="0.25">
      <c r="A3845" t="s">
        <v>10</v>
      </c>
      <c r="B3845" s="1">
        <v>45049</v>
      </c>
      <c r="C3845">
        <v>3.6372390000000001</v>
      </c>
    </row>
    <row r="3846" spans="1:3" x14ac:dyDescent="0.25">
      <c r="A3846" t="s">
        <v>10</v>
      </c>
      <c r="B3846" s="1">
        <v>45050</v>
      </c>
      <c r="C3846">
        <v>3.5968420000000001</v>
      </c>
    </row>
    <row r="3847" spans="1:3" x14ac:dyDescent="0.25">
      <c r="A3847" t="s">
        <v>10</v>
      </c>
      <c r="B3847" s="1">
        <v>45051</v>
      </c>
      <c r="C3847">
        <v>3.6625489999999998</v>
      </c>
    </row>
    <row r="3848" spans="1:3" x14ac:dyDescent="0.25">
      <c r="A3848" t="s">
        <v>10</v>
      </c>
      <c r="B3848" s="1">
        <v>45054</v>
      </c>
      <c r="C3848">
        <v>3.6727690000000002</v>
      </c>
    </row>
    <row r="3849" spans="1:3" x14ac:dyDescent="0.25">
      <c r="A3849" t="s">
        <v>10</v>
      </c>
      <c r="B3849" s="1">
        <v>45055</v>
      </c>
      <c r="C3849">
        <v>3.6606019999999999</v>
      </c>
    </row>
    <row r="3850" spans="1:3" x14ac:dyDescent="0.25">
      <c r="A3850" t="s">
        <v>10</v>
      </c>
      <c r="B3850" s="1">
        <v>45056</v>
      </c>
      <c r="C3850">
        <v>3.6562209999999999</v>
      </c>
    </row>
    <row r="3851" spans="1:3" x14ac:dyDescent="0.25">
      <c r="A3851" t="s">
        <v>10</v>
      </c>
      <c r="B3851" s="1">
        <v>45057</v>
      </c>
      <c r="C3851">
        <v>3.6284779999999999</v>
      </c>
    </row>
    <row r="3852" spans="1:3" x14ac:dyDescent="0.25">
      <c r="A3852" t="s">
        <v>10</v>
      </c>
      <c r="B3852" s="1">
        <v>45058</v>
      </c>
      <c r="C3852">
        <v>3.6625489999999998</v>
      </c>
    </row>
    <row r="3853" spans="1:3" x14ac:dyDescent="0.25">
      <c r="A3853" t="s">
        <v>10</v>
      </c>
      <c r="B3853" s="1">
        <v>45061</v>
      </c>
      <c r="C3853">
        <v>3.6854239999999998</v>
      </c>
    </row>
    <row r="3854" spans="1:3" x14ac:dyDescent="0.25">
      <c r="A3854" t="s">
        <v>10</v>
      </c>
      <c r="B3854" s="1">
        <v>45062</v>
      </c>
      <c r="C3854">
        <v>3.6294520000000001</v>
      </c>
    </row>
    <row r="3855" spans="1:3" x14ac:dyDescent="0.25">
      <c r="A3855" t="s">
        <v>10</v>
      </c>
      <c r="B3855" s="1">
        <v>45063</v>
      </c>
      <c r="C3855">
        <v>3.628965</v>
      </c>
    </row>
    <row r="3856" spans="1:3" x14ac:dyDescent="0.25">
      <c r="A3856" t="s">
        <v>10</v>
      </c>
      <c r="B3856" s="1">
        <v>45065</v>
      </c>
      <c r="C3856">
        <v>3.7117070000000001</v>
      </c>
    </row>
    <row r="3857" spans="1:3" x14ac:dyDescent="0.25">
      <c r="A3857" t="s">
        <v>10</v>
      </c>
      <c r="B3857" s="1">
        <v>45068</v>
      </c>
      <c r="C3857">
        <v>3.7058659999999999</v>
      </c>
    </row>
    <row r="3858" spans="1:3" x14ac:dyDescent="0.25">
      <c r="A3858" t="s">
        <v>10</v>
      </c>
      <c r="B3858" s="1">
        <v>45069</v>
      </c>
      <c r="C3858">
        <v>3.7117070000000001</v>
      </c>
    </row>
    <row r="3859" spans="1:3" x14ac:dyDescent="0.25">
      <c r="A3859" t="s">
        <v>10</v>
      </c>
      <c r="B3859" s="1">
        <v>45070</v>
      </c>
      <c r="C3859">
        <v>3.6279919999999999</v>
      </c>
    </row>
    <row r="3860" spans="1:3" x14ac:dyDescent="0.25">
      <c r="A3860" t="s">
        <v>10</v>
      </c>
      <c r="B3860" s="1">
        <v>45071</v>
      </c>
      <c r="C3860">
        <v>3.6333449999999998</v>
      </c>
    </row>
    <row r="3861" spans="1:3" x14ac:dyDescent="0.25">
      <c r="A3861" t="s">
        <v>10</v>
      </c>
      <c r="B3861" s="1">
        <v>45072</v>
      </c>
      <c r="C3861">
        <v>3.7102469999999999</v>
      </c>
    </row>
    <row r="3862" spans="1:3" x14ac:dyDescent="0.25">
      <c r="A3862" t="s">
        <v>10</v>
      </c>
      <c r="B3862" s="1">
        <v>45075</v>
      </c>
      <c r="C3862">
        <v>3.7097600000000002</v>
      </c>
    </row>
    <row r="3863" spans="1:3" x14ac:dyDescent="0.25">
      <c r="A3863" t="s">
        <v>10</v>
      </c>
      <c r="B3863" s="1">
        <v>45076</v>
      </c>
      <c r="C3863">
        <v>3.71122</v>
      </c>
    </row>
    <row r="3864" spans="1:3" x14ac:dyDescent="0.25">
      <c r="A3864" t="s">
        <v>10</v>
      </c>
      <c r="B3864" s="1">
        <v>45077</v>
      </c>
      <c r="C3864">
        <v>3.6941850000000001</v>
      </c>
    </row>
    <row r="3865" spans="1:3" x14ac:dyDescent="0.25">
      <c r="A3865" t="s">
        <v>10</v>
      </c>
      <c r="B3865" s="1">
        <v>45078</v>
      </c>
      <c r="C3865">
        <v>3.718521</v>
      </c>
    </row>
    <row r="3866" spans="1:3" x14ac:dyDescent="0.25">
      <c r="A3866" t="s">
        <v>10</v>
      </c>
      <c r="B3866" s="1">
        <v>45079</v>
      </c>
      <c r="C3866">
        <v>3.7331219999999998</v>
      </c>
    </row>
    <row r="3867" spans="1:3" x14ac:dyDescent="0.25">
      <c r="A3867" t="s">
        <v>10</v>
      </c>
      <c r="B3867" s="1">
        <v>45082</v>
      </c>
      <c r="C3867">
        <v>3.7321490000000002</v>
      </c>
    </row>
    <row r="3868" spans="1:3" x14ac:dyDescent="0.25">
      <c r="A3868" t="s">
        <v>10</v>
      </c>
      <c r="B3868" s="1">
        <v>45083</v>
      </c>
      <c r="C3868">
        <v>3.681044</v>
      </c>
    </row>
    <row r="3869" spans="1:3" x14ac:dyDescent="0.25">
      <c r="A3869" t="s">
        <v>10</v>
      </c>
      <c r="B3869" s="1">
        <v>45084</v>
      </c>
      <c r="C3869">
        <v>3.699052</v>
      </c>
    </row>
    <row r="3870" spans="1:3" x14ac:dyDescent="0.25">
      <c r="A3870" t="s">
        <v>10</v>
      </c>
      <c r="B3870" s="1">
        <v>45085</v>
      </c>
      <c r="C3870">
        <v>3.654274</v>
      </c>
    </row>
    <row r="3871" spans="1:3" x14ac:dyDescent="0.25">
      <c r="A3871" t="s">
        <v>10</v>
      </c>
      <c r="B3871" s="1">
        <v>45086</v>
      </c>
      <c r="C3871">
        <v>3.6800700000000002</v>
      </c>
    </row>
    <row r="3872" spans="1:3" x14ac:dyDescent="0.25">
      <c r="A3872" t="s">
        <v>10</v>
      </c>
      <c r="B3872" s="1">
        <v>45089</v>
      </c>
      <c r="C3872">
        <v>3.696618</v>
      </c>
    </row>
    <row r="3873" spans="1:3" x14ac:dyDescent="0.25">
      <c r="A3873" t="s">
        <v>10</v>
      </c>
      <c r="B3873" s="1">
        <v>45090</v>
      </c>
      <c r="C3873">
        <v>3.748211</v>
      </c>
    </row>
    <row r="3874" spans="1:3" x14ac:dyDescent="0.25">
      <c r="A3874" t="s">
        <v>10</v>
      </c>
      <c r="B3874" s="1">
        <v>45091</v>
      </c>
      <c r="C3874">
        <v>3.7866610000000001</v>
      </c>
    </row>
    <row r="3875" spans="1:3" x14ac:dyDescent="0.25">
      <c r="A3875" t="s">
        <v>10</v>
      </c>
      <c r="B3875" s="1">
        <v>45092</v>
      </c>
      <c r="C3875">
        <v>3.8002889999999998</v>
      </c>
    </row>
    <row r="3876" spans="1:3" x14ac:dyDescent="0.25">
      <c r="A3876" t="s">
        <v>10</v>
      </c>
      <c r="B3876" s="1">
        <v>45093</v>
      </c>
      <c r="C3876">
        <v>3.8363070000000001</v>
      </c>
    </row>
    <row r="3877" spans="1:3" x14ac:dyDescent="0.25">
      <c r="A3877" t="s">
        <v>10</v>
      </c>
      <c r="B3877" s="1">
        <v>45096</v>
      </c>
      <c r="C3877">
        <v>3.8036970000000001</v>
      </c>
    </row>
    <row r="3878" spans="1:3" x14ac:dyDescent="0.25">
      <c r="A3878" t="s">
        <v>10</v>
      </c>
      <c r="B3878" s="1">
        <v>45097</v>
      </c>
      <c r="C3878">
        <v>3.7774139999999998</v>
      </c>
    </row>
    <row r="3879" spans="1:3" x14ac:dyDescent="0.25">
      <c r="A3879" t="s">
        <v>10</v>
      </c>
      <c r="B3879" s="1">
        <v>45098</v>
      </c>
      <c r="C3879">
        <v>3.6907779999999999</v>
      </c>
    </row>
    <row r="3880" spans="1:3" x14ac:dyDescent="0.25">
      <c r="A3880" t="s">
        <v>10</v>
      </c>
      <c r="B3880" s="1">
        <v>45099</v>
      </c>
      <c r="C3880">
        <v>3.6503800000000002</v>
      </c>
    </row>
    <row r="3881" spans="1:3" x14ac:dyDescent="0.25">
      <c r="A3881" t="s">
        <v>10</v>
      </c>
      <c r="B3881" s="1">
        <v>45103</v>
      </c>
      <c r="C3881">
        <v>3.6386989999999999</v>
      </c>
    </row>
    <row r="3882" spans="1:3" x14ac:dyDescent="0.25">
      <c r="A3882" t="s">
        <v>10</v>
      </c>
      <c r="B3882" s="1">
        <v>45104</v>
      </c>
      <c r="C3882">
        <v>3.666442</v>
      </c>
    </row>
    <row r="3883" spans="1:3" x14ac:dyDescent="0.25">
      <c r="A3883" t="s">
        <v>10</v>
      </c>
      <c r="B3883" s="1">
        <v>45105</v>
      </c>
      <c r="C3883">
        <v>3.7486969999999999</v>
      </c>
    </row>
    <row r="3884" spans="1:3" x14ac:dyDescent="0.25">
      <c r="A3884" t="s">
        <v>10</v>
      </c>
      <c r="B3884" s="1">
        <v>45106</v>
      </c>
      <c r="C3884">
        <v>3.74091</v>
      </c>
    </row>
    <row r="3885" spans="1:3" x14ac:dyDescent="0.25">
      <c r="A3885" t="s">
        <v>10</v>
      </c>
      <c r="B3885" s="1">
        <v>45107</v>
      </c>
      <c r="C3885">
        <v>3.733609</v>
      </c>
    </row>
    <row r="3886" spans="1:3" x14ac:dyDescent="0.25">
      <c r="A3886" t="s">
        <v>10</v>
      </c>
      <c r="B3886" s="1">
        <v>45110</v>
      </c>
      <c r="C3886">
        <v>3.8202449999999999</v>
      </c>
    </row>
    <row r="3887" spans="1:3" x14ac:dyDescent="0.25">
      <c r="A3887" t="s">
        <v>10</v>
      </c>
      <c r="B3887" s="1">
        <v>45111</v>
      </c>
      <c r="C3887">
        <v>3.8071039999999998</v>
      </c>
    </row>
    <row r="3888" spans="1:3" x14ac:dyDescent="0.25">
      <c r="A3888" t="s">
        <v>10</v>
      </c>
      <c r="B3888" s="1">
        <v>45112</v>
      </c>
      <c r="C3888">
        <v>3.77352</v>
      </c>
    </row>
    <row r="3889" spans="1:3" x14ac:dyDescent="0.25">
      <c r="A3889" t="s">
        <v>10</v>
      </c>
      <c r="B3889" s="1">
        <v>45113</v>
      </c>
      <c r="C3889">
        <v>3.7292290000000001</v>
      </c>
    </row>
    <row r="3890" spans="1:3" x14ac:dyDescent="0.25">
      <c r="A3890" t="s">
        <v>10</v>
      </c>
      <c r="B3890" s="1">
        <v>45114</v>
      </c>
      <c r="C3890">
        <v>3.721441</v>
      </c>
    </row>
    <row r="3891" spans="1:3" x14ac:dyDescent="0.25">
      <c r="A3891" t="s">
        <v>10</v>
      </c>
      <c r="B3891" s="1">
        <v>45117</v>
      </c>
      <c r="C3891">
        <v>3.7194940000000001</v>
      </c>
    </row>
    <row r="3892" spans="1:3" x14ac:dyDescent="0.25">
      <c r="A3892" t="s">
        <v>10</v>
      </c>
      <c r="B3892" s="1">
        <v>45118</v>
      </c>
      <c r="C3892">
        <v>3.7428569999999999</v>
      </c>
    </row>
    <row r="3893" spans="1:3" x14ac:dyDescent="0.25">
      <c r="A3893" t="s">
        <v>10</v>
      </c>
      <c r="B3893" s="1">
        <v>45119</v>
      </c>
      <c r="C3893">
        <v>3.7730329999999999</v>
      </c>
    </row>
    <row r="3894" spans="1:3" x14ac:dyDescent="0.25">
      <c r="A3894" t="s">
        <v>10</v>
      </c>
      <c r="B3894" s="1">
        <v>45120</v>
      </c>
      <c r="C3894">
        <v>3.8046700000000002</v>
      </c>
    </row>
    <row r="3895" spans="1:3" x14ac:dyDescent="0.25">
      <c r="A3895" t="s">
        <v>10</v>
      </c>
      <c r="B3895" s="1">
        <v>45121</v>
      </c>
      <c r="C3895">
        <v>3.446933</v>
      </c>
    </row>
    <row r="3896" spans="1:3" x14ac:dyDescent="0.25">
      <c r="A3896" t="s">
        <v>10</v>
      </c>
      <c r="B3896" s="1">
        <v>45124</v>
      </c>
      <c r="C3896">
        <v>3.35981</v>
      </c>
    </row>
    <row r="3897" spans="1:3" x14ac:dyDescent="0.25">
      <c r="A3897" t="s">
        <v>10</v>
      </c>
      <c r="B3897" s="1">
        <v>45125</v>
      </c>
      <c r="C3897">
        <v>3.4138359999999999</v>
      </c>
    </row>
    <row r="3898" spans="1:3" x14ac:dyDescent="0.25">
      <c r="A3898" t="s">
        <v>10</v>
      </c>
      <c r="B3898" s="1">
        <v>45126</v>
      </c>
      <c r="C3898">
        <v>3.4328180000000001</v>
      </c>
    </row>
    <row r="3899" spans="1:3" x14ac:dyDescent="0.25">
      <c r="A3899" t="s">
        <v>10</v>
      </c>
      <c r="B3899" s="1">
        <v>45127</v>
      </c>
      <c r="C3899">
        <v>3.4586139999999999</v>
      </c>
    </row>
    <row r="3900" spans="1:3" x14ac:dyDescent="0.25">
      <c r="A3900" t="s">
        <v>10</v>
      </c>
      <c r="B3900" s="1">
        <v>45128</v>
      </c>
      <c r="C3900">
        <v>3.48733</v>
      </c>
    </row>
    <row r="3901" spans="1:3" x14ac:dyDescent="0.25">
      <c r="A3901" t="s">
        <v>10</v>
      </c>
      <c r="B3901" s="1">
        <v>45131</v>
      </c>
      <c r="C3901">
        <v>3.520216</v>
      </c>
    </row>
    <row r="3902" spans="1:3" x14ac:dyDescent="0.25">
      <c r="A3902" t="s">
        <v>10</v>
      </c>
      <c r="B3902" s="1">
        <v>45132</v>
      </c>
      <c r="C3902">
        <v>3.5275780000000001</v>
      </c>
    </row>
    <row r="3903" spans="1:3" x14ac:dyDescent="0.25">
      <c r="A3903" t="s">
        <v>10</v>
      </c>
      <c r="B3903" s="1">
        <v>45133</v>
      </c>
      <c r="C3903">
        <v>3.5182519999999999</v>
      </c>
    </row>
    <row r="3904" spans="1:3" x14ac:dyDescent="0.25">
      <c r="A3904" t="s">
        <v>10</v>
      </c>
      <c r="B3904" s="1">
        <v>45134</v>
      </c>
      <c r="C3904">
        <v>3.520216</v>
      </c>
    </row>
    <row r="3905" spans="1:3" x14ac:dyDescent="0.25">
      <c r="A3905" t="s">
        <v>10</v>
      </c>
      <c r="B3905" s="1">
        <v>45135</v>
      </c>
      <c r="C3905">
        <v>3.5275780000000001</v>
      </c>
    </row>
    <row r="3906" spans="1:3" x14ac:dyDescent="0.25">
      <c r="A3906" t="s">
        <v>10</v>
      </c>
      <c r="B3906" s="1">
        <v>45138</v>
      </c>
      <c r="C3906">
        <v>3.512362</v>
      </c>
    </row>
    <row r="3907" spans="1:3" x14ac:dyDescent="0.25">
      <c r="A3907" t="s">
        <v>10</v>
      </c>
      <c r="B3907" s="1">
        <v>45139</v>
      </c>
      <c r="C3907">
        <v>3.5059819999999999</v>
      </c>
    </row>
    <row r="3908" spans="1:3" x14ac:dyDescent="0.25">
      <c r="A3908" t="s">
        <v>10</v>
      </c>
      <c r="B3908" s="1">
        <v>45140</v>
      </c>
      <c r="C3908">
        <v>3.5069629999999998</v>
      </c>
    </row>
    <row r="3909" spans="1:3" x14ac:dyDescent="0.25">
      <c r="A3909" t="s">
        <v>10</v>
      </c>
      <c r="B3909" s="1">
        <v>45141</v>
      </c>
      <c r="C3909">
        <v>3.4745680000000001</v>
      </c>
    </row>
    <row r="3910" spans="1:3" x14ac:dyDescent="0.25">
      <c r="A3910" t="s">
        <v>10</v>
      </c>
      <c r="B3910" s="1">
        <v>45142</v>
      </c>
      <c r="C3910">
        <v>3.4951829999999999</v>
      </c>
    </row>
    <row r="3911" spans="1:3" x14ac:dyDescent="0.25">
      <c r="A3911" t="s">
        <v>10</v>
      </c>
      <c r="B3911" s="1">
        <v>45145</v>
      </c>
      <c r="C3911">
        <v>3.4760409999999999</v>
      </c>
    </row>
    <row r="3912" spans="1:3" x14ac:dyDescent="0.25">
      <c r="A3912" t="s">
        <v>10</v>
      </c>
      <c r="B3912" s="1">
        <v>45146</v>
      </c>
      <c r="C3912">
        <v>3.4686789999999998</v>
      </c>
    </row>
    <row r="3913" spans="1:3" x14ac:dyDescent="0.25">
      <c r="A3913" t="s">
        <v>10</v>
      </c>
      <c r="B3913" s="1">
        <v>45147</v>
      </c>
      <c r="C3913">
        <v>3.4981279999999999</v>
      </c>
    </row>
    <row r="3914" spans="1:3" x14ac:dyDescent="0.25">
      <c r="A3914" t="s">
        <v>10</v>
      </c>
      <c r="B3914" s="1">
        <v>45148</v>
      </c>
      <c r="C3914">
        <v>3.5398489999999998</v>
      </c>
    </row>
    <row r="3915" spans="1:3" x14ac:dyDescent="0.25">
      <c r="A3915" t="s">
        <v>10</v>
      </c>
      <c r="B3915" s="1">
        <v>45149</v>
      </c>
      <c r="C3915">
        <v>3.474078</v>
      </c>
    </row>
    <row r="3916" spans="1:3" x14ac:dyDescent="0.25">
      <c r="A3916" t="s">
        <v>10</v>
      </c>
      <c r="B3916" s="1">
        <v>45152</v>
      </c>
      <c r="C3916">
        <v>3.486348</v>
      </c>
    </row>
    <row r="3917" spans="1:3" x14ac:dyDescent="0.25">
      <c r="A3917" t="s">
        <v>10</v>
      </c>
      <c r="B3917" s="1">
        <v>45153</v>
      </c>
      <c r="C3917">
        <v>3.4259770000000001</v>
      </c>
    </row>
    <row r="3918" spans="1:3" x14ac:dyDescent="0.25">
      <c r="A3918" t="s">
        <v>10</v>
      </c>
      <c r="B3918" s="1">
        <v>45154</v>
      </c>
      <c r="C3918">
        <v>3.4063439999999998</v>
      </c>
    </row>
    <row r="3919" spans="1:3" x14ac:dyDescent="0.25">
      <c r="A3919" t="s">
        <v>10</v>
      </c>
      <c r="B3919" s="1">
        <v>45155</v>
      </c>
      <c r="C3919">
        <v>3.4318659999999999</v>
      </c>
    </row>
    <row r="3920" spans="1:3" x14ac:dyDescent="0.25">
      <c r="A3920" t="s">
        <v>10</v>
      </c>
      <c r="B3920" s="1">
        <v>45156</v>
      </c>
      <c r="C3920">
        <v>3.4392290000000001</v>
      </c>
    </row>
    <row r="3921" spans="1:3" x14ac:dyDescent="0.25">
      <c r="A3921" t="s">
        <v>10</v>
      </c>
      <c r="B3921" s="1">
        <v>45159</v>
      </c>
      <c r="C3921">
        <v>3.4357929999999999</v>
      </c>
    </row>
    <row r="3922" spans="1:3" x14ac:dyDescent="0.25">
      <c r="A3922" t="s">
        <v>10</v>
      </c>
      <c r="B3922" s="1">
        <v>45160</v>
      </c>
      <c r="C3922">
        <v>3.4775140000000002</v>
      </c>
    </row>
    <row r="3923" spans="1:3" x14ac:dyDescent="0.25">
      <c r="A3923" t="s">
        <v>10</v>
      </c>
      <c r="B3923" s="1">
        <v>45161</v>
      </c>
      <c r="C3923">
        <v>3.4735870000000002</v>
      </c>
    </row>
    <row r="3924" spans="1:3" x14ac:dyDescent="0.25">
      <c r="A3924" t="s">
        <v>10</v>
      </c>
      <c r="B3924" s="1">
        <v>45162</v>
      </c>
      <c r="C3924">
        <v>3.4490460000000001</v>
      </c>
    </row>
    <row r="3925" spans="1:3" x14ac:dyDescent="0.25">
      <c r="A3925" t="s">
        <v>10</v>
      </c>
      <c r="B3925" s="1">
        <v>45163</v>
      </c>
      <c r="C3925">
        <v>3.4323579999999998</v>
      </c>
    </row>
    <row r="3926" spans="1:3" x14ac:dyDescent="0.25">
      <c r="A3926" t="s">
        <v>10</v>
      </c>
      <c r="B3926" s="1">
        <v>45166</v>
      </c>
      <c r="C3926">
        <v>3.486348</v>
      </c>
    </row>
    <row r="3927" spans="1:3" x14ac:dyDescent="0.25">
      <c r="A3927" t="s">
        <v>10</v>
      </c>
      <c r="B3927" s="1">
        <v>45167</v>
      </c>
      <c r="C3927">
        <v>3.5850050000000002</v>
      </c>
    </row>
    <row r="3928" spans="1:3" x14ac:dyDescent="0.25">
      <c r="A3928" t="s">
        <v>10</v>
      </c>
      <c r="B3928" s="1">
        <v>45168</v>
      </c>
      <c r="C3928">
        <v>3.5879500000000002</v>
      </c>
    </row>
    <row r="3929" spans="1:3" x14ac:dyDescent="0.25">
      <c r="A3929" t="s">
        <v>10</v>
      </c>
      <c r="B3929" s="1">
        <v>45169</v>
      </c>
      <c r="C3929">
        <v>3.6193629999999999</v>
      </c>
    </row>
    <row r="3930" spans="1:3" x14ac:dyDescent="0.25">
      <c r="A3930" t="s">
        <v>10</v>
      </c>
      <c r="B3930" s="1">
        <v>45170</v>
      </c>
      <c r="C3930">
        <v>3.643904</v>
      </c>
    </row>
    <row r="3931" spans="1:3" x14ac:dyDescent="0.25">
      <c r="A3931" t="s">
        <v>10</v>
      </c>
      <c r="B3931" s="1">
        <v>45173</v>
      </c>
      <c r="C3931">
        <v>3.6571560000000001</v>
      </c>
    </row>
    <row r="3932" spans="1:3" x14ac:dyDescent="0.25">
      <c r="A3932" t="s">
        <v>10</v>
      </c>
      <c r="B3932" s="1">
        <v>45174</v>
      </c>
      <c r="C3932">
        <v>3.6816979999999999</v>
      </c>
    </row>
    <row r="3933" spans="1:3" x14ac:dyDescent="0.25">
      <c r="A3933" t="s">
        <v>10</v>
      </c>
      <c r="B3933" s="1">
        <v>45175</v>
      </c>
      <c r="C3933">
        <v>3.7003490000000001</v>
      </c>
    </row>
    <row r="3934" spans="1:3" x14ac:dyDescent="0.25">
      <c r="A3934" t="s">
        <v>10</v>
      </c>
      <c r="B3934" s="1">
        <v>45176</v>
      </c>
      <c r="C3934">
        <v>3.715074</v>
      </c>
    </row>
    <row r="3935" spans="1:3" x14ac:dyDescent="0.25">
      <c r="A3935" t="s">
        <v>10</v>
      </c>
      <c r="B3935" s="1">
        <v>45177</v>
      </c>
      <c r="C3935">
        <v>3.690042</v>
      </c>
    </row>
    <row r="3936" spans="1:3" x14ac:dyDescent="0.25">
      <c r="A3936" t="s">
        <v>10</v>
      </c>
      <c r="B3936" s="1">
        <v>45180</v>
      </c>
      <c r="C3936">
        <v>3.69495</v>
      </c>
    </row>
    <row r="3937" spans="1:3" x14ac:dyDescent="0.25">
      <c r="A3937" t="s">
        <v>10</v>
      </c>
      <c r="B3937" s="1">
        <v>45181</v>
      </c>
      <c r="C3937">
        <v>3.6812070000000001</v>
      </c>
    </row>
    <row r="3938" spans="1:3" x14ac:dyDescent="0.25">
      <c r="A3938" t="s">
        <v>10</v>
      </c>
      <c r="B3938" s="1">
        <v>45182</v>
      </c>
      <c r="C3938">
        <v>3.6453760000000002</v>
      </c>
    </row>
    <row r="3939" spans="1:3" x14ac:dyDescent="0.25">
      <c r="A3939" t="s">
        <v>10</v>
      </c>
      <c r="B3939" s="1">
        <v>45183</v>
      </c>
      <c r="C3939">
        <v>3.6772800000000001</v>
      </c>
    </row>
    <row r="3940" spans="1:3" x14ac:dyDescent="0.25">
      <c r="A3940" t="s">
        <v>10</v>
      </c>
      <c r="B3940" s="1">
        <v>45184</v>
      </c>
      <c r="C3940">
        <v>3.6100370000000002</v>
      </c>
    </row>
    <row r="3941" spans="1:3" x14ac:dyDescent="0.25">
      <c r="A3941" t="s">
        <v>10</v>
      </c>
      <c r="B3941" s="1">
        <v>45187</v>
      </c>
      <c r="C3941">
        <v>3.6120000000000001</v>
      </c>
    </row>
    <row r="3942" spans="1:3" x14ac:dyDescent="0.25">
      <c r="A3942" t="s">
        <v>10</v>
      </c>
      <c r="B3942" s="1">
        <v>45188</v>
      </c>
      <c r="C3942">
        <v>3.6473399999999998</v>
      </c>
    </row>
    <row r="3943" spans="1:3" x14ac:dyDescent="0.25">
      <c r="A3943" t="s">
        <v>10</v>
      </c>
      <c r="B3943" s="1">
        <v>45189</v>
      </c>
      <c r="C3943">
        <v>3.6532300000000002</v>
      </c>
    </row>
    <row r="3944" spans="1:3" x14ac:dyDescent="0.25">
      <c r="A3944" t="s">
        <v>10</v>
      </c>
      <c r="B3944" s="1">
        <v>45190</v>
      </c>
      <c r="C3944">
        <v>3.5648810000000002</v>
      </c>
    </row>
    <row r="3945" spans="1:3" x14ac:dyDescent="0.25">
      <c r="A3945" t="s">
        <v>10</v>
      </c>
      <c r="B3945" s="1">
        <v>45191</v>
      </c>
      <c r="C3945">
        <v>3.5859860000000001</v>
      </c>
    </row>
    <row r="3946" spans="1:3" x14ac:dyDescent="0.25">
      <c r="A3946" t="s">
        <v>10</v>
      </c>
      <c r="B3946" s="1">
        <v>45194</v>
      </c>
      <c r="C3946">
        <v>3.5226700000000002</v>
      </c>
    </row>
    <row r="3947" spans="1:3" x14ac:dyDescent="0.25">
      <c r="A3947" t="s">
        <v>10</v>
      </c>
      <c r="B3947" s="1">
        <v>45195</v>
      </c>
      <c r="C3947">
        <v>3.4780039999999999</v>
      </c>
    </row>
    <row r="3948" spans="1:3" x14ac:dyDescent="0.25">
      <c r="A3948" t="s">
        <v>10</v>
      </c>
      <c r="B3948" s="1">
        <v>45196</v>
      </c>
      <c r="C3948">
        <v>3.4387379999999999</v>
      </c>
    </row>
    <row r="3949" spans="1:3" x14ac:dyDescent="0.25">
      <c r="A3949" t="s">
        <v>10</v>
      </c>
      <c r="B3949" s="1">
        <v>45197</v>
      </c>
      <c r="C3949">
        <v>3.4338299999999999</v>
      </c>
    </row>
    <row r="3950" spans="1:3" x14ac:dyDescent="0.25">
      <c r="A3950" t="s">
        <v>10</v>
      </c>
      <c r="B3950" s="1">
        <v>45198</v>
      </c>
      <c r="C3950">
        <v>3.5025460000000002</v>
      </c>
    </row>
    <row r="3951" spans="1:3" x14ac:dyDescent="0.25">
      <c r="A3951" t="s">
        <v>10</v>
      </c>
      <c r="B3951" s="1">
        <v>45201</v>
      </c>
      <c r="C3951">
        <v>3.4446279999999998</v>
      </c>
    </row>
    <row r="3952" spans="1:3" x14ac:dyDescent="0.25">
      <c r="A3952" t="s">
        <v>10</v>
      </c>
      <c r="B3952" s="1">
        <v>45202</v>
      </c>
      <c r="C3952">
        <v>3.470151</v>
      </c>
    </row>
    <row r="3953" spans="1:3" x14ac:dyDescent="0.25">
      <c r="A3953" t="s">
        <v>10</v>
      </c>
      <c r="B3953" s="1">
        <v>45203</v>
      </c>
      <c r="C3953">
        <v>3.392109</v>
      </c>
    </row>
    <row r="3954" spans="1:3" x14ac:dyDescent="0.25">
      <c r="A3954" t="s">
        <v>10</v>
      </c>
      <c r="B3954" s="1">
        <v>45204</v>
      </c>
      <c r="C3954">
        <v>3.3027790000000001</v>
      </c>
    </row>
    <row r="3955" spans="1:3" x14ac:dyDescent="0.25">
      <c r="A3955" t="s">
        <v>10</v>
      </c>
      <c r="B3955" s="1">
        <v>45205</v>
      </c>
      <c r="C3955">
        <v>3.3184849999999999</v>
      </c>
    </row>
    <row r="3956" spans="1:3" x14ac:dyDescent="0.25">
      <c r="A3956" t="s">
        <v>10</v>
      </c>
      <c r="B3956" s="1">
        <v>45208</v>
      </c>
      <c r="C3956">
        <v>3.293453</v>
      </c>
    </row>
    <row r="3957" spans="1:3" x14ac:dyDescent="0.25">
      <c r="A3957" t="s">
        <v>10</v>
      </c>
      <c r="B3957" s="1">
        <v>45209</v>
      </c>
      <c r="C3957">
        <v>3.3768940000000001</v>
      </c>
    </row>
    <row r="3958" spans="1:3" x14ac:dyDescent="0.25">
      <c r="A3958" t="s">
        <v>10</v>
      </c>
      <c r="B3958" s="1">
        <v>45210</v>
      </c>
      <c r="C3958">
        <v>3.3842560000000002</v>
      </c>
    </row>
    <row r="3959" spans="1:3" x14ac:dyDescent="0.25">
      <c r="A3959" t="s">
        <v>10</v>
      </c>
      <c r="B3959" s="1">
        <v>45211</v>
      </c>
      <c r="C3959">
        <v>3.3631509999999998</v>
      </c>
    </row>
    <row r="3960" spans="1:3" x14ac:dyDescent="0.25">
      <c r="A3960" t="s">
        <v>10</v>
      </c>
      <c r="B3960" s="1">
        <v>45212</v>
      </c>
      <c r="C3960">
        <v>3.3179949999999998</v>
      </c>
    </row>
    <row r="3961" spans="1:3" x14ac:dyDescent="0.25">
      <c r="A3961" t="s">
        <v>10</v>
      </c>
      <c r="B3961" s="1">
        <v>45215</v>
      </c>
      <c r="C3961">
        <v>3.358733</v>
      </c>
    </row>
    <row r="3962" spans="1:3" x14ac:dyDescent="0.25">
      <c r="A3962" t="s">
        <v>10</v>
      </c>
      <c r="B3962" s="1">
        <v>45216</v>
      </c>
      <c r="C3962">
        <v>3.2659669999999998</v>
      </c>
    </row>
    <row r="3963" spans="1:3" x14ac:dyDescent="0.25">
      <c r="A3963" t="s">
        <v>10</v>
      </c>
      <c r="B3963" s="1">
        <v>45217</v>
      </c>
      <c r="C3963">
        <v>3.200196</v>
      </c>
    </row>
    <row r="3964" spans="1:3" x14ac:dyDescent="0.25">
      <c r="A3964" t="s">
        <v>10</v>
      </c>
      <c r="B3964" s="1">
        <v>45218</v>
      </c>
      <c r="C3964">
        <v>2.9940479999999998</v>
      </c>
    </row>
    <row r="3965" spans="1:3" x14ac:dyDescent="0.25">
      <c r="A3965" t="s">
        <v>10</v>
      </c>
      <c r="B3965" s="1">
        <v>45219</v>
      </c>
      <c r="C3965">
        <v>2.9695070000000001</v>
      </c>
    </row>
    <row r="3966" spans="1:3" x14ac:dyDescent="0.25">
      <c r="A3966" t="s">
        <v>10</v>
      </c>
      <c r="B3966" s="1">
        <v>45222</v>
      </c>
      <c r="C3966">
        <v>2.9893369999999999</v>
      </c>
    </row>
    <row r="3967" spans="1:3" x14ac:dyDescent="0.25">
      <c r="A3967" t="s">
        <v>10</v>
      </c>
      <c r="B3967" s="1">
        <v>45223</v>
      </c>
      <c r="C3967">
        <v>2.9992519999999998</v>
      </c>
    </row>
    <row r="3968" spans="1:3" x14ac:dyDescent="0.25">
      <c r="A3968" t="s">
        <v>10</v>
      </c>
      <c r="B3968" s="1">
        <v>45224</v>
      </c>
      <c r="C3968">
        <v>3.0240390000000001</v>
      </c>
    </row>
    <row r="3969" spans="1:3" x14ac:dyDescent="0.25">
      <c r="A3969" t="s">
        <v>10</v>
      </c>
      <c r="B3969" s="1">
        <v>45225</v>
      </c>
      <c r="C3969">
        <v>3.0250300000000001</v>
      </c>
    </row>
    <row r="3970" spans="1:3" x14ac:dyDescent="0.25">
      <c r="A3970" t="s">
        <v>10</v>
      </c>
      <c r="B3970" s="1">
        <v>45226</v>
      </c>
      <c r="C3970">
        <v>3.074109</v>
      </c>
    </row>
    <row r="3971" spans="1:3" x14ac:dyDescent="0.25">
      <c r="A3971" t="s">
        <v>10</v>
      </c>
      <c r="B3971" s="1">
        <v>45229</v>
      </c>
      <c r="C3971">
        <v>3.0527920000000002</v>
      </c>
    </row>
    <row r="3972" spans="1:3" x14ac:dyDescent="0.25">
      <c r="A3972" t="s">
        <v>10</v>
      </c>
      <c r="B3972" s="1">
        <v>45230</v>
      </c>
      <c r="C3972">
        <v>3.113273</v>
      </c>
    </row>
    <row r="3973" spans="1:3" x14ac:dyDescent="0.25">
      <c r="A3973" t="s">
        <v>10</v>
      </c>
      <c r="B3973" s="1">
        <v>45231</v>
      </c>
      <c r="C3973">
        <v>3.0686559999999998</v>
      </c>
    </row>
    <row r="3974" spans="1:3" x14ac:dyDescent="0.25">
      <c r="A3974" t="s">
        <v>10</v>
      </c>
      <c r="B3974" s="1">
        <v>45232</v>
      </c>
      <c r="C3974">
        <v>3.1251709999999999</v>
      </c>
    </row>
    <row r="3975" spans="1:3" x14ac:dyDescent="0.25">
      <c r="A3975" t="s">
        <v>10</v>
      </c>
      <c r="B3975" s="1">
        <v>45233</v>
      </c>
      <c r="C3975">
        <v>3.1836679999999999</v>
      </c>
    </row>
    <row r="3976" spans="1:3" x14ac:dyDescent="0.25">
      <c r="A3976" t="s">
        <v>10</v>
      </c>
      <c r="B3976" s="1">
        <v>45236</v>
      </c>
      <c r="C3976">
        <v>3.1945749999999999</v>
      </c>
    </row>
    <row r="3977" spans="1:3" x14ac:dyDescent="0.25">
      <c r="A3977" t="s">
        <v>10</v>
      </c>
      <c r="B3977" s="1">
        <v>45237</v>
      </c>
      <c r="C3977">
        <v>3.2000280000000001</v>
      </c>
    </row>
    <row r="3978" spans="1:3" x14ac:dyDescent="0.25">
      <c r="A3978" t="s">
        <v>10</v>
      </c>
      <c r="B3978" s="1">
        <v>45238</v>
      </c>
      <c r="C3978">
        <v>3.2282860000000002</v>
      </c>
    </row>
    <row r="3979" spans="1:3" x14ac:dyDescent="0.25">
      <c r="A3979" t="s">
        <v>10</v>
      </c>
      <c r="B3979" s="1">
        <v>45239</v>
      </c>
      <c r="C3979">
        <v>3.2352259999999999</v>
      </c>
    </row>
    <row r="3980" spans="1:3" x14ac:dyDescent="0.25">
      <c r="A3980" t="s">
        <v>10</v>
      </c>
      <c r="B3980" s="1">
        <v>45240</v>
      </c>
      <c r="C3980">
        <v>3.2134130000000001</v>
      </c>
    </row>
    <row r="3981" spans="1:3" x14ac:dyDescent="0.25">
      <c r="A3981" t="s">
        <v>10</v>
      </c>
      <c r="B3981" s="1">
        <v>45243</v>
      </c>
      <c r="C3981">
        <v>3.236713</v>
      </c>
    </row>
    <row r="3982" spans="1:3" x14ac:dyDescent="0.25">
      <c r="A3982" t="s">
        <v>10</v>
      </c>
      <c r="B3982" s="1">
        <v>45244</v>
      </c>
      <c r="C3982">
        <v>3.289758</v>
      </c>
    </row>
    <row r="3983" spans="1:3" x14ac:dyDescent="0.25">
      <c r="A3983" t="s">
        <v>10</v>
      </c>
      <c r="B3983" s="1">
        <v>45245</v>
      </c>
      <c r="C3983">
        <v>3.3056220000000001</v>
      </c>
    </row>
    <row r="3984" spans="1:3" x14ac:dyDescent="0.25">
      <c r="A3984" t="s">
        <v>10</v>
      </c>
      <c r="B3984" s="1">
        <v>45246</v>
      </c>
      <c r="C3984">
        <v>3.221841</v>
      </c>
    </row>
    <row r="3985" spans="1:3" x14ac:dyDescent="0.25">
      <c r="A3985" t="s">
        <v>10</v>
      </c>
      <c r="B3985" s="1">
        <v>45247</v>
      </c>
      <c r="C3985">
        <v>3.2426620000000002</v>
      </c>
    </row>
    <row r="3986" spans="1:3" x14ac:dyDescent="0.25">
      <c r="A3986" t="s">
        <v>10</v>
      </c>
      <c r="B3986" s="1">
        <v>45250</v>
      </c>
      <c r="C3986">
        <v>3.2416710000000002</v>
      </c>
    </row>
    <row r="3987" spans="1:3" x14ac:dyDescent="0.25">
      <c r="A3987" t="s">
        <v>10</v>
      </c>
      <c r="B3987" s="1">
        <v>45251</v>
      </c>
      <c r="C3987">
        <v>3.210934</v>
      </c>
    </row>
    <row r="3988" spans="1:3" x14ac:dyDescent="0.25">
      <c r="A3988" t="s">
        <v>10</v>
      </c>
      <c r="B3988" s="1">
        <v>45252</v>
      </c>
      <c r="C3988">
        <v>3.2267980000000001</v>
      </c>
    </row>
    <row r="3989" spans="1:3" x14ac:dyDescent="0.25">
      <c r="A3989" t="s">
        <v>10</v>
      </c>
      <c r="B3989" s="1">
        <v>45253</v>
      </c>
      <c r="C3989">
        <v>3.2188659999999998</v>
      </c>
    </row>
    <row r="3990" spans="1:3" x14ac:dyDescent="0.25">
      <c r="A3990" t="s">
        <v>10</v>
      </c>
      <c r="B3990" s="1">
        <v>45254</v>
      </c>
      <c r="C3990">
        <v>3.225311</v>
      </c>
    </row>
    <row r="3991" spans="1:3" x14ac:dyDescent="0.25">
      <c r="A3991" t="s">
        <v>10</v>
      </c>
      <c r="B3991" s="1">
        <v>45257</v>
      </c>
      <c r="C3991">
        <v>3.2124220000000001</v>
      </c>
    </row>
    <row r="3992" spans="1:3" x14ac:dyDescent="0.25">
      <c r="A3992" t="s">
        <v>10</v>
      </c>
      <c r="B3992" s="1">
        <v>45258</v>
      </c>
      <c r="C3992">
        <v>3.2030020000000001</v>
      </c>
    </row>
    <row r="3993" spans="1:3" x14ac:dyDescent="0.25">
      <c r="A3993" t="s">
        <v>10</v>
      </c>
      <c r="B3993" s="1">
        <v>45259</v>
      </c>
      <c r="C3993">
        <v>3.2193619999999998</v>
      </c>
    </row>
    <row r="3994" spans="1:3" x14ac:dyDescent="0.25">
      <c r="A3994" t="s">
        <v>10</v>
      </c>
      <c r="B3994" s="1">
        <v>45260</v>
      </c>
      <c r="C3994">
        <v>3.1906089999999998</v>
      </c>
    </row>
    <row r="3995" spans="1:3" x14ac:dyDescent="0.25">
      <c r="A3995" t="s">
        <v>10</v>
      </c>
      <c r="B3995" s="1">
        <v>45261</v>
      </c>
      <c r="C3995">
        <v>3.1792069999999999</v>
      </c>
    </row>
    <row r="3996" spans="1:3" x14ac:dyDescent="0.25">
      <c r="A3996" t="s">
        <v>10</v>
      </c>
      <c r="B3996" s="1">
        <v>45264</v>
      </c>
      <c r="C3996">
        <v>2.9724810000000002</v>
      </c>
    </row>
    <row r="3997" spans="1:3" x14ac:dyDescent="0.25">
      <c r="A3997" t="s">
        <v>10</v>
      </c>
      <c r="B3997" s="1">
        <v>45265</v>
      </c>
      <c r="C3997">
        <v>2.7959960000000001</v>
      </c>
    </row>
    <row r="3998" spans="1:3" x14ac:dyDescent="0.25">
      <c r="A3998" t="s">
        <v>10</v>
      </c>
      <c r="B3998" s="1">
        <v>45267</v>
      </c>
      <c r="C3998">
        <v>2.8544939999999999</v>
      </c>
    </row>
    <row r="3999" spans="1:3" x14ac:dyDescent="0.25">
      <c r="A3999" t="s">
        <v>10</v>
      </c>
      <c r="B3999" s="1">
        <v>45268</v>
      </c>
      <c r="C3999">
        <v>2.9595919999999998</v>
      </c>
    </row>
    <row r="4000" spans="1:3" x14ac:dyDescent="0.25">
      <c r="A4000" t="s">
        <v>10</v>
      </c>
      <c r="B4000" s="1">
        <v>45271</v>
      </c>
      <c r="C4000">
        <v>2.9169580000000002</v>
      </c>
    </row>
    <row r="4001" spans="1:3" x14ac:dyDescent="0.25">
      <c r="A4001" t="s">
        <v>10</v>
      </c>
      <c r="B4001" s="1">
        <v>45272</v>
      </c>
      <c r="C4001">
        <v>2.9848750000000002</v>
      </c>
    </row>
    <row r="4002" spans="1:3" x14ac:dyDescent="0.25">
      <c r="A4002" t="s">
        <v>10</v>
      </c>
      <c r="B4002" s="1">
        <v>45273</v>
      </c>
      <c r="C4002">
        <v>2.940258</v>
      </c>
    </row>
    <row r="4003" spans="1:3" x14ac:dyDescent="0.25">
      <c r="A4003" t="s">
        <v>10</v>
      </c>
      <c r="B4003" s="1">
        <v>45274</v>
      </c>
      <c r="C4003">
        <v>3.0612200000000001</v>
      </c>
    </row>
    <row r="4004" spans="1:3" x14ac:dyDescent="0.25">
      <c r="A4004" t="s">
        <v>10</v>
      </c>
      <c r="B4004" s="1">
        <v>45275</v>
      </c>
      <c r="C4004">
        <v>2.9843790000000001</v>
      </c>
    </row>
    <row r="4005" spans="1:3" x14ac:dyDescent="0.25">
      <c r="A4005" t="s">
        <v>10</v>
      </c>
      <c r="B4005" s="1">
        <v>45278</v>
      </c>
      <c r="C4005">
        <v>2.963063</v>
      </c>
    </row>
    <row r="4006" spans="1:3" x14ac:dyDescent="0.25">
      <c r="A4006" t="s">
        <v>10</v>
      </c>
      <c r="B4006" s="1">
        <v>45279</v>
      </c>
      <c r="C4006">
        <v>3.0136280000000002</v>
      </c>
    </row>
    <row r="4007" spans="1:3" x14ac:dyDescent="0.25">
      <c r="A4007" t="s">
        <v>10</v>
      </c>
      <c r="B4007" s="1">
        <v>45280</v>
      </c>
      <c r="C4007">
        <v>3.0225520000000001</v>
      </c>
    </row>
    <row r="4008" spans="1:3" x14ac:dyDescent="0.25">
      <c r="A4008" t="s">
        <v>10</v>
      </c>
      <c r="B4008" s="1">
        <v>45281</v>
      </c>
      <c r="C4008">
        <v>2.9853710000000002</v>
      </c>
    </row>
    <row r="4009" spans="1:3" x14ac:dyDescent="0.25">
      <c r="A4009" t="s">
        <v>10</v>
      </c>
      <c r="B4009" s="1">
        <v>45282</v>
      </c>
      <c r="C4009">
        <v>3.072622</v>
      </c>
    </row>
    <row r="4010" spans="1:3" x14ac:dyDescent="0.25">
      <c r="A4010" t="s">
        <v>10</v>
      </c>
      <c r="B4010" s="1">
        <v>45287</v>
      </c>
      <c r="C4010">
        <v>3.0547749999999998</v>
      </c>
    </row>
    <row r="4011" spans="1:3" x14ac:dyDescent="0.25">
      <c r="A4011" t="s">
        <v>10</v>
      </c>
      <c r="B4011" s="1">
        <v>45288</v>
      </c>
      <c r="C4011">
        <v>3.0513050000000002</v>
      </c>
    </row>
    <row r="4012" spans="1:3" x14ac:dyDescent="0.25">
      <c r="A4012" t="s">
        <v>10</v>
      </c>
      <c r="B4012" s="1">
        <v>45289</v>
      </c>
      <c r="C4012">
        <v>3.0289959999999998</v>
      </c>
    </row>
    <row r="4013" spans="1:3" x14ac:dyDescent="0.25">
      <c r="A4013" t="s">
        <v>10</v>
      </c>
      <c r="B4013" s="1">
        <v>45293</v>
      </c>
      <c r="C4013">
        <v>3.1202130000000001</v>
      </c>
    </row>
    <row r="4014" spans="1:3" x14ac:dyDescent="0.25">
      <c r="A4014" t="s">
        <v>10</v>
      </c>
      <c r="B4014" s="1">
        <v>45294</v>
      </c>
      <c r="C4014">
        <v>3.0899730000000001</v>
      </c>
    </row>
    <row r="4015" spans="1:3" x14ac:dyDescent="0.25">
      <c r="A4015" t="s">
        <v>10</v>
      </c>
      <c r="B4015" s="1">
        <v>45295</v>
      </c>
      <c r="C4015">
        <v>3.140539</v>
      </c>
    </row>
    <row r="4016" spans="1:3" x14ac:dyDescent="0.25">
      <c r="A4016" t="s">
        <v>10</v>
      </c>
      <c r="B4016" s="1">
        <v>45296</v>
      </c>
      <c r="C4016">
        <v>3.1549149999999999</v>
      </c>
    </row>
    <row r="4017" spans="1:3" x14ac:dyDescent="0.25">
      <c r="A4017" t="s">
        <v>10</v>
      </c>
      <c r="B4017" s="1">
        <v>45299</v>
      </c>
      <c r="C4017">
        <v>3.1985410000000001</v>
      </c>
    </row>
    <row r="4018" spans="1:3" x14ac:dyDescent="0.25">
      <c r="A4018" t="s">
        <v>10</v>
      </c>
      <c r="B4018" s="1">
        <v>45300</v>
      </c>
      <c r="C4018">
        <v>3.1762320000000002</v>
      </c>
    </row>
    <row r="4019" spans="1:3" x14ac:dyDescent="0.25">
      <c r="A4019" t="s">
        <v>10</v>
      </c>
      <c r="B4019" s="1">
        <v>45301</v>
      </c>
      <c r="C4019">
        <v>3.1633429999999998</v>
      </c>
    </row>
    <row r="4020" spans="1:3" x14ac:dyDescent="0.25">
      <c r="A4020" t="s">
        <v>10</v>
      </c>
      <c r="B4020" s="1">
        <v>45302</v>
      </c>
      <c r="C4020">
        <v>3.1643340000000002</v>
      </c>
    </row>
    <row r="4021" spans="1:3" x14ac:dyDescent="0.25">
      <c r="A4021" t="s">
        <v>10</v>
      </c>
      <c r="B4021" s="1">
        <v>45303</v>
      </c>
      <c r="C4021">
        <v>3.196558</v>
      </c>
    </row>
    <row r="4022" spans="1:3" x14ac:dyDescent="0.25">
      <c r="A4022" t="s">
        <v>10</v>
      </c>
      <c r="B4022" s="1">
        <v>45306</v>
      </c>
      <c r="C4022">
        <v>3.2074639999999999</v>
      </c>
    </row>
    <row r="4023" spans="1:3" x14ac:dyDescent="0.25">
      <c r="A4023" t="s">
        <v>10</v>
      </c>
      <c r="B4023" s="1">
        <v>45307</v>
      </c>
      <c r="C4023">
        <v>3.208456</v>
      </c>
    </row>
    <row r="4024" spans="1:3" x14ac:dyDescent="0.25">
      <c r="A4024" t="s">
        <v>10</v>
      </c>
      <c r="B4024" s="1">
        <v>45308</v>
      </c>
      <c r="C4024">
        <v>3.1549149999999999</v>
      </c>
    </row>
    <row r="4025" spans="1:3" x14ac:dyDescent="0.25">
      <c r="A4025" t="s">
        <v>10</v>
      </c>
      <c r="B4025" s="1">
        <v>45309</v>
      </c>
      <c r="C4025">
        <v>3.1682999999999999</v>
      </c>
    </row>
    <row r="4026" spans="1:3" x14ac:dyDescent="0.25">
      <c r="A4026" t="s">
        <v>10</v>
      </c>
      <c r="B4026" s="1">
        <v>45310</v>
      </c>
      <c r="C4026">
        <v>3.0765880000000001</v>
      </c>
    </row>
    <row r="4027" spans="1:3" x14ac:dyDescent="0.25">
      <c r="A4027" t="s">
        <v>10</v>
      </c>
      <c r="B4027" s="1">
        <v>45313</v>
      </c>
      <c r="C4027">
        <v>3.0790670000000002</v>
      </c>
    </row>
    <row r="4028" spans="1:3" x14ac:dyDescent="0.25">
      <c r="A4028" t="s">
        <v>10</v>
      </c>
      <c r="B4028" s="1">
        <v>45314</v>
      </c>
      <c r="C4028">
        <v>3.1390509999999998</v>
      </c>
    </row>
    <row r="4029" spans="1:3" x14ac:dyDescent="0.25">
      <c r="A4029" t="s">
        <v>10</v>
      </c>
      <c r="B4029" s="1">
        <v>45315</v>
      </c>
      <c r="C4029">
        <v>3.1221960000000002</v>
      </c>
    </row>
    <row r="4030" spans="1:3" x14ac:dyDescent="0.25">
      <c r="A4030" t="s">
        <v>10</v>
      </c>
      <c r="B4030" s="1">
        <v>45316</v>
      </c>
      <c r="C4030">
        <v>3.4726870000000001</v>
      </c>
    </row>
    <row r="4031" spans="1:3" x14ac:dyDescent="0.25">
      <c r="A4031" t="s">
        <v>10</v>
      </c>
      <c r="B4031" s="1">
        <v>45317</v>
      </c>
      <c r="C4031">
        <v>3.4944999999999999</v>
      </c>
    </row>
    <row r="4032" spans="1:3" x14ac:dyDescent="0.25">
      <c r="A4032" t="s">
        <v>10</v>
      </c>
      <c r="B4032" s="1">
        <v>45320</v>
      </c>
      <c r="C4032">
        <v>3.5525000000000002</v>
      </c>
    </row>
    <row r="4033" spans="1:3" x14ac:dyDescent="0.25">
      <c r="A4033" t="s">
        <v>10</v>
      </c>
      <c r="B4033" s="1">
        <v>45321</v>
      </c>
      <c r="C4033">
        <v>3.4155000000000002</v>
      </c>
    </row>
    <row r="4034" spans="1:3" x14ac:dyDescent="0.25">
      <c r="A4034" t="s">
        <v>10</v>
      </c>
      <c r="B4034" s="1">
        <v>45322</v>
      </c>
      <c r="C4034">
        <v>3.3220000000000001</v>
      </c>
    </row>
    <row r="4035" spans="1:3" x14ac:dyDescent="0.25">
      <c r="A4035" t="s">
        <v>10</v>
      </c>
      <c r="B4035" s="1">
        <v>45323</v>
      </c>
      <c r="C4035">
        <v>3.3325</v>
      </c>
    </row>
    <row r="4036" spans="1:3" x14ac:dyDescent="0.25">
      <c r="A4036" t="s">
        <v>10</v>
      </c>
      <c r="B4036" s="1">
        <v>45324</v>
      </c>
      <c r="C4036">
        <v>3.3050000000000002</v>
      </c>
    </row>
    <row r="4037" spans="1:3" x14ac:dyDescent="0.25">
      <c r="A4037" t="s">
        <v>10</v>
      </c>
      <c r="B4037" s="1">
        <v>45327</v>
      </c>
      <c r="C4037">
        <v>3.3530000000000002</v>
      </c>
    </row>
    <row r="4038" spans="1:3" x14ac:dyDescent="0.25">
      <c r="A4038" t="s">
        <v>10</v>
      </c>
      <c r="B4038" s="1">
        <v>45328</v>
      </c>
      <c r="C4038">
        <v>3.3319999999999999</v>
      </c>
    </row>
    <row r="4039" spans="1:3" x14ac:dyDescent="0.25">
      <c r="A4039" t="s">
        <v>10</v>
      </c>
      <c r="B4039" s="1">
        <v>45329</v>
      </c>
      <c r="C4039">
        <v>3.3035000000000001</v>
      </c>
    </row>
    <row r="4040" spans="1:3" x14ac:dyDescent="0.25">
      <c r="A4040" t="s">
        <v>10</v>
      </c>
      <c r="B4040" s="1">
        <v>45330</v>
      </c>
      <c r="C4040">
        <v>3.3765000000000001</v>
      </c>
    </row>
    <row r="4041" spans="1:3" x14ac:dyDescent="0.25">
      <c r="A4041" t="s">
        <v>10</v>
      </c>
      <c r="B4041" s="1">
        <v>45331</v>
      </c>
      <c r="C4041">
        <v>3.3450000000000002</v>
      </c>
    </row>
    <row r="4042" spans="1:3" x14ac:dyDescent="0.25">
      <c r="A4042" t="s">
        <v>11</v>
      </c>
      <c r="B4042" s="1">
        <v>44603</v>
      </c>
      <c r="C4042">
        <v>30.227882000000001</v>
      </c>
    </row>
    <row r="4043" spans="1:3" x14ac:dyDescent="0.25">
      <c r="A4043" t="s">
        <v>11</v>
      </c>
      <c r="B4043" s="1">
        <v>44606</v>
      </c>
      <c r="C4043">
        <v>29.972178</v>
      </c>
    </row>
    <row r="4044" spans="1:3" x14ac:dyDescent="0.25">
      <c r="A4044" t="s">
        <v>11</v>
      </c>
      <c r="B4044" s="1">
        <v>44607</v>
      </c>
      <c r="C4044">
        <v>30.355734000000002</v>
      </c>
    </row>
    <row r="4045" spans="1:3" x14ac:dyDescent="0.25">
      <c r="A4045" t="s">
        <v>11</v>
      </c>
      <c r="B4045" s="1">
        <v>44608</v>
      </c>
      <c r="C4045">
        <v>30.903669000000001</v>
      </c>
    </row>
    <row r="4046" spans="1:3" x14ac:dyDescent="0.25">
      <c r="A4046" t="s">
        <v>11</v>
      </c>
      <c r="B4046" s="1">
        <v>44609</v>
      </c>
      <c r="C4046">
        <v>30.200485</v>
      </c>
    </row>
    <row r="4047" spans="1:3" x14ac:dyDescent="0.25">
      <c r="A4047" t="s">
        <v>11</v>
      </c>
      <c r="B4047" s="1">
        <v>44610</v>
      </c>
      <c r="C4047">
        <v>30.182217000000001</v>
      </c>
    </row>
    <row r="4048" spans="1:3" x14ac:dyDescent="0.25">
      <c r="A4048" t="s">
        <v>11</v>
      </c>
      <c r="B4048" s="1">
        <v>44613</v>
      </c>
      <c r="C4048">
        <v>29.926517</v>
      </c>
    </row>
    <row r="4049" spans="1:3" x14ac:dyDescent="0.25">
      <c r="A4049" t="s">
        <v>11</v>
      </c>
      <c r="B4049" s="1">
        <v>44614</v>
      </c>
      <c r="C4049">
        <v>29.23246</v>
      </c>
    </row>
    <row r="4050" spans="1:3" x14ac:dyDescent="0.25">
      <c r="A4050" t="s">
        <v>11</v>
      </c>
      <c r="B4050" s="1">
        <v>44615</v>
      </c>
      <c r="C4050">
        <v>29.268989999999999</v>
      </c>
    </row>
    <row r="4051" spans="1:3" x14ac:dyDescent="0.25">
      <c r="A4051" t="s">
        <v>11</v>
      </c>
      <c r="B4051" s="1">
        <v>44616</v>
      </c>
      <c r="C4051">
        <v>27.853487000000001</v>
      </c>
    </row>
    <row r="4052" spans="1:3" x14ac:dyDescent="0.25">
      <c r="A4052" t="s">
        <v>11</v>
      </c>
      <c r="B4052" s="1">
        <v>44617</v>
      </c>
      <c r="C4052">
        <v>28.949362000000001</v>
      </c>
    </row>
    <row r="4053" spans="1:3" x14ac:dyDescent="0.25">
      <c r="A4053" t="s">
        <v>11</v>
      </c>
      <c r="B4053" s="1">
        <v>44620</v>
      </c>
      <c r="C4053">
        <v>28.310101</v>
      </c>
    </row>
    <row r="4054" spans="1:3" x14ac:dyDescent="0.25">
      <c r="A4054" t="s">
        <v>11</v>
      </c>
      <c r="B4054" s="1">
        <v>44621</v>
      </c>
      <c r="C4054">
        <v>26.903728000000001</v>
      </c>
    </row>
    <row r="4055" spans="1:3" x14ac:dyDescent="0.25">
      <c r="A4055" t="s">
        <v>11</v>
      </c>
      <c r="B4055" s="1">
        <v>44622</v>
      </c>
      <c r="C4055">
        <v>27.223358000000001</v>
      </c>
    </row>
    <row r="4056" spans="1:3" x14ac:dyDescent="0.25">
      <c r="A4056" t="s">
        <v>11</v>
      </c>
      <c r="B4056" s="1">
        <v>44623</v>
      </c>
      <c r="C4056">
        <v>25.497354999999999</v>
      </c>
    </row>
    <row r="4057" spans="1:3" x14ac:dyDescent="0.25">
      <c r="A4057" t="s">
        <v>11</v>
      </c>
      <c r="B4057" s="1">
        <v>44624</v>
      </c>
      <c r="C4057">
        <v>24.218834000000001</v>
      </c>
    </row>
    <row r="4058" spans="1:3" x14ac:dyDescent="0.25">
      <c r="A4058" t="s">
        <v>11</v>
      </c>
      <c r="B4058" s="1">
        <v>44627</v>
      </c>
      <c r="C4058">
        <v>23.926601000000002</v>
      </c>
    </row>
    <row r="4059" spans="1:3" x14ac:dyDescent="0.25">
      <c r="A4059" t="s">
        <v>11</v>
      </c>
      <c r="B4059" s="1">
        <v>44628</v>
      </c>
      <c r="C4059">
        <v>23.953999</v>
      </c>
    </row>
    <row r="4060" spans="1:3" x14ac:dyDescent="0.25">
      <c r="A4060" t="s">
        <v>11</v>
      </c>
      <c r="B4060" s="1">
        <v>44629</v>
      </c>
      <c r="C4060">
        <v>24.574992999999999</v>
      </c>
    </row>
    <row r="4061" spans="1:3" x14ac:dyDescent="0.25">
      <c r="A4061" t="s">
        <v>11</v>
      </c>
      <c r="B4061" s="1">
        <v>44630</v>
      </c>
      <c r="C4061">
        <v>25.369503000000002</v>
      </c>
    </row>
    <row r="4062" spans="1:3" x14ac:dyDescent="0.25">
      <c r="A4062" t="s">
        <v>11</v>
      </c>
      <c r="B4062" s="1">
        <v>44631</v>
      </c>
      <c r="C4062">
        <v>26.200541999999999</v>
      </c>
    </row>
    <row r="4063" spans="1:3" x14ac:dyDescent="0.25">
      <c r="A4063" t="s">
        <v>11</v>
      </c>
      <c r="B4063" s="1">
        <v>44634</v>
      </c>
      <c r="C4063">
        <v>27.670839000000001</v>
      </c>
    </row>
    <row r="4064" spans="1:3" x14ac:dyDescent="0.25">
      <c r="A4064" t="s">
        <v>11</v>
      </c>
      <c r="B4064" s="1">
        <v>44635</v>
      </c>
      <c r="C4064">
        <v>26.985918000000002</v>
      </c>
    </row>
    <row r="4065" spans="1:3" x14ac:dyDescent="0.25">
      <c r="A4065" t="s">
        <v>11</v>
      </c>
      <c r="B4065" s="1">
        <v>44636</v>
      </c>
      <c r="C4065">
        <v>27.625178999999999</v>
      </c>
    </row>
    <row r="4066" spans="1:3" x14ac:dyDescent="0.25">
      <c r="A4066" t="s">
        <v>11</v>
      </c>
      <c r="B4066" s="1">
        <v>44637</v>
      </c>
      <c r="C4066">
        <v>27.406003999999999</v>
      </c>
    </row>
    <row r="4067" spans="1:3" x14ac:dyDescent="0.25">
      <c r="A4067" t="s">
        <v>11</v>
      </c>
      <c r="B4067" s="1">
        <v>44638</v>
      </c>
      <c r="C4067">
        <v>27.314682000000001</v>
      </c>
    </row>
    <row r="4068" spans="1:3" x14ac:dyDescent="0.25">
      <c r="A4068" t="s">
        <v>11</v>
      </c>
      <c r="B4068" s="1">
        <v>44641</v>
      </c>
      <c r="C4068">
        <v>27.643443999999999</v>
      </c>
    </row>
    <row r="4069" spans="1:3" x14ac:dyDescent="0.25">
      <c r="A4069" t="s">
        <v>11</v>
      </c>
      <c r="B4069" s="1">
        <v>44642</v>
      </c>
      <c r="C4069">
        <v>28.264441000000001</v>
      </c>
    </row>
    <row r="4070" spans="1:3" x14ac:dyDescent="0.25">
      <c r="A4070" t="s">
        <v>11</v>
      </c>
      <c r="B4070" s="1">
        <v>44643</v>
      </c>
      <c r="C4070">
        <v>28.136586999999999</v>
      </c>
    </row>
    <row r="4071" spans="1:3" x14ac:dyDescent="0.25">
      <c r="A4071" t="s">
        <v>11</v>
      </c>
      <c r="B4071" s="1">
        <v>44644</v>
      </c>
      <c r="C4071">
        <v>28.428820000000002</v>
      </c>
    </row>
    <row r="4072" spans="1:3" x14ac:dyDescent="0.25">
      <c r="A4072" t="s">
        <v>11</v>
      </c>
      <c r="B4072" s="1">
        <v>44645</v>
      </c>
      <c r="C4072">
        <v>28.383158000000002</v>
      </c>
    </row>
    <row r="4073" spans="1:3" x14ac:dyDescent="0.25">
      <c r="A4073" t="s">
        <v>11</v>
      </c>
      <c r="B4073" s="1">
        <v>44648</v>
      </c>
      <c r="C4073">
        <v>28.538408</v>
      </c>
    </row>
    <row r="4074" spans="1:3" x14ac:dyDescent="0.25">
      <c r="A4074" t="s">
        <v>11</v>
      </c>
      <c r="B4074" s="1">
        <v>44649</v>
      </c>
      <c r="C4074">
        <v>28.876303</v>
      </c>
    </row>
    <row r="4075" spans="1:3" x14ac:dyDescent="0.25">
      <c r="A4075" t="s">
        <v>11</v>
      </c>
      <c r="B4075" s="1">
        <v>44650</v>
      </c>
      <c r="C4075">
        <v>28.790586000000001</v>
      </c>
    </row>
    <row r="4076" spans="1:3" x14ac:dyDescent="0.25">
      <c r="A4076" t="s">
        <v>11</v>
      </c>
      <c r="B4076" s="1">
        <v>44651</v>
      </c>
      <c r="C4076">
        <v>28.247727999999999</v>
      </c>
    </row>
    <row r="4077" spans="1:3" x14ac:dyDescent="0.25">
      <c r="A4077" t="s">
        <v>11</v>
      </c>
      <c r="B4077" s="1">
        <v>44652</v>
      </c>
      <c r="C4077">
        <v>28.571539000000001</v>
      </c>
    </row>
    <row r="4078" spans="1:3" x14ac:dyDescent="0.25">
      <c r="A4078" t="s">
        <v>11</v>
      </c>
      <c r="B4078" s="1">
        <v>44655</v>
      </c>
      <c r="C4078">
        <v>28.466775999999999</v>
      </c>
    </row>
    <row r="4079" spans="1:3" x14ac:dyDescent="0.25">
      <c r="A4079" t="s">
        <v>11</v>
      </c>
      <c r="B4079" s="1">
        <v>44656</v>
      </c>
      <c r="C4079">
        <v>29.304876</v>
      </c>
    </row>
    <row r="4080" spans="1:3" x14ac:dyDescent="0.25">
      <c r="A4080" t="s">
        <v>11</v>
      </c>
      <c r="B4080" s="1">
        <v>44657</v>
      </c>
      <c r="C4080">
        <v>28.704872000000002</v>
      </c>
    </row>
    <row r="4081" spans="1:3" x14ac:dyDescent="0.25">
      <c r="A4081" t="s">
        <v>11</v>
      </c>
      <c r="B4081" s="1">
        <v>44658</v>
      </c>
      <c r="C4081">
        <v>29.247731999999999</v>
      </c>
    </row>
    <row r="4082" spans="1:3" x14ac:dyDescent="0.25">
      <c r="A4082" t="s">
        <v>11</v>
      </c>
      <c r="B4082" s="1">
        <v>44659</v>
      </c>
      <c r="C4082">
        <v>30.238212999999998</v>
      </c>
    </row>
    <row r="4083" spans="1:3" x14ac:dyDescent="0.25">
      <c r="A4083" t="s">
        <v>11</v>
      </c>
      <c r="B4083" s="1">
        <v>44662</v>
      </c>
      <c r="C4083">
        <v>30.247736</v>
      </c>
    </row>
    <row r="4084" spans="1:3" x14ac:dyDescent="0.25">
      <c r="A4084" t="s">
        <v>11</v>
      </c>
      <c r="B4084" s="1">
        <v>44663</v>
      </c>
      <c r="C4084">
        <v>29.523924000000001</v>
      </c>
    </row>
    <row r="4085" spans="1:3" x14ac:dyDescent="0.25">
      <c r="A4085" t="s">
        <v>11</v>
      </c>
      <c r="B4085" s="1">
        <v>44664</v>
      </c>
      <c r="C4085">
        <v>29.790592</v>
      </c>
    </row>
    <row r="4086" spans="1:3" x14ac:dyDescent="0.25">
      <c r="A4086" t="s">
        <v>11</v>
      </c>
      <c r="B4086" s="1">
        <v>44665</v>
      </c>
      <c r="C4086">
        <v>29.162018</v>
      </c>
    </row>
    <row r="4087" spans="1:3" x14ac:dyDescent="0.25">
      <c r="A4087" t="s">
        <v>11</v>
      </c>
      <c r="B4087" s="1">
        <v>44670</v>
      </c>
      <c r="C4087">
        <v>29.190588000000002</v>
      </c>
    </row>
    <row r="4088" spans="1:3" x14ac:dyDescent="0.25">
      <c r="A4088" t="s">
        <v>11</v>
      </c>
      <c r="B4088" s="1">
        <v>44671</v>
      </c>
      <c r="C4088">
        <v>29.685827</v>
      </c>
    </row>
    <row r="4089" spans="1:3" x14ac:dyDescent="0.25">
      <c r="A4089" t="s">
        <v>11</v>
      </c>
      <c r="B4089" s="1">
        <v>44672</v>
      </c>
      <c r="C4089">
        <v>31.057262000000001</v>
      </c>
    </row>
    <row r="4090" spans="1:3" x14ac:dyDescent="0.25">
      <c r="A4090" t="s">
        <v>11</v>
      </c>
      <c r="B4090" s="1">
        <v>44673</v>
      </c>
      <c r="C4090">
        <v>31.057262000000001</v>
      </c>
    </row>
    <row r="4091" spans="1:3" x14ac:dyDescent="0.25">
      <c r="A4091" t="s">
        <v>11</v>
      </c>
      <c r="B4091" s="1">
        <v>44676</v>
      </c>
      <c r="C4091">
        <v>30.095354</v>
      </c>
    </row>
    <row r="4092" spans="1:3" x14ac:dyDescent="0.25">
      <c r="A4092" t="s">
        <v>11</v>
      </c>
      <c r="B4092" s="1">
        <v>44677</v>
      </c>
      <c r="C4092">
        <v>30.162022</v>
      </c>
    </row>
    <row r="4093" spans="1:3" x14ac:dyDescent="0.25">
      <c r="A4093" t="s">
        <v>11</v>
      </c>
      <c r="B4093" s="1">
        <v>44678</v>
      </c>
      <c r="C4093">
        <v>31.628692999999998</v>
      </c>
    </row>
    <row r="4094" spans="1:3" x14ac:dyDescent="0.25">
      <c r="A4094" t="s">
        <v>11</v>
      </c>
      <c r="B4094" s="1">
        <v>44679</v>
      </c>
      <c r="C4094">
        <v>30.904882000000001</v>
      </c>
    </row>
    <row r="4095" spans="1:3" x14ac:dyDescent="0.25">
      <c r="A4095" t="s">
        <v>11</v>
      </c>
      <c r="B4095" s="1">
        <v>44680</v>
      </c>
      <c r="C4095">
        <v>31.466791000000001</v>
      </c>
    </row>
    <row r="4096" spans="1:3" x14ac:dyDescent="0.25">
      <c r="A4096" t="s">
        <v>11</v>
      </c>
      <c r="B4096" s="1">
        <v>44683</v>
      </c>
      <c r="C4096">
        <v>31.200119000000001</v>
      </c>
    </row>
    <row r="4097" spans="1:3" x14ac:dyDescent="0.25">
      <c r="A4097" t="s">
        <v>11</v>
      </c>
      <c r="B4097" s="1">
        <v>44684</v>
      </c>
      <c r="C4097">
        <v>30.981071</v>
      </c>
    </row>
    <row r="4098" spans="1:3" x14ac:dyDescent="0.25">
      <c r="A4098" t="s">
        <v>11</v>
      </c>
      <c r="B4098" s="1">
        <v>44685</v>
      </c>
      <c r="C4098">
        <v>30.857264000000001</v>
      </c>
    </row>
    <row r="4099" spans="1:3" x14ac:dyDescent="0.25">
      <c r="A4099" t="s">
        <v>11</v>
      </c>
      <c r="B4099" s="1">
        <v>44686</v>
      </c>
      <c r="C4099">
        <v>30.666785999999998</v>
      </c>
    </row>
    <row r="4100" spans="1:3" x14ac:dyDescent="0.25">
      <c r="A4100" t="s">
        <v>11</v>
      </c>
      <c r="B4100" s="1">
        <v>44687</v>
      </c>
      <c r="C4100">
        <v>30.038212000000001</v>
      </c>
    </row>
    <row r="4101" spans="1:3" x14ac:dyDescent="0.25">
      <c r="A4101" t="s">
        <v>11</v>
      </c>
      <c r="B4101" s="1">
        <v>44690</v>
      </c>
      <c r="C4101">
        <v>29.733447999999999</v>
      </c>
    </row>
    <row r="4102" spans="1:3" x14ac:dyDescent="0.25">
      <c r="A4102" t="s">
        <v>11</v>
      </c>
      <c r="B4102" s="1">
        <v>44691</v>
      </c>
      <c r="C4102">
        <v>30.019165000000001</v>
      </c>
    </row>
    <row r="4103" spans="1:3" x14ac:dyDescent="0.25">
      <c r="A4103" t="s">
        <v>11</v>
      </c>
      <c r="B4103" s="1">
        <v>44692</v>
      </c>
      <c r="C4103">
        <v>30.438210999999999</v>
      </c>
    </row>
    <row r="4104" spans="1:3" x14ac:dyDescent="0.25">
      <c r="A4104" t="s">
        <v>11</v>
      </c>
      <c r="B4104" s="1">
        <v>44693</v>
      </c>
      <c r="C4104">
        <v>30.219163999999999</v>
      </c>
    </row>
    <row r="4105" spans="1:3" x14ac:dyDescent="0.25">
      <c r="A4105" t="s">
        <v>11</v>
      </c>
      <c r="B4105" s="1">
        <v>44694</v>
      </c>
      <c r="C4105">
        <v>30.171544999999998</v>
      </c>
    </row>
    <row r="4106" spans="1:3" x14ac:dyDescent="0.25">
      <c r="A4106" t="s">
        <v>11</v>
      </c>
      <c r="B4106" s="1">
        <v>44697</v>
      </c>
      <c r="C4106">
        <v>30.381069</v>
      </c>
    </row>
    <row r="4107" spans="1:3" x14ac:dyDescent="0.25">
      <c r="A4107" t="s">
        <v>11</v>
      </c>
      <c r="B4107" s="1">
        <v>44698</v>
      </c>
      <c r="C4107">
        <v>31.162025</v>
      </c>
    </row>
    <row r="4108" spans="1:3" x14ac:dyDescent="0.25">
      <c r="A4108" t="s">
        <v>11</v>
      </c>
      <c r="B4108" s="1">
        <v>44699</v>
      </c>
      <c r="C4108">
        <v>30.962022999999999</v>
      </c>
    </row>
    <row r="4109" spans="1:3" x14ac:dyDescent="0.25">
      <c r="A4109" t="s">
        <v>11</v>
      </c>
      <c r="B4109" s="1">
        <v>44700</v>
      </c>
      <c r="C4109">
        <v>30.190594000000001</v>
      </c>
    </row>
    <row r="4110" spans="1:3" x14ac:dyDescent="0.25">
      <c r="A4110" t="s">
        <v>11</v>
      </c>
      <c r="B4110" s="1">
        <v>44701</v>
      </c>
      <c r="C4110">
        <v>30.733453999999998</v>
      </c>
    </row>
    <row r="4111" spans="1:3" x14ac:dyDescent="0.25">
      <c r="A4111" t="s">
        <v>11</v>
      </c>
      <c r="B4111" s="1">
        <v>44704</v>
      </c>
      <c r="C4111">
        <v>31.019169000000002</v>
      </c>
    </row>
    <row r="4112" spans="1:3" x14ac:dyDescent="0.25">
      <c r="A4112" t="s">
        <v>11</v>
      </c>
      <c r="B4112" s="1">
        <v>44705</v>
      </c>
      <c r="C4112">
        <v>31.057262000000001</v>
      </c>
    </row>
    <row r="4113" spans="1:3" x14ac:dyDescent="0.25">
      <c r="A4113" t="s">
        <v>11</v>
      </c>
      <c r="B4113" s="1">
        <v>44706</v>
      </c>
      <c r="C4113">
        <v>31.876314000000001</v>
      </c>
    </row>
    <row r="4114" spans="1:3" x14ac:dyDescent="0.25">
      <c r="A4114" t="s">
        <v>11</v>
      </c>
      <c r="B4114" s="1">
        <v>44708</v>
      </c>
      <c r="C4114">
        <v>31.971550000000001</v>
      </c>
    </row>
    <row r="4115" spans="1:3" x14ac:dyDescent="0.25">
      <c r="A4115" t="s">
        <v>11</v>
      </c>
      <c r="B4115" s="1">
        <v>44711</v>
      </c>
      <c r="C4115">
        <v>32.238216000000001</v>
      </c>
    </row>
    <row r="4116" spans="1:3" x14ac:dyDescent="0.25">
      <c r="A4116" t="s">
        <v>11</v>
      </c>
      <c r="B4116" s="1">
        <v>44712</v>
      </c>
      <c r="C4116">
        <v>31.419167999999999</v>
      </c>
    </row>
    <row r="4117" spans="1:3" x14ac:dyDescent="0.25">
      <c r="A4117" t="s">
        <v>11</v>
      </c>
      <c r="B4117" s="1">
        <v>44713</v>
      </c>
      <c r="C4117">
        <v>31.485835999999999</v>
      </c>
    </row>
    <row r="4118" spans="1:3" x14ac:dyDescent="0.25">
      <c r="A4118" t="s">
        <v>11</v>
      </c>
      <c r="B4118" s="1">
        <v>44714</v>
      </c>
      <c r="C4118">
        <v>31.438215</v>
      </c>
    </row>
    <row r="4119" spans="1:3" x14ac:dyDescent="0.25">
      <c r="A4119" t="s">
        <v>11</v>
      </c>
      <c r="B4119" s="1">
        <v>44715</v>
      </c>
      <c r="C4119">
        <v>31.533453000000002</v>
      </c>
    </row>
    <row r="4120" spans="1:3" x14ac:dyDescent="0.25">
      <c r="A4120" t="s">
        <v>11</v>
      </c>
      <c r="B4120" s="1">
        <v>44718</v>
      </c>
      <c r="C4120">
        <v>31.857265000000002</v>
      </c>
    </row>
    <row r="4121" spans="1:3" x14ac:dyDescent="0.25">
      <c r="A4121" t="s">
        <v>11</v>
      </c>
      <c r="B4121" s="1">
        <v>44719</v>
      </c>
      <c r="C4121">
        <v>31.971550000000001</v>
      </c>
    </row>
    <row r="4122" spans="1:3" x14ac:dyDescent="0.25">
      <c r="A4122" t="s">
        <v>11</v>
      </c>
      <c r="B4122" s="1">
        <v>44720</v>
      </c>
      <c r="C4122">
        <v>31.990599</v>
      </c>
    </row>
    <row r="4123" spans="1:3" x14ac:dyDescent="0.25">
      <c r="A4123" t="s">
        <v>11</v>
      </c>
      <c r="B4123" s="1">
        <v>44721</v>
      </c>
      <c r="C4123">
        <v>31.285831000000002</v>
      </c>
    </row>
    <row r="4124" spans="1:3" x14ac:dyDescent="0.25">
      <c r="A4124" t="s">
        <v>11</v>
      </c>
      <c r="B4124" s="1">
        <v>44722</v>
      </c>
      <c r="C4124">
        <v>30.619167000000001</v>
      </c>
    </row>
    <row r="4125" spans="1:3" x14ac:dyDescent="0.25">
      <c r="A4125" t="s">
        <v>11</v>
      </c>
      <c r="B4125" s="1">
        <v>44725</v>
      </c>
      <c r="C4125">
        <v>29.733447999999999</v>
      </c>
    </row>
    <row r="4126" spans="1:3" x14ac:dyDescent="0.25">
      <c r="A4126" t="s">
        <v>11</v>
      </c>
      <c r="B4126" s="1">
        <v>44726</v>
      </c>
      <c r="C4126">
        <v>29.152494000000001</v>
      </c>
    </row>
    <row r="4127" spans="1:3" x14ac:dyDescent="0.25">
      <c r="A4127" t="s">
        <v>11</v>
      </c>
      <c r="B4127" s="1">
        <v>44727</v>
      </c>
      <c r="C4127">
        <v>29.676306</v>
      </c>
    </row>
    <row r="4128" spans="1:3" x14ac:dyDescent="0.25">
      <c r="A4128" t="s">
        <v>11</v>
      </c>
      <c r="B4128" s="1">
        <v>44728</v>
      </c>
      <c r="C4128">
        <v>29.095348000000001</v>
      </c>
    </row>
    <row r="4129" spans="1:3" x14ac:dyDescent="0.25">
      <c r="A4129" t="s">
        <v>11</v>
      </c>
      <c r="B4129" s="1">
        <v>44729</v>
      </c>
      <c r="C4129">
        <v>29.009633999999998</v>
      </c>
    </row>
    <row r="4130" spans="1:3" x14ac:dyDescent="0.25">
      <c r="A4130" t="s">
        <v>11</v>
      </c>
      <c r="B4130" s="1">
        <v>44732</v>
      </c>
      <c r="C4130">
        <v>29.695353000000001</v>
      </c>
    </row>
    <row r="4131" spans="1:3" x14ac:dyDescent="0.25">
      <c r="A4131" t="s">
        <v>11</v>
      </c>
      <c r="B4131" s="1">
        <v>44733</v>
      </c>
      <c r="C4131">
        <v>29.581066</v>
      </c>
    </row>
    <row r="4132" spans="1:3" x14ac:dyDescent="0.25">
      <c r="A4132" t="s">
        <v>11</v>
      </c>
      <c r="B4132" s="1">
        <v>44734</v>
      </c>
      <c r="C4132">
        <v>28.571539000000001</v>
      </c>
    </row>
    <row r="4133" spans="1:3" x14ac:dyDescent="0.25">
      <c r="A4133" t="s">
        <v>11</v>
      </c>
      <c r="B4133" s="1">
        <v>44735</v>
      </c>
      <c r="C4133">
        <v>27.781058999999999</v>
      </c>
    </row>
    <row r="4134" spans="1:3" x14ac:dyDescent="0.25">
      <c r="A4134" t="s">
        <v>11</v>
      </c>
      <c r="B4134" s="1">
        <v>44739</v>
      </c>
      <c r="C4134">
        <v>28.381060000000002</v>
      </c>
    </row>
    <row r="4135" spans="1:3" x14ac:dyDescent="0.25">
      <c r="A4135" t="s">
        <v>11</v>
      </c>
      <c r="B4135" s="1">
        <v>44740</v>
      </c>
      <c r="C4135">
        <v>28.562016</v>
      </c>
    </row>
    <row r="4136" spans="1:3" x14ac:dyDescent="0.25">
      <c r="A4136" t="s">
        <v>11</v>
      </c>
      <c r="B4136" s="1">
        <v>44741</v>
      </c>
      <c r="C4136">
        <v>28.562016</v>
      </c>
    </row>
    <row r="4137" spans="1:3" x14ac:dyDescent="0.25">
      <c r="A4137" t="s">
        <v>11</v>
      </c>
      <c r="B4137" s="1">
        <v>44742</v>
      </c>
      <c r="C4137">
        <v>27.628679000000002</v>
      </c>
    </row>
    <row r="4138" spans="1:3" x14ac:dyDescent="0.25">
      <c r="A4138" t="s">
        <v>11</v>
      </c>
      <c r="B4138" s="1">
        <v>44743</v>
      </c>
      <c r="C4138">
        <v>27.695345</v>
      </c>
    </row>
    <row r="4139" spans="1:3" x14ac:dyDescent="0.25">
      <c r="A4139" t="s">
        <v>11</v>
      </c>
      <c r="B4139" s="1">
        <v>44746</v>
      </c>
      <c r="C4139">
        <v>28.333442999999999</v>
      </c>
    </row>
    <row r="4140" spans="1:3" x14ac:dyDescent="0.25">
      <c r="A4140" t="s">
        <v>11</v>
      </c>
      <c r="B4140" s="1">
        <v>44747</v>
      </c>
      <c r="C4140">
        <v>27.714393999999999</v>
      </c>
    </row>
    <row r="4141" spans="1:3" x14ac:dyDescent="0.25">
      <c r="A4141" t="s">
        <v>11</v>
      </c>
      <c r="B4141" s="1">
        <v>44748</v>
      </c>
      <c r="C4141">
        <v>27.819154999999999</v>
      </c>
    </row>
    <row r="4142" spans="1:3" x14ac:dyDescent="0.25">
      <c r="A4142" t="s">
        <v>11</v>
      </c>
      <c r="B4142" s="1">
        <v>44749</v>
      </c>
      <c r="C4142">
        <v>28.504871000000001</v>
      </c>
    </row>
    <row r="4143" spans="1:3" x14ac:dyDescent="0.25">
      <c r="A4143" t="s">
        <v>11</v>
      </c>
      <c r="B4143" s="1">
        <v>44750</v>
      </c>
      <c r="C4143">
        <v>28.219156000000002</v>
      </c>
    </row>
    <row r="4144" spans="1:3" x14ac:dyDescent="0.25">
      <c r="A4144" t="s">
        <v>11</v>
      </c>
      <c r="B4144" s="1">
        <v>44753</v>
      </c>
      <c r="C4144">
        <v>27.590582000000001</v>
      </c>
    </row>
    <row r="4145" spans="1:3" x14ac:dyDescent="0.25">
      <c r="A4145" t="s">
        <v>11</v>
      </c>
      <c r="B4145" s="1">
        <v>44754</v>
      </c>
      <c r="C4145">
        <v>27.952487999999999</v>
      </c>
    </row>
    <row r="4146" spans="1:3" x14ac:dyDescent="0.25">
      <c r="A4146" t="s">
        <v>11</v>
      </c>
      <c r="B4146" s="1">
        <v>44755</v>
      </c>
      <c r="C4146">
        <v>27.323915</v>
      </c>
    </row>
    <row r="4147" spans="1:3" x14ac:dyDescent="0.25">
      <c r="A4147" t="s">
        <v>11</v>
      </c>
      <c r="B4147" s="1">
        <v>44756</v>
      </c>
      <c r="C4147">
        <v>27.257249999999999</v>
      </c>
    </row>
    <row r="4148" spans="1:3" x14ac:dyDescent="0.25">
      <c r="A4148" t="s">
        <v>11</v>
      </c>
      <c r="B4148" s="1">
        <v>44757</v>
      </c>
      <c r="C4148">
        <v>28.152488999999999</v>
      </c>
    </row>
    <row r="4149" spans="1:3" x14ac:dyDescent="0.25">
      <c r="A4149" t="s">
        <v>11</v>
      </c>
      <c r="B4149" s="1">
        <v>44760</v>
      </c>
      <c r="C4149">
        <v>28.409634</v>
      </c>
    </row>
    <row r="4150" spans="1:3" x14ac:dyDescent="0.25">
      <c r="A4150" t="s">
        <v>11</v>
      </c>
      <c r="B4150" s="1">
        <v>44761</v>
      </c>
      <c r="C4150">
        <v>28.771540000000002</v>
      </c>
    </row>
    <row r="4151" spans="1:3" x14ac:dyDescent="0.25">
      <c r="A4151" t="s">
        <v>11</v>
      </c>
      <c r="B4151" s="1">
        <v>44762</v>
      </c>
      <c r="C4151">
        <v>28.942968</v>
      </c>
    </row>
    <row r="4152" spans="1:3" x14ac:dyDescent="0.25">
      <c r="A4152" t="s">
        <v>11</v>
      </c>
      <c r="B4152" s="1">
        <v>44763</v>
      </c>
      <c r="C4152">
        <v>28.619157999999999</v>
      </c>
    </row>
    <row r="4153" spans="1:3" x14ac:dyDescent="0.25">
      <c r="A4153" t="s">
        <v>11</v>
      </c>
      <c r="B4153" s="1">
        <v>44764</v>
      </c>
      <c r="C4153">
        <v>27.666771000000001</v>
      </c>
    </row>
    <row r="4154" spans="1:3" x14ac:dyDescent="0.25">
      <c r="A4154" t="s">
        <v>11</v>
      </c>
      <c r="B4154" s="1">
        <v>44767</v>
      </c>
      <c r="C4154">
        <v>28.133441999999999</v>
      </c>
    </row>
    <row r="4155" spans="1:3" x14ac:dyDescent="0.25">
      <c r="A4155" t="s">
        <v>11</v>
      </c>
      <c r="B4155" s="1">
        <v>44768</v>
      </c>
      <c r="C4155">
        <v>27.885822000000001</v>
      </c>
    </row>
    <row r="4156" spans="1:3" x14ac:dyDescent="0.25">
      <c r="A4156" t="s">
        <v>11</v>
      </c>
      <c r="B4156" s="1">
        <v>44769</v>
      </c>
      <c r="C4156">
        <v>28.504871000000001</v>
      </c>
    </row>
    <row r="4157" spans="1:3" x14ac:dyDescent="0.25">
      <c r="A4157" t="s">
        <v>11</v>
      </c>
      <c r="B4157" s="1">
        <v>44770</v>
      </c>
      <c r="C4157">
        <v>28.971540000000001</v>
      </c>
    </row>
    <row r="4158" spans="1:3" x14ac:dyDescent="0.25">
      <c r="A4158" t="s">
        <v>11</v>
      </c>
      <c r="B4158" s="1">
        <v>44771</v>
      </c>
      <c r="C4158">
        <v>29.419160999999999</v>
      </c>
    </row>
    <row r="4159" spans="1:3" x14ac:dyDescent="0.25">
      <c r="A4159" t="s">
        <v>11</v>
      </c>
      <c r="B4159" s="1">
        <v>44774</v>
      </c>
      <c r="C4159">
        <v>29.723922999999999</v>
      </c>
    </row>
    <row r="4160" spans="1:3" x14ac:dyDescent="0.25">
      <c r="A4160" t="s">
        <v>11</v>
      </c>
      <c r="B4160" s="1">
        <v>44775</v>
      </c>
      <c r="C4160">
        <v>29.647734</v>
      </c>
    </row>
    <row r="4161" spans="1:3" x14ac:dyDescent="0.25">
      <c r="A4161" t="s">
        <v>11</v>
      </c>
      <c r="B4161" s="1">
        <v>44776</v>
      </c>
      <c r="C4161">
        <v>29.895353</v>
      </c>
    </row>
    <row r="4162" spans="1:3" x14ac:dyDescent="0.25">
      <c r="A4162" t="s">
        <v>11</v>
      </c>
      <c r="B4162" s="1">
        <v>44777</v>
      </c>
      <c r="C4162">
        <v>30.314402000000001</v>
      </c>
    </row>
    <row r="4163" spans="1:3" x14ac:dyDescent="0.25">
      <c r="A4163" t="s">
        <v>11</v>
      </c>
      <c r="B4163" s="1">
        <v>44778</v>
      </c>
      <c r="C4163">
        <v>30.13345</v>
      </c>
    </row>
    <row r="4164" spans="1:3" x14ac:dyDescent="0.25">
      <c r="A4164" t="s">
        <v>11</v>
      </c>
      <c r="B4164" s="1">
        <v>44781</v>
      </c>
      <c r="C4164">
        <v>30.600118999999999</v>
      </c>
    </row>
    <row r="4165" spans="1:3" x14ac:dyDescent="0.25">
      <c r="A4165" t="s">
        <v>11</v>
      </c>
      <c r="B4165" s="1">
        <v>44782</v>
      </c>
      <c r="C4165">
        <v>30.304880000000001</v>
      </c>
    </row>
    <row r="4166" spans="1:3" x14ac:dyDescent="0.25">
      <c r="A4166" t="s">
        <v>11</v>
      </c>
      <c r="B4166" s="1">
        <v>44783</v>
      </c>
      <c r="C4166">
        <v>31.647741</v>
      </c>
    </row>
    <row r="4167" spans="1:3" x14ac:dyDescent="0.25">
      <c r="A4167" t="s">
        <v>11</v>
      </c>
      <c r="B4167" s="1">
        <v>44784</v>
      </c>
      <c r="C4167">
        <v>31.809649</v>
      </c>
    </row>
    <row r="4168" spans="1:3" x14ac:dyDescent="0.25">
      <c r="A4168" t="s">
        <v>11</v>
      </c>
      <c r="B4168" s="1">
        <v>44785</v>
      </c>
      <c r="C4168">
        <v>32.485840000000003</v>
      </c>
    </row>
    <row r="4169" spans="1:3" x14ac:dyDescent="0.25">
      <c r="A4169" t="s">
        <v>11</v>
      </c>
      <c r="B4169" s="1">
        <v>44788</v>
      </c>
      <c r="C4169">
        <v>32.447746000000002</v>
      </c>
    </row>
    <row r="4170" spans="1:3" x14ac:dyDescent="0.25">
      <c r="A4170" t="s">
        <v>11</v>
      </c>
      <c r="B4170" s="1">
        <v>44789</v>
      </c>
      <c r="C4170">
        <v>32.323932999999997</v>
      </c>
    </row>
    <row r="4171" spans="1:3" x14ac:dyDescent="0.25">
      <c r="A4171" t="s">
        <v>11</v>
      </c>
      <c r="B4171" s="1">
        <v>44790</v>
      </c>
      <c r="C4171">
        <v>32.190601000000001</v>
      </c>
    </row>
    <row r="4172" spans="1:3" x14ac:dyDescent="0.25">
      <c r="A4172" t="s">
        <v>11</v>
      </c>
      <c r="B4172" s="1">
        <v>44791</v>
      </c>
      <c r="C4172">
        <v>32.666789999999999</v>
      </c>
    </row>
    <row r="4173" spans="1:3" x14ac:dyDescent="0.25">
      <c r="A4173" t="s">
        <v>11</v>
      </c>
      <c r="B4173" s="1">
        <v>44792</v>
      </c>
      <c r="C4173">
        <v>32.809649999999998</v>
      </c>
    </row>
    <row r="4174" spans="1:3" x14ac:dyDescent="0.25">
      <c r="A4174" t="s">
        <v>11</v>
      </c>
      <c r="B4174" s="1">
        <v>44795</v>
      </c>
      <c r="C4174">
        <v>32.438220999999999</v>
      </c>
    </row>
    <row r="4175" spans="1:3" x14ac:dyDescent="0.25">
      <c r="A4175" t="s">
        <v>11</v>
      </c>
      <c r="B4175" s="1">
        <v>44796</v>
      </c>
      <c r="C4175">
        <v>32.552504999999996</v>
      </c>
    </row>
    <row r="4176" spans="1:3" x14ac:dyDescent="0.25">
      <c r="A4176" t="s">
        <v>11</v>
      </c>
      <c r="B4176" s="1">
        <v>44797</v>
      </c>
      <c r="C4176">
        <v>32.762034999999997</v>
      </c>
    </row>
    <row r="4177" spans="1:3" x14ac:dyDescent="0.25">
      <c r="A4177" t="s">
        <v>11</v>
      </c>
      <c r="B4177" s="1">
        <v>44798</v>
      </c>
      <c r="C4177">
        <v>32.762034999999997</v>
      </c>
    </row>
    <row r="4178" spans="1:3" x14ac:dyDescent="0.25">
      <c r="A4178" t="s">
        <v>11</v>
      </c>
      <c r="B4178" s="1">
        <v>44799</v>
      </c>
      <c r="C4178">
        <v>32.619174999999998</v>
      </c>
    </row>
    <row r="4179" spans="1:3" x14ac:dyDescent="0.25">
      <c r="A4179" t="s">
        <v>11</v>
      </c>
      <c r="B4179" s="1">
        <v>44802</v>
      </c>
      <c r="C4179">
        <v>32.219172999999998</v>
      </c>
    </row>
    <row r="4180" spans="1:3" x14ac:dyDescent="0.25">
      <c r="A4180" t="s">
        <v>11</v>
      </c>
      <c r="B4180" s="1">
        <v>44803</v>
      </c>
      <c r="C4180">
        <v>32.209648000000001</v>
      </c>
    </row>
    <row r="4181" spans="1:3" x14ac:dyDescent="0.25">
      <c r="A4181" t="s">
        <v>11</v>
      </c>
      <c r="B4181" s="1">
        <v>44804</v>
      </c>
      <c r="C4181">
        <v>32.276318000000003</v>
      </c>
    </row>
    <row r="4182" spans="1:3" x14ac:dyDescent="0.25">
      <c r="A4182" t="s">
        <v>11</v>
      </c>
      <c r="B4182" s="1">
        <v>44805</v>
      </c>
      <c r="C4182">
        <v>31.400124000000002</v>
      </c>
    </row>
    <row r="4183" spans="1:3" x14ac:dyDescent="0.25">
      <c r="A4183" t="s">
        <v>11</v>
      </c>
      <c r="B4183" s="1">
        <v>44806</v>
      </c>
      <c r="C4183">
        <v>31.533453000000002</v>
      </c>
    </row>
    <row r="4184" spans="1:3" x14ac:dyDescent="0.25">
      <c r="A4184" t="s">
        <v>11</v>
      </c>
      <c r="B4184" s="1">
        <v>44809</v>
      </c>
      <c r="C4184">
        <v>31.276312000000001</v>
      </c>
    </row>
    <row r="4185" spans="1:3" x14ac:dyDescent="0.25">
      <c r="A4185" t="s">
        <v>11</v>
      </c>
      <c r="B4185" s="1">
        <v>44810</v>
      </c>
      <c r="C4185">
        <v>31.485835999999999</v>
      </c>
    </row>
    <row r="4186" spans="1:3" x14ac:dyDescent="0.25">
      <c r="A4186" t="s">
        <v>11</v>
      </c>
      <c r="B4186" s="1">
        <v>44811</v>
      </c>
      <c r="C4186">
        <v>31.904886000000001</v>
      </c>
    </row>
    <row r="4187" spans="1:3" x14ac:dyDescent="0.25">
      <c r="A4187" t="s">
        <v>11</v>
      </c>
      <c r="B4187" s="1">
        <v>44812</v>
      </c>
      <c r="C4187">
        <v>32.142982000000003</v>
      </c>
    </row>
    <row r="4188" spans="1:3" x14ac:dyDescent="0.25">
      <c r="A4188" t="s">
        <v>11</v>
      </c>
      <c r="B4188" s="1">
        <v>44813</v>
      </c>
      <c r="C4188">
        <v>32.495361000000003</v>
      </c>
    </row>
    <row r="4189" spans="1:3" x14ac:dyDescent="0.25">
      <c r="A4189" t="s">
        <v>11</v>
      </c>
      <c r="B4189" s="1">
        <v>44816</v>
      </c>
      <c r="C4189">
        <v>32.923935</v>
      </c>
    </row>
    <row r="4190" spans="1:3" x14ac:dyDescent="0.25">
      <c r="A4190" t="s">
        <v>11</v>
      </c>
      <c r="B4190" s="1">
        <v>44817</v>
      </c>
      <c r="C4190">
        <v>33.228698999999999</v>
      </c>
    </row>
    <row r="4191" spans="1:3" x14ac:dyDescent="0.25">
      <c r="A4191" t="s">
        <v>11</v>
      </c>
      <c r="B4191" s="1">
        <v>44818</v>
      </c>
      <c r="C4191">
        <v>32.581077999999998</v>
      </c>
    </row>
    <row r="4192" spans="1:3" x14ac:dyDescent="0.25">
      <c r="A4192" t="s">
        <v>11</v>
      </c>
      <c r="B4192" s="1">
        <v>44819</v>
      </c>
      <c r="C4192">
        <v>32.914413000000003</v>
      </c>
    </row>
    <row r="4193" spans="1:3" x14ac:dyDescent="0.25">
      <c r="A4193" t="s">
        <v>11</v>
      </c>
      <c r="B4193" s="1">
        <v>44820</v>
      </c>
      <c r="C4193">
        <v>33.419178000000002</v>
      </c>
    </row>
    <row r="4194" spans="1:3" x14ac:dyDescent="0.25">
      <c r="A4194" t="s">
        <v>11</v>
      </c>
      <c r="B4194" s="1">
        <v>44823</v>
      </c>
      <c r="C4194">
        <v>33.123936</v>
      </c>
    </row>
    <row r="4195" spans="1:3" x14ac:dyDescent="0.25">
      <c r="A4195" t="s">
        <v>11</v>
      </c>
      <c r="B4195" s="1">
        <v>44824</v>
      </c>
      <c r="C4195">
        <v>32.666789999999999</v>
      </c>
    </row>
    <row r="4196" spans="1:3" x14ac:dyDescent="0.25">
      <c r="A4196" t="s">
        <v>11</v>
      </c>
      <c r="B4196" s="1">
        <v>44825</v>
      </c>
      <c r="C4196">
        <v>32.581077999999998</v>
      </c>
    </row>
    <row r="4197" spans="1:3" x14ac:dyDescent="0.25">
      <c r="A4197" t="s">
        <v>11</v>
      </c>
      <c r="B4197" s="1">
        <v>44826</v>
      </c>
      <c r="C4197">
        <v>31.63822</v>
      </c>
    </row>
    <row r="4198" spans="1:3" x14ac:dyDescent="0.25">
      <c r="A4198" t="s">
        <v>11</v>
      </c>
      <c r="B4198" s="1">
        <v>44827</v>
      </c>
      <c r="C4198">
        <v>30.990597000000001</v>
      </c>
    </row>
    <row r="4199" spans="1:3" x14ac:dyDescent="0.25">
      <c r="A4199" t="s">
        <v>11</v>
      </c>
      <c r="B4199" s="1">
        <v>44830</v>
      </c>
      <c r="C4199">
        <v>30.600118999999999</v>
      </c>
    </row>
    <row r="4200" spans="1:3" x14ac:dyDescent="0.25">
      <c r="A4200" t="s">
        <v>11</v>
      </c>
      <c r="B4200" s="1">
        <v>44831</v>
      </c>
      <c r="C4200">
        <v>30.781071000000001</v>
      </c>
    </row>
    <row r="4201" spans="1:3" x14ac:dyDescent="0.25">
      <c r="A4201" t="s">
        <v>11</v>
      </c>
      <c r="B4201" s="1">
        <v>44832</v>
      </c>
      <c r="C4201">
        <v>31.047739</v>
      </c>
    </row>
    <row r="4202" spans="1:3" x14ac:dyDescent="0.25">
      <c r="A4202" t="s">
        <v>11</v>
      </c>
      <c r="B4202" s="1">
        <v>44833</v>
      </c>
      <c r="C4202">
        <v>30.076307</v>
      </c>
    </row>
    <row r="4203" spans="1:3" x14ac:dyDescent="0.25">
      <c r="A4203" t="s">
        <v>11</v>
      </c>
      <c r="B4203" s="1">
        <v>44834</v>
      </c>
      <c r="C4203">
        <v>31.028691999999999</v>
      </c>
    </row>
    <row r="4204" spans="1:3" x14ac:dyDescent="0.25">
      <c r="A4204" t="s">
        <v>11</v>
      </c>
      <c r="B4204" s="1">
        <v>44837</v>
      </c>
      <c r="C4204">
        <v>31.866789000000001</v>
      </c>
    </row>
    <row r="4205" spans="1:3" x14ac:dyDescent="0.25">
      <c r="A4205" t="s">
        <v>11</v>
      </c>
      <c r="B4205" s="1">
        <v>44838</v>
      </c>
      <c r="C4205">
        <v>33.114413999999996</v>
      </c>
    </row>
    <row r="4206" spans="1:3" x14ac:dyDescent="0.25">
      <c r="A4206" t="s">
        <v>11</v>
      </c>
      <c r="B4206" s="1">
        <v>44839</v>
      </c>
      <c r="C4206">
        <v>32.695366</v>
      </c>
    </row>
    <row r="4207" spans="1:3" x14ac:dyDescent="0.25">
      <c r="A4207" t="s">
        <v>11</v>
      </c>
      <c r="B4207" s="1">
        <v>44840</v>
      </c>
      <c r="C4207">
        <v>32.495361000000003</v>
      </c>
    </row>
    <row r="4208" spans="1:3" x14ac:dyDescent="0.25">
      <c r="A4208" t="s">
        <v>11</v>
      </c>
      <c r="B4208" s="1">
        <v>44841</v>
      </c>
      <c r="C4208">
        <v>31.733453999999998</v>
      </c>
    </row>
    <row r="4209" spans="1:3" x14ac:dyDescent="0.25">
      <c r="A4209" t="s">
        <v>11</v>
      </c>
      <c r="B4209" s="1">
        <v>44844</v>
      </c>
      <c r="C4209">
        <v>31.81917</v>
      </c>
    </row>
    <row r="4210" spans="1:3" x14ac:dyDescent="0.25">
      <c r="A4210" t="s">
        <v>11</v>
      </c>
      <c r="B4210" s="1">
        <v>44845</v>
      </c>
      <c r="C4210">
        <v>31.876314000000001</v>
      </c>
    </row>
    <row r="4211" spans="1:3" x14ac:dyDescent="0.25">
      <c r="A4211" t="s">
        <v>11</v>
      </c>
      <c r="B4211" s="1">
        <v>44846</v>
      </c>
      <c r="C4211">
        <v>31.857265000000002</v>
      </c>
    </row>
    <row r="4212" spans="1:3" x14ac:dyDescent="0.25">
      <c r="A4212" t="s">
        <v>11</v>
      </c>
      <c r="B4212" s="1">
        <v>44847</v>
      </c>
      <c r="C4212">
        <v>31.838221000000001</v>
      </c>
    </row>
    <row r="4213" spans="1:3" x14ac:dyDescent="0.25">
      <c r="A4213" t="s">
        <v>11</v>
      </c>
      <c r="B4213" s="1">
        <v>44848</v>
      </c>
      <c r="C4213">
        <v>33.647751</v>
      </c>
    </row>
    <row r="4214" spans="1:3" x14ac:dyDescent="0.25">
      <c r="A4214" t="s">
        <v>11</v>
      </c>
      <c r="B4214" s="1">
        <v>44851</v>
      </c>
      <c r="C4214">
        <v>34.533462999999998</v>
      </c>
    </row>
    <row r="4215" spans="1:3" x14ac:dyDescent="0.25">
      <c r="A4215" t="s">
        <v>11</v>
      </c>
      <c r="B4215" s="1">
        <v>44852</v>
      </c>
      <c r="C4215">
        <v>33.809654000000002</v>
      </c>
    </row>
    <row r="4216" spans="1:3" x14ac:dyDescent="0.25">
      <c r="A4216" t="s">
        <v>11</v>
      </c>
      <c r="B4216" s="1">
        <v>44853</v>
      </c>
      <c r="C4216">
        <v>32.990603999999998</v>
      </c>
    </row>
    <row r="4217" spans="1:3" x14ac:dyDescent="0.25">
      <c r="A4217" t="s">
        <v>11</v>
      </c>
      <c r="B4217" s="1">
        <v>44854</v>
      </c>
      <c r="C4217">
        <v>33.019176000000002</v>
      </c>
    </row>
    <row r="4218" spans="1:3" x14ac:dyDescent="0.25">
      <c r="A4218" t="s">
        <v>11</v>
      </c>
      <c r="B4218" s="1">
        <v>44855</v>
      </c>
      <c r="C4218">
        <v>33.085842</v>
      </c>
    </row>
    <row r="4219" spans="1:3" x14ac:dyDescent="0.25">
      <c r="A4219" t="s">
        <v>11</v>
      </c>
      <c r="B4219" s="1">
        <v>44858</v>
      </c>
      <c r="C4219">
        <v>33.333466000000001</v>
      </c>
    </row>
    <row r="4220" spans="1:3" x14ac:dyDescent="0.25">
      <c r="A4220" t="s">
        <v>11</v>
      </c>
      <c r="B4220" s="1">
        <v>44859</v>
      </c>
      <c r="C4220">
        <v>33.523936999999997</v>
      </c>
    </row>
    <row r="4221" spans="1:3" x14ac:dyDescent="0.25">
      <c r="A4221" t="s">
        <v>11</v>
      </c>
      <c r="B4221" s="1">
        <v>44860</v>
      </c>
      <c r="C4221">
        <v>34.114418000000001</v>
      </c>
    </row>
    <row r="4222" spans="1:3" x14ac:dyDescent="0.25">
      <c r="A4222" t="s">
        <v>11</v>
      </c>
      <c r="B4222" s="1">
        <v>44861</v>
      </c>
      <c r="C4222">
        <v>33.714416999999997</v>
      </c>
    </row>
    <row r="4223" spans="1:3" x14ac:dyDescent="0.25">
      <c r="A4223" t="s">
        <v>11</v>
      </c>
      <c r="B4223" s="1">
        <v>44862</v>
      </c>
      <c r="C4223">
        <v>32.923935</v>
      </c>
    </row>
    <row r="4224" spans="1:3" x14ac:dyDescent="0.25">
      <c r="A4224" t="s">
        <v>11</v>
      </c>
      <c r="B4224" s="1">
        <v>44865</v>
      </c>
      <c r="C4224">
        <v>32.295361</v>
      </c>
    </row>
    <row r="4225" spans="1:3" x14ac:dyDescent="0.25">
      <c r="A4225" t="s">
        <v>11</v>
      </c>
      <c r="B4225" s="1">
        <v>44866</v>
      </c>
      <c r="C4225">
        <v>32.752505999999997</v>
      </c>
    </row>
    <row r="4226" spans="1:3" x14ac:dyDescent="0.25">
      <c r="A4226" t="s">
        <v>11</v>
      </c>
      <c r="B4226" s="1">
        <v>44867</v>
      </c>
      <c r="C4226">
        <v>32.733459000000003</v>
      </c>
    </row>
    <row r="4227" spans="1:3" x14ac:dyDescent="0.25">
      <c r="A4227" t="s">
        <v>11</v>
      </c>
      <c r="B4227" s="1">
        <v>44868</v>
      </c>
      <c r="C4227">
        <v>32.562030999999998</v>
      </c>
    </row>
    <row r="4228" spans="1:3" x14ac:dyDescent="0.25">
      <c r="A4228" t="s">
        <v>11</v>
      </c>
      <c r="B4228" s="1">
        <v>44869</v>
      </c>
      <c r="C4228">
        <v>33.514415999999997</v>
      </c>
    </row>
    <row r="4229" spans="1:3" x14ac:dyDescent="0.25">
      <c r="A4229" t="s">
        <v>11</v>
      </c>
      <c r="B4229" s="1">
        <v>44872</v>
      </c>
      <c r="C4229">
        <v>33.809654000000002</v>
      </c>
    </row>
    <row r="4230" spans="1:3" x14ac:dyDescent="0.25">
      <c r="A4230" t="s">
        <v>11</v>
      </c>
      <c r="B4230" s="1">
        <v>44873</v>
      </c>
      <c r="C4230">
        <v>33.866798000000003</v>
      </c>
    </row>
    <row r="4231" spans="1:3" x14ac:dyDescent="0.25">
      <c r="A4231" t="s">
        <v>11</v>
      </c>
      <c r="B4231" s="1">
        <v>44874</v>
      </c>
      <c r="C4231">
        <v>33.762034999999997</v>
      </c>
    </row>
    <row r="4232" spans="1:3" x14ac:dyDescent="0.25">
      <c r="A4232" t="s">
        <v>11</v>
      </c>
      <c r="B4232" s="1">
        <v>44875</v>
      </c>
      <c r="C4232">
        <v>33.276318000000003</v>
      </c>
    </row>
    <row r="4233" spans="1:3" x14ac:dyDescent="0.25">
      <c r="A4233" t="s">
        <v>11</v>
      </c>
      <c r="B4233" s="1">
        <v>44876</v>
      </c>
      <c r="C4233">
        <v>32.590603000000002</v>
      </c>
    </row>
    <row r="4234" spans="1:3" x14ac:dyDescent="0.25">
      <c r="A4234" t="s">
        <v>11</v>
      </c>
      <c r="B4234" s="1">
        <v>44879</v>
      </c>
      <c r="C4234">
        <v>32.390602000000001</v>
      </c>
    </row>
    <row r="4235" spans="1:3" x14ac:dyDescent="0.25">
      <c r="A4235" t="s">
        <v>11</v>
      </c>
      <c r="B4235" s="1">
        <v>44880</v>
      </c>
      <c r="C4235">
        <v>32.533459000000001</v>
      </c>
    </row>
    <row r="4236" spans="1:3" x14ac:dyDescent="0.25">
      <c r="A4236" t="s">
        <v>11</v>
      </c>
      <c r="B4236" s="1">
        <v>44881</v>
      </c>
      <c r="C4236">
        <v>32.990603999999998</v>
      </c>
    </row>
    <row r="4237" spans="1:3" x14ac:dyDescent="0.25">
      <c r="A4237" t="s">
        <v>11</v>
      </c>
      <c r="B4237" s="1">
        <v>44882</v>
      </c>
      <c r="C4237">
        <v>32.54298</v>
      </c>
    </row>
    <row r="4238" spans="1:3" x14ac:dyDescent="0.25">
      <c r="A4238" t="s">
        <v>11</v>
      </c>
      <c r="B4238" s="1">
        <v>44883</v>
      </c>
      <c r="C4238">
        <v>32.781075000000001</v>
      </c>
    </row>
    <row r="4239" spans="1:3" x14ac:dyDescent="0.25">
      <c r="A4239" t="s">
        <v>11</v>
      </c>
      <c r="B4239" s="1">
        <v>44886</v>
      </c>
      <c r="C4239">
        <v>32.723934</v>
      </c>
    </row>
    <row r="4240" spans="1:3" x14ac:dyDescent="0.25">
      <c r="A4240" t="s">
        <v>11</v>
      </c>
      <c r="B4240" s="1">
        <v>44887</v>
      </c>
      <c r="C4240">
        <v>33.000129999999999</v>
      </c>
    </row>
    <row r="4241" spans="1:3" x14ac:dyDescent="0.25">
      <c r="A4241" t="s">
        <v>11</v>
      </c>
      <c r="B4241" s="1">
        <v>44888</v>
      </c>
      <c r="C4241">
        <v>33.085842</v>
      </c>
    </row>
    <row r="4242" spans="1:3" x14ac:dyDescent="0.25">
      <c r="A4242" t="s">
        <v>11</v>
      </c>
      <c r="B4242" s="1">
        <v>44889</v>
      </c>
      <c r="C4242">
        <v>32.914413000000003</v>
      </c>
    </row>
    <row r="4243" spans="1:3" x14ac:dyDescent="0.25">
      <c r="A4243" t="s">
        <v>11</v>
      </c>
      <c r="B4243" s="1">
        <v>44890</v>
      </c>
      <c r="C4243">
        <v>33.038218999999998</v>
      </c>
    </row>
    <row r="4244" spans="1:3" x14ac:dyDescent="0.25">
      <c r="A4244" t="s">
        <v>11</v>
      </c>
      <c r="B4244" s="1">
        <v>44893</v>
      </c>
      <c r="C4244">
        <v>32.533459000000001</v>
      </c>
    </row>
    <row r="4245" spans="1:3" x14ac:dyDescent="0.25">
      <c r="A4245" t="s">
        <v>11</v>
      </c>
      <c r="B4245" s="1">
        <v>44894</v>
      </c>
      <c r="C4245">
        <v>33.009650999999998</v>
      </c>
    </row>
    <row r="4246" spans="1:3" x14ac:dyDescent="0.25">
      <c r="A4246" t="s">
        <v>11</v>
      </c>
      <c r="B4246" s="1">
        <v>44895</v>
      </c>
      <c r="C4246">
        <v>33.304893</v>
      </c>
    </row>
    <row r="4247" spans="1:3" x14ac:dyDescent="0.25">
      <c r="A4247" t="s">
        <v>11</v>
      </c>
      <c r="B4247" s="1">
        <v>44896</v>
      </c>
      <c r="C4247">
        <v>33.600127999999998</v>
      </c>
    </row>
    <row r="4248" spans="1:3" x14ac:dyDescent="0.25">
      <c r="A4248" t="s">
        <v>11</v>
      </c>
      <c r="B4248" s="1">
        <v>44897</v>
      </c>
      <c r="C4248">
        <v>33.638226000000003</v>
      </c>
    </row>
    <row r="4249" spans="1:3" x14ac:dyDescent="0.25">
      <c r="A4249" t="s">
        <v>11</v>
      </c>
      <c r="B4249" s="1">
        <v>44900</v>
      </c>
      <c r="C4249">
        <v>33.923938999999997</v>
      </c>
    </row>
    <row r="4250" spans="1:3" x14ac:dyDescent="0.25">
      <c r="A4250" t="s">
        <v>11</v>
      </c>
      <c r="B4250" s="1">
        <v>44902</v>
      </c>
      <c r="C4250">
        <v>34.133465000000001</v>
      </c>
    </row>
    <row r="4251" spans="1:3" x14ac:dyDescent="0.25">
      <c r="A4251" t="s">
        <v>11</v>
      </c>
      <c r="B4251" s="1">
        <v>44903</v>
      </c>
      <c r="C4251">
        <v>34.190609000000002</v>
      </c>
    </row>
    <row r="4252" spans="1:3" x14ac:dyDescent="0.25">
      <c r="A4252" t="s">
        <v>11</v>
      </c>
      <c r="B4252" s="1">
        <v>44904</v>
      </c>
      <c r="C4252">
        <v>35.190612999999999</v>
      </c>
    </row>
    <row r="4253" spans="1:3" x14ac:dyDescent="0.25">
      <c r="A4253" t="s">
        <v>11</v>
      </c>
      <c r="B4253" s="1">
        <v>44907</v>
      </c>
      <c r="C4253">
        <v>34.638229000000003</v>
      </c>
    </row>
    <row r="4254" spans="1:3" x14ac:dyDescent="0.25">
      <c r="A4254" t="s">
        <v>11</v>
      </c>
      <c r="B4254" s="1">
        <v>44908</v>
      </c>
      <c r="C4254">
        <v>34.485847</v>
      </c>
    </row>
    <row r="4255" spans="1:3" x14ac:dyDescent="0.25">
      <c r="A4255" t="s">
        <v>11</v>
      </c>
      <c r="B4255" s="1">
        <v>44909</v>
      </c>
      <c r="C4255">
        <v>34.742992000000001</v>
      </c>
    </row>
    <row r="4256" spans="1:3" x14ac:dyDescent="0.25">
      <c r="A4256" t="s">
        <v>11</v>
      </c>
      <c r="B4256" s="1">
        <v>44910</v>
      </c>
      <c r="C4256">
        <v>33.428699000000002</v>
      </c>
    </row>
    <row r="4257" spans="1:3" x14ac:dyDescent="0.25">
      <c r="A4257" t="s">
        <v>11</v>
      </c>
      <c r="B4257" s="1">
        <v>44911</v>
      </c>
      <c r="C4257">
        <v>33.200130000000001</v>
      </c>
    </row>
    <row r="4258" spans="1:3" x14ac:dyDescent="0.25">
      <c r="A4258" t="s">
        <v>11</v>
      </c>
      <c r="B4258" s="1">
        <v>44914</v>
      </c>
      <c r="C4258">
        <v>33.457275000000003</v>
      </c>
    </row>
    <row r="4259" spans="1:3" x14ac:dyDescent="0.25">
      <c r="A4259" t="s">
        <v>11</v>
      </c>
      <c r="B4259" s="1">
        <v>44915</v>
      </c>
      <c r="C4259">
        <v>33.657271999999999</v>
      </c>
    </row>
    <row r="4260" spans="1:3" x14ac:dyDescent="0.25">
      <c r="A4260" t="s">
        <v>11</v>
      </c>
      <c r="B4260" s="1">
        <v>44916</v>
      </c>
      <c r="C4260">
        <v>34.142986000000001</v>
      </c>
    </row>
    <row r="4261" spans="1:3" x14ac:dyDescent="0.25">
      <c r="A4261" t="s">
        <v>11</v>
      </c>
      <c r="B4261" s="1">
        <v>44917</v>
      </c>
      <c r="C4261">
        <v>34.133465000000001</v>
      </c>
    </row>
    <row r="4262" spans="1:3" x14ac:dyDescent="0.25">
      <c r="A4262" t="s">
        <v>11</v>
      </c>
      <c r="B4262" s="1">
        <v>44918</v>
      </c>
      <c r="C4262">
        <v>33.952514999999998</v>
      </c>
    </row>
    <row r="4263" spans="1:3" x14ac:dyDescent="0.25">
      <c r="A4263" t="s">
        <v>11</v>
      </c>
      <c r="B4263" s="1">
        <v>44922</v>
      </c>
      <c r="C4263">
        <v>33.942988999999997</v>
      </c>
    </row>
    <row r="4264" spans="1:3" x14ac:dyDescent="0.25">
      <c r="A4264" t="s">
        <v>11</v>
      </c>
      <c r="B4264" s="1">
        <v>44923</v>
      </c>
      <c r="C4264">
        <v>33.828704999999999</v>
      </c>
    </row>
    <row r="4265" spans="1:3" x14ac:dyDescent="0.25">
      <c r="A4265" t="s">
        <v>11</v>
      </c>
      <c r="B4265" s="1">
        <v>44924</v>
      </c>
      <c r="C4265">
        <v>33.476322000000003</v>
      </c>
    </row>
    <row r="4266" spans="1:3" x14ac:dyDescent="0.25">
      <c r="A4266" t="s">
        <v>11</v>
      </c>
      <c r="B4266" s="1">
        <v>44925</v>
      </c>
      <c r="C4266">
        <v>33.266795999999999</v>
      </c>
    </row>
    <row r="4267" spans="1:3" x14ac:dyDescent="0.25">
      <c r="A4267" t="s">
        <v>11</v>
      </c>
      <c r="B4267" s="1">
        <v>44928</v>
      </c>
      <c r="C4267">
        <v>34.085845999999997</v>
      </c>
    </row>
    <row r="4268" spans="1:3" x14ac:dyDescent="0.25">
      <c r="A4268" t="s">
        <v>11</v>
      </c>
      <c r="B4268" s="1">
        <v>44929</v>
      </c>
      <c r="C4268">
        <v>33.390610000000002</v>
      </c>
    </row>
    <row r="4269" spans="1:3" x14ac:dyDescent="0.25">
      <c r="A4269" t="s">
        <v>11</v>
      </c>
      <c r="B4269" s="1">
        <v>44930</v>
      </c>
      <c r="C4269">
        <v>32.790604000000002</v>
      </c>
    </row>
    <row r="4270" spans="1:3" x14ac:dyDescent="0.25">
      <c r="A4270" t="s">
        <v>11</v>
      </c>
      <c r="B4270" s="1">
        <v>44931</v>
      </c>
      <c r="C4270">
        <v>33.209651999999998</v>
      </c>
    </row>
    <row r="4271" spans="1:3" x14ac:dyDescent="0.25">
      <c r="A4271" t="s">
        <v>11</v>
      </c>
      <c r="B4271" s="1">
        <v>44935</v>
      </c>
      <c r="C4271">
        <v>33.371558999999998</v>
      </c>
    </row>
    <row r="4272" spans="1:3" x14ac:dyDescent="0.25">
      <c r="A4272" t="s">
        <v>11</v>
      </c>
      <c r="B4272" s="1">
        <v>44936</v>
      </c>
      <c r="C4272">
        <v>33.133465000000001</v>
      </c>
    </row>
    <row r="4273" spans="1:3" x14ac:dyDescent="0.25">
      <c r="A4273" t="s">
        <v>11</v>
      </c>
      <c r="B4273" s="1">
        <v>44937</v>
      </c>
      <c r="C4273">
        <v>32.695366</v>
      </c>
    </row>
    <row r="4274" spans="1:3" x14ac:dyDescent="0.25">
      <c r="A4274" t="s">
        <v>11</v>
      </c>
      <c r="B4274" s="1">
        <v>44938</v>
      </c>
      <c r="C4274">
        <v>32.962032000000001</v>
      </c>
    </row>
    <row r="4275" spans="1:3" x14ac:dyDescent="0.25">
      <c r="A4275" t="s">
        <v>11</v>
      </c>
      <c r="B4275" s="1">
        <v>44939</v>
      </c>
      <c r="C4275">
        <v>31.81917</v>
      </c>
    </row>
    <row r="4276" spans="1:3" x14ac:dyDescent="0.25">
      <c r="A4276" t="s">
        <v>11</v>
      </c>
      <c r="B4276" s="1">
        <v>44942</v>
      </c>
      <c r="C4276">
        <v>31.323931000000002</v>
      </c>
    </row>
    <row r="4277" spans="1:3" x14ac:dyDescent="0.25">
      <c r="A4277" t="s">
        <v>11</v>
      </c>
      <c r="B4277" s="1">
        <v>44943</v>
      </c>
      <c r="C4277">
        <v>31.295359000000001</v>
      </c>
    </row>
    <row r="4278" spans="1:3" x14ac:dyDescent="0.25">
      <c r="A4278" t="s">
        <v>11</v>
      </c>
      <c r="B4278" s="1">
        <v>44944</v>
      </c>
      <c r="C4278">
        <v>31.809649</v>
      </c>
    </row>
    <row r="4279" spans="1:3" x14ac:dyDescent="0.25">
      <c r="A4279" t="s">
        <v>11</v>
      </c>
      <c r="B4279" s="1">
        <v>44945</v>
      </c>
      <c r="C4279">
        <v>31.562024999999998</v>
      </c>
    </row>
    <row r="4280" spans="1:3" x14ac:dyDescent="0.25">
      <c r="A4280" t="s">
        <v>11</v>
      </c>
      <c r="B4280" s="1">
        <v>44946</v>
      </c>
      <c r="C4280">
        <v>31.63822</v>
      </c>
    </row>
    <row r="4281" spans="1:3" x14ac:dyDescent="0.25">
      <c r="A4281" t="s">
        <v>11</v>
      </c>
      <c r="B4281" s="1">
        <v>44949</v>
      </c>
      <c r="C4281">
        <v>32.095359999999999</v>
      </c>
    </row>
    <row r="4282" spans="1:3" x14ac:dyDescent="0.25">
      <c r="A4282" t="s">
        <v>11</v>
      </c>
      <c r="B4282" s="1">
        <v>44950</v>
      </c>
      <c r="C4282">
        <v>32.362029999999997</v>
      </c>
    </row>
    <row r="4283" spans="1:3" x14ac:dyDescent="0.25">
      <c r="A4283" t="s">
        <v>11</v>
      </c>
      <c r="B4283" s="1">
        <v>44951</v>
      </c>
      <c r="C4283">
        <v>31.923933000000002</v>
      </c>
    </row>
    <row r="4284" spans="1:3" x14ac:dyDescent="0.25">
      <c r="A4284" t="s">
        <v>11</v>
      </c>
      <c r="B4284" s="1">
        <v>44952</v>
      </c>
      <c r="C4284">
        <v>31.809649</v>
      </c>
    </row>
    <row r="4285" spans="1:3" x14ac:dyDescent="0.25">
      <c r="A4285" t="s">
        <v>11</v>
      </c>
      <c r="B4285" s="1">
        <v>44953</v>
      </c>
      <c r="C4285">
        <v>31.63822</v>
      </c>
    </row>
    <row r="4286" spans="1:3" x14ac:dyDescent="0.25">
      <c r="A4286" t="s">
        <v>11</v>
      </c>
      <c r="B4286" s="1">
        <v>44956</v>
      </c>
      <c r="C4286">
        <v>31.666788</v>
      </c>
    </row>
    <row r="4287" spans="1:3" x14ac:dyDescent="0.25">
      <c r="A4287" t="s">
        <v>11</v>
      </c>
      <c r="B4287" s="1">
        <v>44957</v>
      </c>
      <c r="C4287">
        <v>31.666788</v>
      </c>
    </row>
    <row r="4288" spans="1:3" x14ac:dyDescent="0.25">
      <c r="A4288" t="s">
        <v>11</v>
      </c>
      <c r="B4288" s="1">
        <v>44958</v>
      </c>
      <c r="C4288">
        <v>32.238216000000001</v>
      </c>
    </row>
    <row r="4289" spans="1:3" x14ac:dyDescent="0.25">
      <c r="A4289" t="s">
        <v>11</v>
      </c>
      <c r="B4289" s="1">
        <v>44959</v>
      </c>
      <c r="C4289">
        <v>32.438220999999999</v>
      </c>
    </row>
    <row r="4290" spans="1:3" x14ac:dyDescent="0.25">
      <c r="A4290" t="s">
        <v>11</v>
      </c>
      <c r="B4290" s="1">
        <v>44960</v>
      </c>
      <c r="C4290">
        <v>33.162033000000001</v>
      </c>
    </row>
    <row r="4291" spans="1:3" x14ac:dyDescent="0.25">
      <c r="A4291" t="s">
        <v>11</v>
      </c>
      <c r="B4291" s="1">
        <v>44963</v>
      </c>
      <c r="C4291">
        <v>32.923935</v>
      </c>
    </row>
    <row r="4292" spans="1:3" x14ac:dyDescent="0.25">
      <c r="A4292" t="s">
        <v>11</v>
      </c>
      <c r="B4292" s="1">
        <v>44964</v>
      </c>
      <c r="C4292">
        <v>33.695369999999997</v>
      </c>
    </row>
    <row r="4293" spans="1:3" x14ac:dyDescent="0.25">
      <c r="A4293" t="s">
        <v>11</v>
      </c>
      <c r="B4293" s="1">
        <v>44965</v>
      </c>
      <c r="C4293">
        <v>33.428699000000002</v>
      </c>
    </row>
    <row r="4294" spans="1:3" x14ac:dyDescent="0.25">
      <c r="A4294" t="s">
        <v>11</v>
      </c>
      <c r="B4294" s="1">
        <v>44966</v>
      </c>
      <c r="C4294">
        <v>33.428699000000002</v>
      </c>
    </row>
    <row r="4295" spans="1:3" x14ac:dyDescent="0.25">
      <c r="A4295" t="s">
        <v>11</v>
      </c>
      <c r="B4295" s="1">
        <v>44967</v>
      </c>
      <c r="C4295">
        <v>32.733459000000003</v>
      </c>
    </row>
    <row r="4296" spans="1:3" x14ac:dyDescent="0.25">
      <c r="A4296" t="s">
        <v>11</v>
      </c>
      <c r="B4296" s="1">
        <v>44970</v>
      </c>
      <c r="C4296">
        <v>33.419178000000002</v>
      </c>
    </row>
    <row r="4297" spans="1:3" x14ac:dyDescent="0.25">
      <c r="A4297" t="s">
        <v>11</v>
      </c>
      <c r="B4297" s="1">
        <v>44971</v>
      </c>
      <c r="C4297">
        <v>33.209651999999998</v>
      </c>
    </row>
    <row r="4298" spans="1:3" x14ac:dyDescent="0.25">
      <c r="A4298" t="s">
        <v>11</v>
      </c>
      <c r="B4298" s="1">
        <v>44972</v>
      </c>
      <c r="C4298">
        <v>32.771557000000001</v>
      </c>
    </row>
    <row r="4299" spans="1:3" x14ac:dyDescent="0.25">
      <c r="A4299" t="s">
        <v>11</v>
      </c>
      <c r="B4299" s="1">
        <v>44973</v>
      </c>
      <c r="C4299">
        <v>32.628695999999998</v>
      </c>
    </row>
    <row r="4300" spans="1:3" x14ac:dyDescent="0.25">
      <c r="A4300" t="s">
        <v>11</v>
      </c>
      <c r="B4300" s="1">
        <v>44974</v>
      </c>
      <c r="C4300">
        <v>32.438220999999999</v>
      </c>
    </row>
    <row r="4301" spans="1:3" x14ac:dyDescent="0.25">
      <c r="A4301" t="s">
        <v>11</v>
      </c>
      <c r="B4301" s="1">
        <v>44977</v>
      </c>
      <c r="C4301">
        <v>32.838219000000002</v>
      </c>
    </row>
    <row r="4302" spans="1:3" x14ac:dyDescent="0.25">
      <c r="A4302" t="s">
        <v>11</v>
      </c>
      <c r="B4302" s="1">
        <v>44978</v>
      </c>
      <c r="C4302">
        <v>32.581077999999998</v>
      </c>
    </row>
    <row r="4303" spans="1:3" x14ac:dyDescent="0.25">
      <c r="A4303" t="s">
        <v>11</v>
      </c>
      <c r="B4303" s="1">
        <v>44979</v>
      </c>
      <c r="C4303">
        <v>32.657268999999999</v>
      </c>
    </row>
    <row r="4304" spans="1:3" x14ac:dyDescent="0.25">
      <c r="A4304" t="s">
        <v>11</v>
      </c>
      <c r="B4304" s="1">
        <v>44980</v>
      </c>
      <c r="C4304">
        <v>32.095359999999999</v>
      </c>
    </row>
    <row r="4305" spans="1:3" x14ac:dyDescent="0.25">
      <c r="A4305" t="s">
        <v>11</v>
      </c>
      <c r="B4305" s="1">
        <v>44981</v>
      </c>
      <c r="C4305">
        <v>31.647741</v>
      </c>
    </row>
    <row r="4306" spans="1:3" x14ac:dyDescent="0.25">
      <c r="A4306" t="s">
        <v>11</v>
      </c>
      <c r="B4306" s="1">
        <v>44984</v>
      </c>
      <c r="C4306">
        <v>32.362029999999997</v>
      </c>
    </row>
    <row r="4307" spans="1:3" x14ac:dyDescent="0.25">
      <c r="A4307" t="s">
        <v>11</v>
      </c>
      <c r="B4307" s="1">
        <v>44985</v>
      </c>
      <c r="C4307">
        <v>32.676318999999999</v>
      </c>
    </row>
    <row r="4308" spans="1:3" x14ac:dyDescent="0.25">
      <c r="A4308" t="s">
        <v>11</v>
      </c>
      <c r="B4308" s="1">
        <v>44986</v>
      </c>
      <c r="C4308">
        <v>33.495365</v>
      </c>
    </row>
    <row r="4309" spans="1:3" x14ac:dyDescent="0.25">
      <c r="A4309" t="s">
        <v>11</v>
      </c>
      <c r="B4309" s="1">
        <v>44987</v>
      </c>
      <c r="C4309">
        <v>33.419178000000002</v>
      </c>
    </row>
    <row r="4310" spans="1:3" x14ac:dyDescent="0.25">
      <c r="A4310" t="s">
        <v>11</v>
      </c>
      <c r="B4310" s="1">
        <v>44988</v>
      </c>
      <c r="C4310">
        <v>33.676322999999996</v>
      </c>
    </row>
    <row r="4311" spans="1:3" x14ac:dyDescent="0.25">
      <c r="A4311" t="s">
        <v>11</v>
      </c>
      <c r="B4311" s="1">
        <v>44991</v>
      </c>
      <c r="C4311">
        <v>32.933464000000001</v>
      </c>
    </row>
    <row r="4312" spans="1:3" x14ac:dyDescent="0.25">
      <c r="A4312" t="s">
        <v>11</v>
      </c>
      <c r="B4312" s="1">
        <v>44992</v>
      </c>
      <c r="C4312">
        <v>32.600124000000001</v>
      </c>
    </row>
    <row r="4313" spans="1:3" x14ac:dyDescent="0.25">
      <c r="A4313" t="s">
        <v>11</v>
      </c>
      <c r="B4313" s="1">
        <v>44993</v>
      </c>
      <c r="C4313">
        <v>33.028697999999999</v>
      </c>
    </row>
    <row r="4314" spans="1:3" x14ac:dyDescent="0.25">
      <c r="A4314" t="s">
        <v>11</v>
      </c>
      <c r="B4314" s="1">
        <v>44994</v>
      </c>
      <c r="C4314">
        <v>32.438220999999999</v>
      </c>
    </row>
    <row r="4315" spans="1:3" x14ac:dyDescent="0.25">
      <c r="A4315" t="s">
        <v>11</v>
      </c>
      <c r="B4315" s="1">
        <v>44995</v>
      </c>
      <c r="C4315">
        <v>32.000121999999998</v>
      </c>
    </row>
    <row r="4316" spans="1:3" x14ac:dyDescent="0.25">
      <c r="A4316" t="s">
        <v>11</v>
      </c>
      <c r="B4316" s="1">
        <v>44998</v>
      </c>
      <c r="C4316">
        <v>31.362024000000002</v>
      </c>
    </row>
    <row r="4317" spans="1:3" x14ac:dyDescent="0.25">
      <c r="A4317" t="s">
        <v>11</v>
      </c>
      <c r="B4317" s="1">
        <v>44999</v>
      </c>
      <c r="C4317">
        <v>31.619168999999999</v>
      </c>
    </row>
    <row r="4318" spans="1:3" x14ac:dyDescent="0.25">
      <c r="A4318" t="s">
        <v>11</v>
      </c>
      <c r="B4318" s="1">
        <v>45000</v>
      </c>
      <c r="C4318">
        <v>31.114402999999999</v>
      </c>
    </row>
    <row r="4319" spans="1:3" x14ac:dyDescent="0.25">
      <c r="A4319" t="s">
        <v>11</v>
      </c>
      <c r="B4319" s="1">
        <v>45001</v>
      </c>
      <c r="C4319">
        <v>30.838215000000002</v>
      </c>
    </row>
    <row r="4320" spans="1:3" x14ac:dyDescent="0.25">
      <c r="A4320" t="s">
        <v>11</v>
      </c>
      <c r="B4320" s="1">
        <v>45002</v>
      </c>
      <c r="C4320">
        <v>29.76202</v>
      </c>
    </row>
    <row r="4321" spans="1:3" x14ac:dyDescent="0.25">
      <c r="A4321" t="s">
        <v>11</v>
      </c>
      <c r="B4321" s="1">
        <v>45005</v>
      </c>
      <c r="C4321">
        <v>29.809636999999999</v>
      </c>
    </row>
    <row r="4322" spans="1:3" x14ac:dyDescent="0.25">
      <c r="A4322" t="s">
        <v>11</v>
      </c>
      <c r="B4322" s="1">
        <v>45006</v>
      </c>
      <c r="C4322">
        <v>30.638211999999999</v>
      </c>
    </row>
    <row r="4323" spans="1:3" x14ac:dyDescent="0.25">
      <c r="A4323" t="s">
        <v>11</v>
      </c>
      <c r="B4323" s="1">
        <v>45007</v>
      </c>
      <c r="C4323">
        <v>30.038212000000001</v>
      </c>
    </row>
    <row r="4324" spans="1:3" x14ac:dyDescent="0.25">
      <c r="A4324" t="s">
        <v>11</v>
      </c>
      <c r="B4324" s="1">
        <v>45008</v>
      </c>
      <c r="C4324">
        <v>29.981068</v>
      </c>
    </row>
    <row r="4325" spans="1:3" x14ac:dyDescent="0.25">
      <c r="A4325" t="s">
        <v>11</v>
      </c>
      <c r="B4325" s="1">
        <v>45009</v>
      </c>
      <c r="C4325">
        <v>29.676306</v>
      </c>
    </row>
    <row r="4326" spans="1:3" x14ac:dyDescent="0.25">
      <c r="A4326" t="s">
        <v>11</v>
      </c>
      <c r="B4326" s="1">
        <v>45012</v>
      </c>
      <c r="C4326">
        <v>29.257256000000002</v>
      </c>
    </row>
    <row r="4327" spans="1:3" x14ac:dyDescent="0.25">
      <c r="A4327" t="s">
        <v>11</v>
      </c>
      <c r="B4327" s="1">
        <v>45013</v>
      </c>
      <c r="C4327">
        <v>29.285827999999999</v>
      </c>
    </row>
    <row r="4328" spans="1:3" x14ac:dyDescent="0.25">
      <c r="A4328" t="s">
        <v>11</v>
      </c>
      <c r="B4328" s="1">
        <v>45014</v>
      </c>
      <c r="C4328">
        <v>29.152494000000001</v>
      </c>
    </row>
    <row r="4329" spans="1:3" x14ac:dyDescent="0.25">
      <c r="A4329" t="s">
        <v>11</v>
      </c>
      <c r="B4329" s="1">
        <v>45015</v>
      </c>
      <c r="C4329">
        <v>29.542971000000001</v>
      </c>
    </row>
    <row r="4330" spans="1:3" x14ac:dyDescent="0.25">
      <c r="A4330" t="s">
        <v>11</v>
      </c>
      <c r="B4330" s="1">
        <v>45016</v>
      </c>
      <c r="C4330">
        <v>29.476305</v>
      </c>
    </row>
    <row r="4331" spans="1:3" x14ac:dyDescent="0.25">
      <c r="A4331" t="s">
        <v>11</v>
      </c>
      <c r="B4331" s="1">
        <v>45019</v>
      </c>
      <c r="C4331">
        <v>29.390591000000001</v>
      </c>
    </row>
    <row r="4332" spans="1:3" x14ac:dyDescent="0.25">
      <c r="A4332" t="s">
        <v>11</v>
      </c>
      <c r="B4332" s="1">
        <v>45020</v>
      </c>
      <c r="C4332">
        <v>29.419160999999999</v>
      </c>
    </row>
    <row r="4333" spans="1:3" x14ac:dyDescent="0.25">
      <c r="A4333" t="s">
        <v>11</v>
      </c>
      <c r="B4333" s="1">
        <v>45021</v>
      </c>
      <c r="C4333">
        <v>29.447732999999999</v>
      </c>
    </row>
    <row r="4334" spans="1:3" x14ac:dyDescent="0.25">
      <c r="A4334" t="s">
        <v>11</v>
      </c>
      <c r="B4334" s="1">
        <v>45022</v>
      </c>
      <c r="C4334">
        <v>29.447732999999999</v>
      </c>
    </row>
    <row r="4335" spans="1:3" x14ac:dyDescent="0.25">
      <c r="A4335" t="s">
        <v>11</v>
      </c>
      <c r="B4335" s="1">
        <v>45027</v>
      </c>
      <c r="C4335">
        <v>29.552496000000001</v>
      </c>
    </row>
    <row r="4336" spans="1:3" x14ac:dyDescent="0.25">
      <c r="A4336" t="s">
        <v>11</v>
      </c>
      <c r="B4336" s="1">
        <v>45028</v>
      </c>
      <c r="C4336">
        <v>28.723918999999999</v>
      </c>
    </row>
    <row r="4337" spans="1:3" x14ac:dyDescent="0.25">
      <c r="A4337" t="s">
        <v>11</v>
      </c>
      <c r="B4337" s="1">
        <v>45029</v>
      </c>
      <c r="C4337">
        <v>28.919253999999999</v>
      </c>
    </row>
    <row r="4338" spans="1:3" x14ac:dyDescent="0.25">
      <c r="A4338" t="s">
        <v>11</v>
      </c>
      <c r="B4338" s="1">
        <v>45030</v>
      </c>
      <c r="C4338">
        <v>28.411384999999999</v>
      </c>
    </row>
    <row r="4339" spans="1:3" x14ac:dyDescent="0.25">
      <c r="A4339" t="s">
        <v>11</v>
      </c>
      <c r="B4339" s="1">
        <v>45033</v>
      </c>
      <c r="C4339">
        <v>29.016919999999999</v>
      </c>
    </row>
    <row r="4340" spans="1:3" x14ac:dyDescent="0.25">
      <c r="A4340" t="s">
        <v>11</v>
      </c>
      <c r="B4340" s="1">
        <v>45034</v>
      </c>
      <c r="C4340">
        <v>29.261088999999998</v>
      </c>
    </row>
    <row r="4341" spans="1:3" x14ac:dyDescent="0.25">
      <c r="A4341" t="s">
        <v>11</v>
      </c>
      <c r="B4341" s="1">
        <v>45035</v>
      </c>
      <c r="C4341">
        <v>29.270855000000001</v>
      </c>
    </row>
    <row r="4342" spans="1:3" x14ac:dyDescent="0.25">
      <c r="A4342" t="s">
        <v>11</v>
      </c>
      <c r="B4342" s="1">
        <v>45036</v>
      </c>
      <c r="C4342">
        <v>29.085289</v>
      </c>
    </row>
    <row r="4343" spans="1:3" x14ac:dyDescent="0.25">
      <c r="A4343" t="s">
        <v>11</v>
      </c>
      <c r="B4343" s="1">
        <v>45037</v>
      </c>
      <c r="C4343">
        <v>28.948553</v>
      </c>
    </row>
    <row r="4344" spans="1:3" x14ac:dyDescent="0.25">
      <c r="A4344" t="s">
        <v>11</v>
      </c>
      <c r="B4344" s="1">
        <v>45040</v>
      </c>
      <c r="C4344">
        <v>29.231788999999999</v>
      </c>
    </row>
    <row r="4345" spans="1:3" x14ac:dyDescent="0.25">
      <c r="A4345" t="s">
        <v>11</v>
      </c>
      <c r="B4345" s="1">
        <v>45041</v>
      </c>
      <c r="C4345">
        <v>28.704386</v>
      </c>
    </row>
    <row r="4346" spans="1:3" x14ac:dyDescent="0.25">
      <c r="A4346" t="s">
        <v>11</v>
      </c>
      <c r="B4346" s="1">
        <v>45042</v>
      </c>
      <c r="C4346">
        <v>27.874216000000001</v>
      </c>
    </row>
    <row r="4347" spans="1:3" x14ac:dyDescent="0.25">
      <c r="A4347" t="s">
        <v>11</v>
      </c>
      <c r="B4347" s="1">
        <v>45043</v>
      </c>
      <c r="C4347">
        <v>28.167217000000001</v>
      </c>
    </row>
    <row r="4348" spans="1:3" x14ac:dyDescent="0.25">
      <c r="A4348" t="s">
        <v>11</v>
      </c>
      <c r="B4348" s="1">
        <v>45044</v>
      </c>
      <c r="C4348">
        <v>28.225816999999999</v>
      </c>
    </row>
    <row r="4349" spans="1:3" x14ac:dyDescent="0.25">
      <c r="A4349" t="s">
        <v>11</v>
      </c>
      <c r="B4349" s="1">
        <v>45048</v>
      </c>
      <c r="C4349">
        <v>28.421151999999999</v>
      </c>
    </row>
    <row r="4350" spans="1:3" x14ac:dyDescent="0.25">
      <c r="A4350" t="s">
        <v>11</v>
      </c>
      <c r="B4350" s="1">
        <v>45049</v>
      </c>
      <c r="C4350">
        <v>28.987621000000001</v>
      </c>
    </row>
    <row r="4351" spans="1:3" x14ac:dyDescent="0.25">
      <c r="A4351" t="s">
        <v>11</v>
      </c>
      <c r="B4351" s="1">
        <v>45050</v>
      </c>
      <c r="C4351">
        <v>28.958321000000002</v>
      </c>
    </row>
    <row r="4352" spans="1:3" x14ac:dyDescent="0.25">
      <c r="A4352" t="s">
        <v>11</v>
      </c>
      <c r="B4352" s="1">
        <v>45051</v>
      </c>
      <c r="C4352">
        <v>29.456423000000001</v>
      </c>
    </row>
    <row r="4353" spans="1:3" x14ac:dyDescent="0.25">
      <c r="A4353" t="s">
        <v>11</v>
      </c>
      <c r="B4353" s="1">
        <v>45054</v>
      </c>
      <c r="C4353">
        <v>29.729893000000001</v>
      </c>
    </row>
    <row r="4354" spans="1:3" x14ac:dyDescent="0.25">
      <c r="A4354" t="s">
        <v>11</v>
      </c>
      <c r="B4354" s="1">
        <v>45055</v>
      </c>
      <c r="C4354">
        <v>29.348989</v>
      </c>
    </row>
    <row r="4355" spans="1:3" x14ac:dyDescent="0.25">
      <c r="A4355" t="s">
        <v>11</v>
      </c>
      <c r="B4355" s="1">
        <v>45056</v>
      </c>
      <c r="C4355">
        <v>29.593157000000001</v>
      </c>
    </row>
    <row r="4356" spans="1:3" x14ac:dyDescent="0.25">
      <c r="A4356" t="s">
        <v>11</v>
      </c>
      <c r="B4356" s="1">
        <v>45057</v>
      </c>
      <c r="C4356">
        <v>29.573626000000001</v>
      </c>
    </row>
    <row r="4357" spans="1:3" x14ac:dyDescent="0.25">
      <c r="A4357" t="s">
        <v>11</v>
      </c>
      <c r="B4357" s="1">
        <v>45058</v>
      </c>
      <c r="C4357">
        <v>28.831354000000001</v>
      </c>
    </row>
    <row r="4358" spans="1:3" x14ac:dyDescent="0.25">
      <c r="A4358" t="s">
        <v>11</v>
      </c>
      <c r="B4358" s="1">
        <v>45061</v>
      </c>
      <c r="C4358">
        <v>28.665319</v>
      </c>
    </row>
    <row r="4359" spans="1:3" x14ac:dyDescent="0.25">
      <c r="A4359" t="s">
        <v>11</v>
      </c>
      <c r="B4359" s="1">
        <v>45062</v>
      </c>
      <c r="C4359">
        <v>28.811820999999998</v>
      </c>
    </row>
    <row r="4360" spans="1:3" x14ac:dyDescent="0.25">
      <c r="A4360" t="s">
        <v>11</v>
      </c>
      <c r="B4360" s="1">
        <v>45063</v>
      </c>
      <c r="C4360">
        <v>28.030483</v>
      </c>
    </row>
    <row r="4361" spans="1:3" x14ac:dyDescent="0.25">
      <c r="A4361" t="s">
        <v>11</v>
      </c>
      <c r="B4361" s="1">
        <v>45065</v>
      </c>
      <c r="C4361">
        <v>28.684854999999999</v>
      </c>
    </row>
    <row r="4362" spans="1:3" x14ac:dyDescent="0.25">
      <c r="A4362" t="s">
        <v>11</v>
      </c>
      <c r="B4362" s="1">
        <v>45068</v>
      </c>
      <c r="C4362">
        <v>28.548119</v>
      </c>
    </row>
    <row r="4363" spans="1:3" x14ac:dyDescent="0.25">
      <c r="A4363" t="s">
        <v>11</v>
      </c>
      <c r="B4363" s="1">
        <v>45069</v>
      </c>
      <c r="C4363">
        <v>29.095057000000001</v>
      </c>
    </row>
    <row r="4364" spans="1:3" x14ac:dyDescent="0.25">
      <c r="A4364" t="s">
        <v>11</v>
      </c>
      <c r="B4364" s="1">
        <v>45070</v>
      </c>
      <c r="C4364">
        <v>28.802053000000001</v>
      </c>
    </row>
    <row r="4365" spans="1:3" x14ac:dyDescent="0.25">
      <c r="A4365" t="s">
        <v>11</v>
      </c>
      <c r="B4365" s="1">
        <v>45071</v>
      </c>
      <c r="C4365">
        <v>28.440684999999998</v>
      </c>
    </row>
    <row r="4366" spans="1:3" x14ac:dyDescent="0.25">
      <c r="A4366" t="s">
        <v>11</v>
      </c>
      <c r="B4366" s="1">
        <v>45072</v>
      </c>
      <c r="C4366">
        <v>28.723918999999999</v>
      </c>
    </row>
    <row r="4367" spans="1:3" x14ac:dyDescent="0.25">
      <c r="A4367" t="s">
        <v>11</v>
      </c>
      <c r="B4367" s="1">
        <v>45075</v>
      </c>
      <c r="C4367">
        <v>28.743454</v>
      </c>
    </row>
    <row r="4368" spans="1:3" x14ac:dyDescent="0.25">
      <c r="A4368" t="s">
        <v>11</v>
      </c>
      <c r="B4368" s="1">
        <v>45076</v>
      </c>
      <c r="C4368">
        <v>28.245349999999998</v>
      </c>
    </row>
    <row r="4369" spans="1:3" x14ac:dyDescent="0.25">
      <c r="A4369" t="s">
        <v>11</v>
      </c>
      <c r="B4369" s="1">
        <v>45077</v>
      </c>
      <c r="C4369">
        <v>27.415178000000001</v>
      </c>
    </row>
    <row r="4370" spans="1:3" x14ac:dyDescent="0.25">
      <c r="A4370" t="s">
        <v>11</v>
      </c>
      <c r="B4370" s="1">
        <v>45078</v>
      </c>
      <c r="C4370">
        <v>27.346813000000001</v>
      </c>
    </row>
    <row r="4371" spans="1:3" x14ac:dyDescent="0.25">
      <c r="A4371" t="s">
        <v>11</v>
      </c>
      <c r="B4371" s="1">
        <v>45079</v>
      </c>
      <c r="C4371">
        <v>27.971882000000001</v>
      </c>
    </row>
    <row r="4372" spans="1:3" x14ac:dyDescent="0.25">
      <c r="A4372" t="s">
        <v>11</v>
      </c>
      <c r="B4372" s="1">
        <v>45082</v>
      </c>
      <c r="C4372">
        <v>28.411384999999999</v>
      </c>
    </row>
    <row r="4373" spans="1:3" x14ac:dyDescent="0.25">
      <c r="A4373" t="s">
        <v>11</v>
      </c>
      <c r="B4373" s="1">
        <v>45083</v>
      </c>
      <c r="C4373">
        <v>29.046220999999999</v>
      </c>
    </row>
    <row r="4374" spans="1:3" x14ac:dyDescent="0.25">
      <c r="A4374" t="s">
        <v>11</v>
      </c>
      <c r="B4374" s="1">
        <v>45084</v>
      </c>
      <c r="C4374">
        <v>28.684854999999999</v>
      </c>
    </row>
    <row r="4375" spans="1:3" x14ac:dyDescent="0.25">
      <c r="A4375" t="s">
        <v>11</v>
      </c>
      <c r="B4375" s="1">
        <v>45085</v>
      </c>
      <c r="C4375">
        <v>28.958321000000002</v>
      </c>
    </row>
    <row r="4376" spans="1:3" x14ac:dyDescent="0.25">
      <c r="A4376" t="s">
        <v>11</v>
      </c>
      <c r="B4376" s="1">
        <v>45086</v>
      </c>
      <c r="C4376">
        <v>29.153656000000002</v>
      </c>
    </row>
    <row r="4377" spans="1:3" x14ac:dyDescent="0.25">
      <c r="A4377" t="s">
        <v>11</v>
      </c>
      <c r="B4377" s="1">
        <v>45089</v>
      </c>
      <c r="C4377">
        <v>28.831354000000001</v>
      </c>
    </row>
    <row r="4378" spans="1:3" x14ac:dyDescent="0.25">
      <c r="A4378" t="s">
        <v>11</v>
      </c>
      <c r="B4378" s="1">
        <v>45090</v>
      </c>
      <c r="C4378">
        <v>28.821587000000001</v>
      </c>
    </row>
    <row r="4379" spans="1:3" x14ac:dyDescent="0.25">
      <c r="A4379" t="s">
        <v>11</v>
      </c>
      <c r="B4379" s="1">
        <v>45091</v>
      </c>
      <c r="C4379">
        <v>29.173189000000001</v>
      </c>
    </row>
    <row r="4380" spans="1:3" x14ac:dyDescent="0.25">
      <c r="A4380" t="s">
        <v>11</v>
      </c>
      <c r="B4380" s="1">
        <v>45092</v>
      </c>
      <c r="C4380">
        <v>28.889953999999999</v>
      </c>
    </row>
    <row r="4381" spans="1:3" x14ac:dyDescent="0.25">
      <c r="A4381" t="s">
        <v>11</v>
      </c>
      <c r="B4381" s="1">
        <v>45093</v>
      </c>
      <c r="C4381">
        <v>28.665319</v>
      </c>
    </row>
    <row r="4382" spans="1:3" x14ac:dyDescent="0.25">
      <c r="A4382" t="s">
        <v>11</v>
      </c>
      <c r="B4382" s="1">
        <v>45096</v>
      </c>
      <c r="C4382">
        <v>28.372316000000001</v>
      </c>
    </row>
    <row r="4383" spans="1:3" x14ac:dyDescent="0.25">
      <c r="A4383" t="s">
        <v>11</v>
      </c>
      <c r="B4383" s="1">
        <v>45097</v>
      </c>
      <c r="C4383">
        <v>27.620280999999999</v>
      </c>
    </row>
    <row r="4384" spans="1:3" x14ac:dyDescent="0.25">
      <c r="A4384" t="s">
        <v>11</v>
      </c>
      <c r="B4384" s="1">
        <v>45098</v>
      </c>
      <c r="C4384">
        <v>26.809643000000001</v>
      </c>
    </row>
    <row r="4385" spans="1:3" x14ac:dyDescent="0.25">
      <c r="A4385" t="s">
        <v>11</v>
      </c>
      <c r="B4385" s="1">
        <v>45099</v>
      </c>
      <c r="C4385">
        <v>26.526406999999999</v>
      </c>
    </row>
    <row r="4386" spans="1:3" x14ac:dyDescent="0.25">
      <c r="A4386" t="s">
        <v>11</v>
      </c>
      <c r="B4386" s="1">
        <v>45103</v>
      </c>
      <c r="C4386">
        <v>26.604541999999999</v>
      </c>
    </row>
    <row r="4387" spans="1:3" x14ac:dyDescent="0.25">
      <c r="A4387" t="s">
        <v>11</v>
      </c>
      <c r="B4387" s="1">
        <v>45104</v>
      </c>
      <c r="C4387">
        <v>26.653376000000002</v>
      </c>
    </row>
    <row r="4388" spans="1:3" x14ac:dyDescent="0.25">
      <c r="A4388" t="s">
        <v>11</v>
      </c>
      <c r="B4388" s="1">
        <v>45105</v>
      </c>
      <c r="C4388">
        <v>26.555707999999999</v>
      </c>
    </row>
    <row r="4389" spans="1:3" x14ac:dyDescent="0.25">
      <c r="A4389" t="s">
        <v>11</v>
      </c>
      <c r="B4389" s="1">
        <v>45106</v>
      </c>
      <c r="C4389">
        <v>26.526406999999999</v>
      </c>
    </row>
    <row r="4390" spans="1:3" x14ac:dyDescent="0.25">
      <c r="A4390" t="s">
        <v>11</v>
      </c>
      <c r="B4390" s="1">
        <v>45107</v>
      </c>
      <c r="C4390">
        <v>26.633842000000001</v>
      </c>
    </row>
    <row r="4391" spans="1:3" x14ac:dyDescent="0.25">
      <c r="A4391" t="s">
        <v>11</v>
      </c>
      <c r="B4391" s="1">
        <v>45110</v>
      </c>
      <c r="C4391">
        <v>27.092877999999999</v>
      </c>
    </row>
    <row r="4392" spans="1:3" x14ac:dyDescent="0.25">
      <c r="A4392" t="s">
        <v>11</v>
      </c>
      <c r="B4392" s="1">
        <v>45111</v>
      </c>
      <c r="C4392">
        <v>27.532381000000001</v>
      </c>
    </row>
    <row r="4393" spans="1:3" x14ac:dyDescent="0.25">
      <c r="A4393" t="s">
        <v>11</v>
      </c>
      <c r="B4393" s="1">
        <v>45112</v>
      </c>
      <c r="C4393">
        <v>27.356579</v>
      </c>
    </row>
    <row r="4394" spans="1:3" x14ac:dyDescent="0.25">
      <c r="A4394" t="s">
        <v>11</v>
      </c>
      <c r="B4394" s="1">
        <v>45113</v>
      </c>
      <c r="C4394">
        <v>26.633842000000001</v>
      </c>
    </row>
    <row r="4395" spans="1:3" x14ac:dyDescent="0.25">
      <c r="A4395" t="s">
        <v>11</v>
      </c>
      <c r="B4395" s="1">
        <v>45114</v>
      </c>
      <c r="C4395">
        <v>27.053812000000001</v>
      </c>
    </row>
    <row r="4396" spans="1:3" x14ac:dyDescent="0.25">
      <c r="A4396" t="s">
        <v>11</v>
      </c>
      <c r="B4396" s="1">
        <v>45117</v>
      </c>
      <c r="C4396">
        <v>27.014744</v>
      </c>
    </row>
    <row r="4397" spans="1:3" x14ac:dyDescent="0.25">
      <c r="A4397" t="s">
        <v>11</v>
      </c>
      <c r="B4397" s="1">
        <v>45118</v>
      </c>
      <c r="C4397">
        <v>27.512846</v>
      </c>
    </row>
    <row r="4398" spans="1:3" x14ac:dyDescent="0.25">
      <c r="A4398" t="s">
        <v>11</v>
      </c>
      <c r="B4398" s="1">
        <v>45119</v>
      </c>
      <c r="C4398">
        <v>28.196518000000001</v>
      </c>
    </row>
    <row r="4399" spans="1:3" x14ac:dyDescent="0.25">
      <c r="A4399" t="s">
        <v>11</v>
      </c>
      <c r="B4399" s="1">
        <v>45120</v>
      </c>
      <c r="C4399">
        <v>28.333252000000002</v>
      </c>
    </row>
    <row r="4400" spans="1:3" x14ac:dyDescent="0.25">
      <c r="A4400" t="s">
        <v>11</v>
      </c>
      <c r="B4400" s="1">
        <v>45121</v>
      </c>
      <c r="C4400">
        <v>28.274650999999999</v>
      </c>
    </row>
    <row r="4401" spans="1:3" x14ac:dyDescent="0.25">
      <c r="A4401" t="s">
        <v>11</v>
      </c>
      <c r="B4401" s="1">
        <v>45124</v>
      </c>
      <c r="C4401">
        <v>27.883982</v>
      </c>
    </row>
    <row r="4402" spans="1:3" x14ac:dyDescent="0.25">
      <c r="A4402" t="s">
        <v>11</v>
      </c>
      <c r="B4402" s="1">
        <v>45125</v>
      </c>
      <c r="C4402">
        <v>28.030483</v>
      </c>
    </row>
    <row r="4403" spans="1:3" x14ac:dyDescent="0.25">
      <c r="A4403" t="s">
        <v>11</v>
      </c>
      <c r="B4403" s="1">
        <v>45126</v>
      </c>
      <c r="C4403">
        <v>28.284416</v>
      </c>
    </row>
    <row r="4404" spans="1:3" x14ac:dyDescent="0.25">
      <c r="A4404" t="s">
        <v>11</v>
      </c>
      <c r="B4404" s="1">
        <v>45127</v>
      </c>
      <c r="C4404">
        <v>28.450451000000001</v>
      </c>
    </row>
    <row r="4405" spans="1:3" x14ac:dyDescent="0.25">
      <c r="A4405" t="s">
        <v>11</v>
      </c>
      <c r="B4405" s="1">
        <v>45128</v>
      </c>
      <c r="C4405">
        <v>27.971882000000001</v>
      </c>
    </row>
    <row r="4406" spans="1:3" x14ac:dyDescent="0.25">
      <c r="A4406" t="s">
        <v>11</v>
      </c>
      <c r="B4406" s="1">
        <v>45131</v>
      </c>
      <c r="C4406">
        <v>28.030483</v>
      </c>
    </row>
    <row r="4407" spans="1:3" x14ac:dyDescent="0.25">
      <c r="A4407" t="s">
        <v>11</v>
      </c>
      <c r="B4407" s="1">
        <v>45132</v>
      </c>
      <c r="C4407">
        <v>29.016919999999999</v>
      </c>
    </row>
    <row r="4408" spans="1:3" x14ac:dyDescent="0.25">
      <c r="A4408" t="s">
        <v>11</v>
      </c>
      <c r="B4408" s="1">
        <v>45133</v>
      </c>
      <c r="C4408">
        <v>29.026688</v>
      </c>
    </row>
    <row r="4409" spans="1:3" x14ac:dyDescent="0.25">
      <c r="A4409" t="s">
        <v>11</v>
      </c>
      <c r="B4409" s="1">
        <v>45134</v>
      </c>
      <c r="C4409">
        <v>29.417358</v>
      </c>
    </row>
    <row r="4410" spans="1:3" x14ac:dyDescent="0.25">
      <c r="A4410" t="s">
        <v>11</v>
      </c>
      <c r="B4410" s="1">
        <v>45135</v>
      </c>
      <c r="C4410">
        <v>29.202487999999999</v>
      </c>
    </row>
    <row r="4411" spans="1:3" x14ac:dyDescent="0.25">
      <c r="A4411" t="s">
        <v>11</v>
      </c>
      <c r="B4411" s="1">
        <v>45138</v>
      </c>
      <c r="C4411">
        <v>29.397822999999999</v>
      </c>
    </row>
    <row r="4412" spans="1:3" x14ac:dyDescent="0.25">
      <c r="A4412" t="s">
        <v>11</v>
      </c>
      <c r="B4412" s="1">
        <v>45139</v>
      </c>
      <c r="C4412">
        <v>29.37829</v>
      </c>
    </row>
    <row r="4413" spans="1:3" x14ac:dyDescent="0.25">
      <c r="A4413" t="s">
        <v>11</v>
      </c>
      <c r="B4413" s="1">
        <v>45140</v>
      </c>
      <c r="C4413">
        <v>28.675087000000001</v>
      </c>
    </row>
    <row r="4414" spans="1:3" x14ac:dyDescent="0.25">
      <c r="A4414" t="s">
        <v>11</v>
      </c>
      <c r="B4414" s="1">
        <v>45141</v>
      </c>
      <c r="C4414">
        <v>28.587187</v>
      </c>
    </row>
    <row r="4415" spans="1:3" x14ac:dyDescent="0.25">
      <c r="A4415" t="s">
        <v>11</v>
      </c>
      <c r="B4415" s="1">
        <v>45142</v>
      </c>
      <c r="C4415">
        <v>29.173189000000001</v>
      </c>
    </row>
    <row r="4416" spans="1:3" x14ac:dyDescent="0.25">
      <c r="A4416" t="s">
        <v>11</v>
      </c>
      <c r="B4416" s="1">
        <v>45145</v>
      </c>
      <c r="C4416">
        <v>29.026688</v>
      </c>
    </row>
    <row r="4417" spans="1:3" x14ac:dyDescent="0.25">
      <c r="A4417" t="s">
        <v>11</v>
      </c>
      <c r="B4417" s="1">
        <v>45146</v>
      </c>
      <c r="C4417">
        <v>28.704386</v>
      </c>
    </row>
    <row r="4418" spans="1:3" x14ac:dyDescent="0.25">
      <c r="A4418" t="s">
        <v>11</v>
      </c>
      <c r="B4418" s="1">
        <v>45147</v>
      </c>
      <c r="C4418">
        <v>28.880185999999998</v>
      </c>
    </row>
    <row r="4419" spans="1:3" x14ac:dyDescent="0.25">
      <c r="A4419" t="s">
        <v>11</v>
      </c>
      <c r="B4419" s="1">
        <v>45148</v>
      </c>
      <c r="C4419">
        <v>29.007155999999998</v>
      </c>
    </row>
    <row r="4420" spans="1:3" x14ac:dyDescent="0.25">
      <c r="A4420" t="s">
        <v>11</v>
      </c>
      <c r="B4420" s="1">
        <v>45149</v>
      </c>
      <c r="C4420">
        <v>28.821587000000001</v>
      </c>
    </row>
    <row r="4421" spans="1:3" x14ac:dyDescent="0.25">
      <c r="A4421" t="s">
        <v>11</v>
      </c>
      <c r="B4421" s="1">
        <v>45152</v>
      </c>
      <c r="C4421">
        <v>28.421151999999999</v>
      </c>
    </row>
    <row r="4422" spans="1:3" x14ac:dyDescent="0.25">
      <c r="A4422" t="s">
        <v>11</v>
      </c>
      <c r="B4422" s="1">
        <v>45153</v>
      </c>
      <c r="C4422">
        <v>28.372316000000001</v>
      </c>
    </row>
    <row r="4423" spans="1:3" x14ac:dyDescent="0.25">
      <c r="A4423" t="s">
        <v>11</v>
      </c>
      <c r="B4423" s="1">
        <v>45154</v>
      </c>
      <c r="C4423">
        <v>28.440684999999998</v>
      </c>
    </row>
    <row r="4424" spans="1:3" x14ac:dyDescent="0.25">
      <c r="A4424" t="s">
        <v>11</v>
      </c>
      <c r="B4424" s="1">
        <v>45155</v>
      </c>
      <c r="C4424">
        <v>28.655553999999999</v>
      </c>
    </row>
    <row r="4425" spans="1:3" x14ac:dyDescent="0.25">
      <c r="A4425" t="s">
        <v>11</v>
      </c>
      <c r="B4425" s="1">
        <v>45156</v>
      </c>
      <c r="C4425">
        <v>28.411384999999999</v>
      </c>
    </row>
    <row r="4426" spans="1:3" x14ac:dyDescent="0.25">
      <c r="A4426" t="s">
        <v>11</v>
      </c>
      <c r="B4426" s="1">
        <v>45159</v>
      </c>
      <c r="C4426">
        <v>28.655553999999999</v>
      </c>
    </row>
    <row r="4427" spans="1:3" x14ac:dyDescent="0.25">
      <c r="A4427" t="s">
        <v>11</v>
      </c>
      <c r="B4427" s="1">
        <v>45160</v>
      </c>
      <c r="C4427">
        <v>29.026688</v>
      </c>
    </row>
    <row r="4428" spans="1:3" x14ac:dyDescent="0.25">
      <c r="A4428" t="s">
        <v>11</v>
      </c>
      <c r="B4428" s="1">
        <v>45161</v>
      </c>
      <c r="C4428">
        <v>29.143888</v>
      </c>
    </row>
    <row r="4429" spans="1:3" x14ac:dyDescent="0.25">
      <c r="A4429" t="s">
        <v>11</v>
      </c>
      <c r="B4429" s="1">
        <v>45162</v>
      </c>
      <c r="C4429">
        <v>28.860652999999999</v>
      </c>
    </row>
    <row r="4430" spans="1:3" x14ac:dyDescent="0.25">
      <c r="A4430" t="s">
        <v>11</v>
      </c>
      <c r="B4430" s="1">
        <v>45163</v>
      </c>
      <c r="C4430">
        <v>29.182955</v>
      </c>
    </row>
    <row r="4431" spans="1:3" x14ac:dyDescent="0.25">
      <c r="A4431" t="s">
        <v>11</v>
      </c>
      <c r="B4431" s="1">
        <v>45166</v>
      </c>
      <c r="C4431">
        <v>29.573626000000001</v>
      </c>
    </row>
    <row r="4432" spans="1:3" x14ac:dyDescent="0.25">
      <c r="A4432" t="s">
        <v>11</v>
      </c>
      <c r="B4432" s="1">
        <v>45167</v>
      </c>
      <c r="C4432">
        <v>30.354960999999999</v>
      </c>
    </row>
    <row r="4433" spans="1:3" x14ac:dyDescent="0.25">
      <c r="A4433" t="s">
        <v>11</v>
      </c>
      <c r="B4433" s="1">
        <v>45168</v>
      </c>
      <c r="C4433">
        <v>30.931197999999998</v>
      </c>
    </row>
    <row r="4434" spans="1:3" x14ac:dyDescent="0.25">
      <c r="A4434" t="s">
        <v>11</v>
      </c>
      <c r="B4434" s="1">
        <v>45169</v>
      </c>
      <c r="C4434">
        <v>30.882366000000001</v>
      </c>
    </row>
    <row r="4435" spans="1:3" x14ac:dyDescent="0.25">
      <c r="A4435" t="s">
        <v>11</v>
      </c>
      <c r="B4435" s="1">
        <v>45170</v>
      </c>
      <c r="C4435">
        <v>30.931197999999998</v>
      </c>
    </row>
    <row r="4436" spans="1:3" x14ac:dyDescent="0.25">
      <c r="A4436" t="s">
        <v>11</v>
      </c>
      <c r="B4436" s="1">
        <v>45173</v>
      </c>
      <c r="C4436">
        <v>31.019098</v>
      </c>
    </row>
    <row r="4437" spans="1:3" x14ac:dyDescent="0.25">
      <c r="A4437" t="s">
        <v>11</v>
      </c>
      <c r="B4437" s="1">
        <v>45174</v>
      </c>
      <c r="C4437">
        <v>30.520996</v>
      </c>
    </row>
    <row r="4438" spans="1:3" x14ac:dyDescent="0.25">
      <c r="A4438" t="s">
        <v>11</v>
      </c>
      <c r="B4438" s="1">
        <v>45175</v>
      </c>
      <c r="C4438">
        <v>30.433095999999999</v>
      </c>
    </row>
    <row r="4439" spans="1:3" x14ac:dyDescent="0.25">
      <c r="A4439" t="s">
        <v>11</v>
      </c>
      <c r="B4439" s="1">
        <v>45176</v>
      </c>
      <c r="C4439">
        <v>30.364729000000001</v>
      </c>
    </row>
    <row r="4440" spans="1:3" x14ac:dyDescent="0.25">
      <c r="A4440" t="s">
        <v>11</v>
      </c>
      <c r="B4440" s="1">
        <v>45177</v>
      </c>
      <c r="C4440">
        <v>30.061959999999999</v>
      </c>
    </row>
    <row r="4441" spans="1:3" x14ac:dyDescent="0.25">
      <c r="A4441" t="s">
        <v>11</v>
      </c>
      <c r="B4441" s="1">
        <v>45180</v>
      </c>
      <c r="C4441">
        <v>30.442862000000002</v>
      </c>
    </row>
    <row r="4442" spans="1:3" x14ac:dyDescent="0.25">
      <c r="A4442" t="s">
        <v>11</v>
      </c>
      <c r="B4442" s="1">
        <v>45181</v>
      </c>
      <c r="C4442">
        <v>30.042427</v>
      </c>
    </row>
    <row r="4443" spans="1:3" x14ac:dyDescent="0.25">
      <c r="A4443" t="s">
        <v>11</v>
      </c>
      <c r="B4443" s="1">
        <v>45182</v>
      </c>
      <c r="C4443">
        <v>30.081492999999998</v>
      </c>
    </row>
    <row r="4444" spans="1:3" x14ac:dyDescent="0.25">
      <c r="A4444" t="s">
        <v>11</v>
      </c>
      <c r="B4444" s="1">
        <v>45183</v>
      </c>
      <c r="C4444">
        <v>30.774930999999999</v>
      </c>
    </row>
    <row r="4445" spans="1:3" x14ac:dyDescent="0.25">
      <c r="A4445" t="s">
        <v>11</v>
      </c>
      <c r="B4445" s="1">
        <v>45184</v>
      </c>
      <c r="C4445">
        <v>31.370698999999998</v>
      </c>
    </row>
    <row r="4446" spans="1:3" x14ac:dyDescent="0.25">
      <c r="A4446" t="s">
        <v>11</v>
      </c>
      <c r="B4446" s="1">
        <v>45187</v>
      </c>
      <c r="C4446">
        <v>31.360935000000001</v>
      </c>
    </row>
    <row r="4447" spans="1:3" x14ac:dyDescent="0.25">
      <c r="A4447" t="s">
        <v>11</v>
      </c>
      <c r="B4447" s="1">
        <v>45188</v>
      </c>
      <c r="C4447">
        <v>31.526966000000002</v>
      </c>
    </row>
    <row r="4448" spans="1:3" x14ac:dyDescent="0.25">
      <c r="A4448" t="s">
        <v>11</v>
      </c>
      <c r="B4448" s="1">
        <v>45189</v>
      </c>
      <c r="C4448">
        <v>31.566033999999998</v>
      </c>
    </row>
    <row r="4449" spans="1:3" x14ac:dyDescent="0.25">
      <c r="A4449" t="s">
        <v>11</v>
      </c>
      <c r="B4449" s="1">
        <v>45190</v>
      </c>
      <c r="C4449">
        <v>31.312100999999998</v>
      </c>
    </row>
    <row r="4450" spans="1:3" x14ac:dyDescent="0.25">
      <c r="A4450" t="s">
        <v>11</v>
      </c>
      <c r="B4450" s="1">
        <v>45191</v>
      </c>
      <c r="C4450">
        <v>31.058164999999999</v>
      </c>
    </row>
    <row r="4451" spans="1:3" x14ac:dyDescent="0.25">
      <c r="A4451" t="s">
        <v>11</v>
      </c>
      <c r="B4451" s="1">
        <v>45194</v>
      </c>
      <c r="C4451">
        <v>30.980032000000001</v>
      </c>
    </row>
    <row r="4452" spans="1:3" x14ac:dyDescent="0.25">
      <c r="A4452" t="s">
        <v>11</v>
      </c>
      <c r="B4452" s="1">
        <v>45195</v>
      </c>
      <c r="C4452">
        <v>31.253499999999999</v>
      </c>
    </row>
    <row r="4453" spans="1:3" x14ac:dyDescent="0.25">
      <c r="A4453" t="s">
        <v>11</v>
      </c>
      <c r="B4453" s="1">
        <v>45196</v>
      </c>
      <c r="C4453">
        <v>30.980032000000001</v>
      </c>
    </row>
    <row r="4454" spans="1:3" x14ac:dyDescent="0.25">
      <c r="A4454" t="s">
        <v>11</v>
      </c>
      <c r="B4454" s="1">
        <v>45197</v>
      </c>
      <c r="C4454">
        <v>31.507432999999999</v>
      </c>
    </row>
    <row r="4455" spans="1:3" x14ac:dyDescent="0.25">
      <c r="A4455" t="s">
        <v>11</v>
      </c>
      <c r="B4455" s="1">
        <v>45198</v>
      </c>
      <c r="C4455">
        <v>31.712537999999999</v>
      </c>
    </row>
    <row r="4456" spans="1:3" x14ac:dyDescent="0.25">
      <c r="A4456" t="s">
        <v>11</v>
      </c>
      <c r="B4456" s="1">
        <v>45201</v>
      </c>
      <c r="C4456">
        <v>31.302332</v>
      </c>
    </row>
    <row r="4457" spans="1:3" x14ac:dyDescent="0.25">
      <c r="A4457" t="s">
        <v>11</v>
      </c>
      <c r="B4457" s="1">
        <v>45202</v>
      </c>
      <c r="C4457">
        <v>30.491695</v>
      </c>
    </row>
    <row r="4458" spans="1:3" x14ac:dyDescent="0.25">
      <c r="A4458" t="s">
        <v>11</v>
      </c>
      <c r="B4458" s="1">
        <v>45203</v>
      </c>
      <c r="C4458">
        <v>30.970264</v>
      </c>
    </row>
    <row r="4459" spans="1:3" x14ac:dyDescent="0.25">
      <c r="A4459" t="s">
        <v>11</v>
      </c>
      <c r="B4459" s="1">
        <v>45204</v>
      </c>
      <c r="C4459">
        <v>31.106999999999999</v>
      </c>
    </row>
    <row r="4460" spans="1:3" x14ac:dyDescent="0.25">
      <c r="A4460" t="s">
        <v>11</v>
      </c>
      <c r="B4460" s="1">
        <v>45205</v>
      </c>
      <c r="C4460">
        <v>31.683235</v>
      </c>
    </row>
    <row r="4461" spans="1:3" x14ac:dyDescent="0.25">
      <c r="A4461" t="s">
        <v>11</v>
      </c>
      <c r="B4461" s="1">
        <v>45208</v>
      </c>
      <c r="C4461">
        <v>31.917636999999999</v>
      </c>
    </row>
    <row r="4462" spans="1:3" x14ac:dyDescent="0.25">
      <c r="A4462" t="s">
        <v>11</v>
      </c>
      <c r="B4462" s="1">
        <v>45209</v>
      </c>
      <c r="C4462">
        <v>32.464573000000001</v>
      </c>
    </row>
    <row r="4463" spans="1:3" x14ac:dyDescent="0.25">
      <c r="A4463" t="s">
        <v>11</v>
      </c>
      <c r="B4463" s="1">
        <v>45210</v>
      </c>
      <c r="C4463">
        <v>32.845478</v>
      </c>
    </row>
    <row r="4464" spans="1:3" x14ac:dyDescent="0.25">
      <c r="A4464" t="s">
        <v>11</v>
      </c>
      <c r="B4464" s="1">
        <v>45211</v>
      </c>
      <c r="C4464">
        <v>32.523173999999997</v>
      </c>
    </row>
    <row r="4465" spans="1:3" x14ac:dyDescent="0.25">
      <c r="A4465" t="s">
        <v>11</v>
      </c>
      <c r="B4465" s="1">
        <v>45212</v>
      </c>
      <c r="C4465">
        <v>32.337605000000003</v>
      </c>
    </row>
    <row r="4466" spans="1:3" x14ac:dyDescent="0.25">
      <c r="A4466" t="s">
        <v>11</v>
      </c>
      <c r="B4466" s="1">
        <v>45215</v>
      </c>
      <c r="C4466">
        <v>32.611072999999998</v>
      </c>
    </row>
    <row r="4467" spans="1:3" x14ac:dyDescent="0.25">
      <c r="A4467" t="s">
        <v>11</v>
      </c>
      <c r="B4467" s="1">
        <v>45216</v>
      </c>
      <c r="C4467">
        <v>32.210636000000001</v>
      </c>
    </row>
    <row r="4468" spans="1:3" x14ac:dyDescent="0.25">
      <c r="A4468" t="s">
        <v>11</v>
      </c>
      <c r="B4468" s="1">
        <v>45217</v>
      </c>
      <c r="C4468">
        <v>31.087465000000002</v>
      </c>
    </row>
    <row r="4469" spans="1:3" x14ac:dyDescent="0.25">
      <c r="A4469" t="s">
        <v>11</v>
      </c>
      <c r="B4469" s="1">
        <v>45218</v>
      </c>
      <c r="C4469">
        <v>30.901897000000002</v>
      </c>
    </row>
    <row r="4470" spans="1:3" x14ac:dyDescent="0.25">
      <c r="A4470" t="s">
        <v>11</v>
      </c>
      <c r="B4470" s="1">
        <v>45219</v>
      </c>
      <c r="C4470">
        <v>30.003359</v>
      </c>
    </row>
    <row r="4471" spans="1:3" x14ac:dyDescent="0.25">
      <c r="A4471" t="s">
        <v>11</v>
      </c>
      <c r="B4471" s="1">
        <v>45222</v>
      </c>
      <c r="C4471">
        <v>29.720124999999999</v>
      </c>
    </row>
    <row r="4472" spans="1:3" x14ac:dyDescent="0.25">
      <c r="A4472" t="s">
        <v>11</v>
      </c>
      <c r="B4472" s="1">
        <v>45223</v>
      </c>
      <c r="C4472">
        <v>31.400002000000001</v>
      </c>
    </row>
    <row r="4473" spans="1:3" x14ac:dyDescent="0.25">
      <c r="A4473" t="s">
        <v>11</v>
      </c>
      <c r="B4473" s="1">
        <v>45224</v>
      </c>
      <c r="C4473">
        <v>31.889999</v>
      </c>
    </row>
    <row r="4474" spans="1:3" x14ac:dyDescent="0.25">
      <c r="A4474" t="s">
        <v>11</v>
      </c>
      <c r="B4474" s="1">
        <v>45225</v>
      </c>
      <c r="C4474">
        <v>31.559999000000001</v>
      </c>
    </row>
    <row r="4475" spans="1:3" x14ac:dyDescent="0.25">
      <c r="A4475" t="s">
        <v>11</v>
      </c>
      <c r="B4475" s="1">
        <v>45226</v>
      </c>
      <c r="C4475">
        <v>31.790001</v>
      </c>
    </row>
    <row r="4476" spans="1:3" x14ac:dyDescent="0.25">
      <c r="A4476" t="s">
        <v>11</v>
      </c>
      <c r="B4476" s="1">
        <v>45229</v>
      </c>
      <c r="C4476">
        <v>31.959999</v>
      </c>
    </row>
    <row r="4477" spans="1:3" x14ac:dyDescent="0.25">
      <c r="A4477" t="s">
        <v>11</v>
      </c>
      <c r="B4477" s="1">
        <v>45230</v>
      </c>
      <c r="C4477">
        <v>31.77</v>
      </c>
    </row>
    <row r="4478" spans="1:3" x14ac:dyDescent="0.25">
      <c r="A4478" t="s">
        <v>11</v>
      </c>
      <c r="B4478" s="1">
        <v>45231</v>
      </c>
      <c r="C4478">
        <v>32.340000000000003</v>
      </c>
    </row>
    <row r="4479" spans="1:3" x14ac:dyDescent="0.25">
      <c r="A4479" t="s">
        <v>11</v>
      </c>
      <c r="B4479" s="1">
        <v>45232</v>
      </c>
      <c r="C4479">
        <v>32.650002000000001</v>
      </c>
    </row>
    <row r="4480" spans="1:3" x14ac:dyDescent="0.25">
      <c r="A4480" t="s">
        <v>11</v>
      </c>
      <c r="B4480" s="1">
        <v>45233</v>
      </c>
      <c r="C4480">
        <v>32.580002</v>
      </c>
    </row>
    <row r="4481" spans="1:3" x14ac:dyDescent="0.25">
      <c r="A4481" t="s">
        <v>11</v>
      </c>
      <c r="B4481" s="1">
        <v>45236</v>
      </c>
      <c r="C4481">
        <v>33.150002000000001</v>
      </c>
    </row>
    <row r="4482" spans="1:3" x14ac:dyDescent="0.25">
      <c r="A4482" t="s">
        <v>11</v>
      </c>
      <c r="B4482" s="1">
        <v>45237</v>
      </c>
      <c r="C4482">
        <v>32.869999</v>
      </c>
    </row>
    <row r="4483" spans="1:3" x14ac:dyDescent="0.25">
      <c r="A4483" t="s">
        <v>11</v>
      </c>
      <c r="B4483" s="1">
        <v>45238</v>
      </c>
      <c r="C4483">
        <v>33.049999</v>
      </c>
    </row>
    <row r="4484" spans="1:3" x14ac:dyDescent="0.25">
      <c r="A4484" t="s">
        <v>11</v>
      </c>
      <c r="B4484" s="1">
        <v>45239</v>
      </c>
      <c r="C4484">
        <v>32.900002000000001</v>
      </c>
    </row>
    <row r="4485" spans="1:3" x14ac:dyDescent="0.25">
      <c r="A4485" t="s">
        <v>11</v>
      </c>
      <c r="B4485" s="1">
        <v>45240</v>
      </c>
      <c r="C4485">
        <v>32.400002000000001</v>
      </c>
    </row>
    <row r="4486" spans="1:3" x14ac:dyDescent="0.25">
      <c r="A4486" t="s">
        <v>11</v>
      </c>
      <c r="B4486" s="1">
        <v>45243</v>
      </c>
      <c r="C4486">
        <v>32.159999999999997</v>
      </c>
    </row>
    <row r="4487" spans="1:3" x14ac:dyDescent="0.25">
      <c r="A4487" t="s">
        <v>11</v>
      </c>
      <c r="B4487" s="1">
        <v>45244</v>
      </c>
      <c r="C4487">
        <v>32.68</v>
      </c>
    </row>
    <row r="4488" spans="1:3" x14ac:dyDescent="0.25">
      <c r="A4488" t="s">
        <v>11</v>
      </c>
      <c r="B4488" s="1">
        <v>45245</v>
      </c>
      <c r="C4488">
        <v>32.610000999999997</v>
      </c>
    </row>
    <row r="4489" spans="1:3" x14ac:dyDescent="0.25">
      <c r="A4489" t="s">
        <v>11</v>
      </c>
      <c r="B4489" s="1">
        <v>45246</v>
      </c>
      <c r="C4489">
        <v>32.259998000000003</v>
      </c>
    </row>
    <row r="4490" spans="1:3" x14ac:dyDescent="0.25">
      <c r="A4490" t="s">
        <v>11</v>
      </c>
      <c r="B4490" s="1">
        <v>45247</v>
      </c>
      <c r="C4490">
        <v>33</v>
      </c>
    </row>
    <row r="4491" spans="1:3" x14ac:dyDescent="0.25">
      <c r="A4491" t="s">
        <v>11</v>
      </c>
      <c r="B4491" s="1">
        <v>45250</v>
      </c>
      <c r="C4491">
        <v>32.799999</v>
      </c>
    </row>
    <row r="4492" spans="1:3" x14ac:dyDescent="0.25">
      <c r="A4492" t="s">
        <v>11</v>
      </c>
      <c r="B4492" s="1">
        <v>45251</v>
      </c>
      <c r="C4492">
        <v>32.689999</v>
      </c>
    </row>
    <row r="4493" spans="1:3" x14ac:dyDescent="0.25">
      <c r="A4493" t="s">
        <v>11</v>
      </c>
      <c r="B4493" s="1">
        <v>45252</v>
      </c>
      <c r="C4493">
        <v>31.940000999999999</v>
      </c>
    </row>
    <row r="4494" spans="1:3" x14ac:dyDescent="0.25">
      <c r="A4494" t="s">
        <v>11</v>
      </c>
      <c r="B4494" s="1">
        <v>45253</v>
      </c>
      <c r="C4494">
        <v>31.879999000000002</v>
      </c>
    </row>
    <row r="4495" spans="1:3" x14ac:dyDescent="0.25">
      <c r="A4495" t="s">
        <v>11</v>
      </c>
      <c r="B4495" s="1">
        <v>45254</v>
      </c>
      <c r="C4495">
        <v>31.639999</v>
      </c>
    </row>
    <row r="4496" spans="1:3" x14ac:dyDescent="0.25">
      <c r="A4496" t="s">
        <v>11</v>
      </c>
      <c r="B4496" s="1">
        <v>45257</v>
      </c>
      <c r="C4496">
        <v>31.389999</v>
      </c>
    </row>
    <row r="4497" spans="1:3" x14ac:dyDescent="0.25">
      <c r="A4497" t="s">
        <v>11</v>
      </c>
      <c r="B4497" s="1">
        <v>45258</v>
      </c>
      <c r="C4497">
        <v>31.860001</v>
      </c>
    </row>
    <row r="4498" spans="1:3" x14ac:dyDescent="0.25">
      <c r="A4498" t="s">
        <v>11</v>
      </c>
      <c r="B4498" s="1">
        <v>45259</v>
      </c>
      <c r="C4498">
        <v>32</v>
      </c>
    </row>
    <row r="4499" spans="1:3" x14ac:dyDescent="0.25">
      <c r="A4499" t="s">
        <v>11</v>
      </c>
      <c r="B4499" s="1">
        <v>45260</v>
      </c>
      <c r="C4499">
        <v>32.080002</v>
      </c>
    </row>
    <row r="4500" spans="1:3" x14ac:dyDescent="0.25">
      <c r="A4500" t="s">
        <v>11</v>
      </c>
      <c r="B4500" s="1">
        <v>45261</v>
      </c>
      <c r="C4500">
        <v>32.479999999999997</v>
      </c>
    </row>
    <row r="4501" spans="1:3" x14ac:dyDescent="0.25">
      <c r="A4501" t="s">
        <v>11</v>
      </c>
      <c r="B4501" s="1">
        <v>45264</v>
      </c>
      <c r="C4501">
        <v>32.020000000000003</v>
      </c>
    </row>
    <row r="4502" spans="1:3" x14ac:dyDescent="0.25">
      <c r="A4502" t="s">
        <v>11</v>
      </c>
      <c r="B4502" s="1">
        <v>45265</v>
      </c>
      <c r="C4502">
        <v>31.9</v>
      </c>
    </row>
    <row r="4503" spans="1:3" x14ac:dyDescent="0.25">
      <c r="A4503" t="s">
        <v>11</v>
      </c>
      <c r="B4503" s="1">
        <v>45267</v>
      </c>
      <c r="C4503">
        <v>32.639999000000003</v>
      </c>
    </row>
    <row r="4504" spans="1:3" x14ac:dyDescent="0.25">
      <c r="A4504" t="s">
        <v>11</v>
      </c>
      <c r="B4504" s="1">
        <v>45268</v>
      </c>
      <c r="C4504">
        <v>33.540000999999997</v>
      </c>
    </row>
    <row r="4505" spans="1:3" x14ac:dyDescent="0.25">
      <c r="A4505" t="s">
        <v>11</v>
      </c>
      <c r="B4505" s="1">
        <v>45271</v>
      </c>
      <c r="C4505">
        <v>33.340000000000003</v>
      </c>
    </row>
    <row r="4506" spans="1:3" x14ac:dyDescent="0.25">
      <c r="A4506" t="s">
        <v>11</v>
      </c>
      <c r="B4506" s="1">
        <v>45272</v>
      </c>
      <c r="C4506">
        <v>32.759998000000003</v>
      </c>
    </row>
    <row r="4507" spans="1:3" x14ac:dyDescent="0.25">
      <c r="A4507" t="s">
        <v>11</v>
      </c>
      <c r="B4507" s="1">
        <v>45273</v>
      </c>
      <c r="C4507">
        <v>32.770000000000003</v>
      </c>
    </row>
    <row r="4508" spans="1:3" x14ac:dyDescent="0.25">
      <c r="A4508" t="s">
        <v>11</v>
      </c>
      <c r="B4508" s="1">
        <v>45274</v>
      </c>
      <c r="C4508">
        <v>33.049999</v>
      </c>
    </row>
    <row r="4509" spans="1:3" x14ac:dyDescent="0.25">
      <c r="A4509" t="s">
        <v>11</v>
      </c>
      <c r="B4509" s="1">
        <v>45275</v>
      </c>
      <c r="C4509">
        <v>33.380001</v>
      </c>
    </row>
    <row r="4510" spans="1:3" x14ac:dyDescent="0.25">
      <c r="A4510" t="s">
        <v>11</v>
      </c>
      <c r="B4510" s="1">
        <v>45278</v>
      </c>
      <c r="C4510">
        <v>33.779998999999997</v>
      </c>
    </row>
    <row r="4511" spans="1:3" x14ac:dyDescent="0.25">
      <c r="A4511" t="s">
        <v>11</v>
      </c>
      <c r="B4511" s="1">
        <v>45279</v>
      </c>
      <c r="C4511">
        <v>34.090000000000003</v>
      </c>
    </row>
    <row r="4512" spans="1:3" x14ac:dyDescent="0.25">
      <c r="A4512" t="s">
        <v>11</v>
      </c>
      <c r="B4512" s="1">
        <v>45280</v>
      </c>
      <c r="C4512">
        <v>34.020000000000003</v>
      </c>
    </row>
    <row r="4513" spans="1:3" x14ac:dyDescent="0.25">
      <c r="A4513" t="s">
        <v>11</v>
      </c>
      <c r="B4513" s="1">
        <v>45281</v>
      </c>
      <c r="C4513">
        <v>34.119999</v>
      </c>
    </row>
    <row r="4514" spans="1:3" x14ac:dyDescent="0.25">
      <c r="A4514" t="s">
        <v>11</v>
      </c>
      <c r="B4514" s="1">
        <v>45282</v>
      </c>
      <c r="C4514">
        <v>34.330002</v>
      </c>
    </row>
    <row r="4515" spans="1:3" x14ac:dyDescent="0.25">
      <c r="A4515" t="s">
        <v>11</v>
      </c>
      <c r="B4515" s="1">
        <v>45287</v>
      </c>
      <c r="C4515">
        <v>34.419998</v>
      </c>
    </row>
    <row r="4516" spans="1:3" x14ac:dyDescent="0.25">
      <c r="A4516" t="s">
        <v>11</v>
      </c>
      <c r="B4516" s="1">
        <v>45288</v>
      </c>
      <c r="C4516">
        <v>34.419998</v>
      </c>
    </row>
    <row r="4517" spans="1:3" x14ac:dyDescent="0.25">
      <c r="A4517" t="s">
        <v>11</v>
      </c>
      <c r="B4517" s="1">
        <v>45289</v>
      </c>
      <c r="C4517">
        <v>34.130001</v>
      </c>
    </row>
    <row r="4518" spans="1:3" x14ac:dyDescent="0.25">
      <c r="A4518" t="s">
        <v>11</v>
      </c>
      <c r="B4518" s="1">
        <v>45293</v>
      </c>
      <c r="C4518">
        <v>34.340000000000003</v>
      </c>
    </row>
    <row r="4519" spans="1:3" x14ac:dyDescent="0.25">
      <c r="A4519" t="s">
        <v>11</v>
      </c>
      <c r="B4519" s="1">
        <v>45294</v>
      </c>
      <c r="C4519">
        <v>34.07</v>
      </c>
    </row>
    <row r="4520" spans="1:3" x14ac:dyDescent="0.25">
      <c r="A4520" t="s">
        <v>11</v>
      </c>
      <c r="B4520" s="1">
        <v>45295</v>
      </c>
      <c r="C4520">
        <v>34.470001000000003</v>
      </c>
    </row>
    <row r="4521" spans="1:3" x14ac:dyDescent="0.25">
      <c r="A4521" t="s">
        <v>11</v>
      </c>
      <c r="B4521" s="1">
        <v>45296</v>
      </c>
      <c r="C4521">
        <v>34.770000000000003</v>
      </c>
    </row>
    <row r="4522" spans="1:3" x14ac:dyDescent="0.25">
      <c r="A4522" t="s">
        <v>11</v>
      </c>
      <c r="B4522" s="1">
        <v>45299</v>
      </c>
      <c r="C4522">
        <v>35.130001</v>
      </c>
    </row>
    <row r="4523" spans="1:3" x14ac:dyDescent="0.25">
      <c r="A4523" t="s">
        <v>11</v>
      </c>
      <c r="B4523" s="1">
        <v>45300</v>
      </c>
      <c r="C4523">
        <v>34.790000999999997</v>
      </c>
    </row>
    <row r="4524" spans="1:3" x14ac:dyDescent="0.25">
      <c r="A4524" t="s">
        <v>11</v>
      </c>
      <c r="B4524" s="1">
        <v>45301</v>
      </c>
      <c r="C4524">
        <v>34.520000000000003</v>
      </c>
    </row>
    <row r="4525" spans="1:3" x14ac:dyDescent="0.25">
      <c r="A4525" t="s">
        <v>11</v>
      </c>
      <c r="B4525" s="1">
        <v>45302</v>
      </c>
      <c r="C4525">
        <v>34.57</v>
      </c>
    </row>
    <row r="4526" spans="1:3" x14ac:dyDescent="0.25">
      <c r="A4526" t="s">
        <v>11</v>
      </c>
      <c r="B4526" s="1">
        <v>45303</v>
      </c>
      <c r="C4526">
        <v>35.009998000000003</v>
      </c>
    </row>
    <row r="4527" spans="1:3" x14ac:dyDescent="0.25">
      <c r="A4527" t="s">
        <v>11</v>
      </c>
      <c r="B4527" s="1">
        <v>45306</v>
      </c>
      <c r="C4527">
        <v>34.799999</v>
      </c>
    </row>
    <row r="4528" spans="1:3" x14ac:dyDescent="0.25">
      <c r="A4528" t="s">
        <v>11</v>
      </c>
      <c r="B4528" s="1">
        <v>45307</v>
      </c>
      <c r="C4528">
        <v>34.729999999999997</v>
      </c>
    </row>
    <row r="4529" spans="1:3" x14ac:dyDescent="0.25">
      <c r="A4529" t="s">
        <v>11</v>
      </c>
      <c r="B4529" s="1">
        <v>45308</v>
      </c>
      <c r="C4529">
        <v>34.200001</v>
      </c>
    </row>
    <row r="4530" spans="1:3" x14ac:dyDescent="0.25">
      <c r="A4530" t="s">
        <v>11</v>
      </c>
      <c r="B4530" s="1">
        <v>45309</v>
      </c>
      <c r="C4530">
        <v>34.209999000000003</v>
      </c>
    </row>
    <row r="4531" spans="1:3" x14ac:dyDescent="0.25">
      <c r="A4531" t="s">
        <v>11</v>
      </c>
      <c r="B4531" s="1">
        <v>45310</v>
      </c>
      <c r="C4531">
        <v>33.409999999999997</v>
      </c>
    </row>
    <row r="4532" spans="1:3" x14ac:dyDescent="0.25">
      <c r="A4532" t="s">
        <v>11</v>
      </c>
      <c r="B4532" s="1">
        <v>45313</v>
      </c>
      <c r="C4532">
        <v>33.209999000000003</v>
      </c>
    </row>
    <row r="4533" spans="1:3" x14ac:dyDescent="0.25">
      <c r="A4533" t="s">
        <v>11</v>
      </c>
      <c r="B4533" s="1">
        <v>45314</v>
      </c>
      <c r="C4533">
        <v>33.409999999999997</v>
      </c>
    </row>
    <row r="4534" spans="1:3" x14ac:dyDescent="0.25">
      <c r="A4534" t="s">
        <v>11</v>
      </c>
      <c r="B4534" s="1">
        <v>45315</v>
      </c>
      <c r="C4534">
        <v>33.759998000000003</v>
      </c>
    </row>
    <row r="4535" spans="1:3" x14ac:dyDescent="0.25">
      <c r="A4535" t="s">
        <v>11</v>
      </c>
      <c r="B4535" s="1">
        <v>45316</v>
      </c>
      <c r="C4535">
        <v>33.509998000000003</v>
      </c>
    </row>
    <row r="4536" spans="1:3" x14ac:dyDescent="0.25">
      <c r="A4536" t="s">
        <v>11</v>
      </c>
      <c r="B4536" s="1">
        <v>45317</v>
      </c>
      <c r="C4536">
        <v>33.849997999999999</v>
      </c>
    </row>
    <row r="4537" spans="1:3" x14ac:dyDescent="0.25">
      <c r="A4537" t="s">
        <v>11</v>
      </c>
      <c r="B4537" s="1">
        <v>45320</v>
      </c>
      <c r="C4537">
        <v>34.049999</v>
      </c>
    </row>
    <row r="4538" spans="1:3" x14ac:dyDescent="0.25">
      <c r="A4538" t="s">
        <v>11</v>
      </c>
      <c r="B4538" s="1">
        <v>45321</v>
      </c>
      <c r="C4538">
        <v>33.439999</v>
      </c>
    </row>
    <row r="4539" spans="1:3" x14ac:dyDescent="0.25">
      <c r="A4539" t="s">
        <v>11</v>
      </c>
      <c r="B4539" s="1">
        <v>45322</v>
      </c>
      <c r="C4539">
        <v>33.669998</v>
      </c>
    </row>
    <row r="4540" spans="1:3" x14ac:dyDescent="0.25">
      <c r="A4540" t="s">
        <v>11</v>
      </c>
      <c r="B4540" s="1">
        <v>45323</v>
      </c>
      <c r="C4540">
        <v>30.01</v>
      </c>
    </row>
    <row r="4541" spans="1:3" x14ac:dyDescent="0.25">
      <c r="A4541" t="s">
        <v>11</v>
      </c>
      <c r="B4541" s="1">
        <v>45324</v>
      </c>
      <c r="C4541">
        <v>29.75</v>
      </c>
    </row>
    <row r="4542" spans="1:3" x14ac:dyDescent="0.25">
      <c r="A4542" t="s">
        <v>11</v>
      </c>
      <c r="B4542" s="1">
        <v>45327</v>
      </c>
      <c r="C4542">
        <v>29.610001</v>
      </c>
    </row>
    <row r="4543" spans="1:3" x14ac:dyDescent="0.25">
      <c r="A4543" t="s">
        <v>11</v>
      </c>
      <c r="B4543" s="1">
        <v>45328</v>
      </c>
      <c r="C4543">
        <v>29.549999</v>
      </c>
    </row>
    <row r="4544" spans="1:3" x14ac:dyDescent="0.25">
      <c r="A4544" t="s">
        <v>11</v>
      </c>
      <c r="B4544" s="1">
        <v>45329</v>
      </c>
      <c r="C4544">
        <v>29.450001</v>
      </c>
    </row>
    <row r="4545" spans="1:3" x14ac:dyDescent="0.25">
      <c r="A4545" t="s">
        <v>11</v>
      </c>
      <c r="B4545" s="1">
        <v>45330</v>
      </c>
      <c r="C4545">
        <v>28.700001</v>
      </c>
    </row>
    <row r="4546" spans="1:3" x14ac:dyDescent="0.25">
      <c r="A4546" t="s">
        <v>11</v>
      </c>
      <c r="B4546" s="1">
        <v>45331</v>
      </c>
      <c r="C4546">
        <v>29.219999000000001</v>
      </c>
    </row>
    <row r="4547" spans="1:3" x14ac:dyDescent="0.25">
      <c r="A4547" t="s">
        <v>12</v>
      </c>
      <c r="B4547" s="1">
        <v>44603</v>
      </c>
      <c r="C4547">
        <v>29.764790999999999</v>
      </c>
    </row>
    <row r="4548" spans="1:3" x14ac:dyDescent="0.25">
      <c r="A4548" t="s">
        <v>12</v>
      </c>
      <c r="B4548" s="1">
        <v>44606</v>
      </c>
      <c r="C4548">
        <v>29.554537</v>
      </c>
    </row>
    <row r="4549" spans="1:3" x14ac:dyDescent="0.25">
      <c r="A4549" t="s">
        <v>12</v>
      </c>
      <c r="B4549" s="1">
        <v>44607</v>
      </c>
      <c r="C4549">
        <v>29.828780999999999</v>
      </c>
    </row>
    <row r="4550" spans="1:3" x14ac:dyDescent="0.25">
      <c r="A4550" t="s">
        <v>12</v>
      </c>
      <c r="B4550" s="1">
        <v>44608</v>
      </c>
      <c r="C4550">
        <v>29.481401000000002</v>
      </c>
    </row>
    <row r="4551" spans="1:3" x14ac:dyDescent="0.25">
      <c r="A4551" t="s">
        <v>12</v>
      </c>
      <c r="B4551" s="1">
        <v>44609</v>
      </c>
      <c r="C4551">
        <v>28.987760999999999</v>
      </c>
    </row>
    <row r="4552" spans="1:3" x14ac:dyDescent="0.25">
      <c r="A4552" t="s">
        <v>12</v>
      </c>
      <c r="B4552" s="1">
        <v>44610</v>
      </c>
      <c r="C4552">
        <v>28.594674999999999</v>
      </c>
    </row>
    <row r="4553" spans="1:3" x14ac:dyDescent="0.25">
      <c r="A4553" t="s">
        <v>12</v>
      </c>
      <c r="B4553" s="1">
        <v>44613</v>
      </c>
      <c r="C4553">
        <v>28.37528</v>
      </c>
    </row>
    <row r="4554" spans="1:3" x14ac:dyDescent="0.25">
      <c r="A4554" t="s">
        <v>12</v>
      </c>
      <c r="B4554" s="1">
        <v>44614</v>
      </c>
      <c r="C4554">
        <v>28.43927</v>
      </c>
    </row>
    <row r="4555" spans="1:3" x14ac:dyDescent="0.25">
      <c r="A4555" t="s">
        <v>12</v>
      </c>
      <c r="B4555" s="1">
        <v>44615</v>
      </c>
      <c r="C4555">
        <v>28.201589999999999</v>
      </c>
    </row>
    <row r="4556" spans="1:3" x14ac:dyDescent="0.25">
      <c r="A4556" t="s">
        <v>12</v>
      </c>
      <c r="B4556" s="1">
        <v>44616</v>
      </c>
      <c r="C4556">
        <v>27.387995</v>
      </c>
    </row>
    <row r="4557" spans="1:3" x14ac:dyDescent="0.25">
      <c r="A4557" t="s">
        <v>12</v>
      </c>
      <c r="B4557" s="1">
        <v>44617</v>
      </c>
      <c r="C4557">
        <v>28.539826999999999</v>
      </c>
    </row>
    <row r="4558" spans="1:3" x14ac:dyDescent="0.25">
      <c r="A4558" t="s">
        <v>12</v>
      </c>
      <c r="B4558" s="1">
        <v>44620</v>
      </c>
      <c r="C4558">
        <v>28.430126000000001</v>
      </c>
    </row>
    <row r="4559" spans="1:3" x14ac:dyDescent="0.25">
      <c r="A4559" t="s">
        <v>12</v>
      </c>
      <c r="B4559" s="1">
        <v>44621</v>
      </c>
      <c r="C4559">
        <v>27.726233000000001</v>
      </c>
    </row>
    <row r="4560" spans="1:3" x14ac:dyDescent="0.25">
      <c r="A4560" t="s">
        <v>12</v>
      </c>
      <c r="B4560" s="1">
        <v>44622</v>
      </c>
      <c r="C4560">
        <v>28.219873</v>
      </c>
    </row>
    <row r="4561" spans="1:3" x14ac:dyDescent="0.25">
      <c r="A4561" t="s">
        <v>12</v>
      </c>
      <c r="B4561" s="1">
        <v>44623</v>
      </c>
      <c r="C4561">
        <v>27.726233000000001</v>
      </c>
    </row>
    <row r="4562" spans="1:3" x14ac:dyDescent="0.25">
      <c r="A4562" t="s">
        <v>12</v>
      </c>
      <c r="B4562" s="1">
        <v>44624</v>
      </c>
      <c r="C4562">
        <v>25.971060000000001</v>
      </c>
    </row>
    <row r="4563" spans="1:3" x14ac:dyDescent="0.25">
      <c r="A4563" t="s">
        <v>12</v>
      </c>
      <c r="B4563" s="1">
        <v>44627</v>
      </c>
      <c r="C4563">
        <v>26.053332999999999</v>
      </c>
    </row>
    <row r="4564" spans="1:3" x14ac:dyDescent="0.25">
      <c r="A4564" t="s">
        <v>12</v>
      </c>
      <c r="B4564" s="1">
        <v>44628</v>
      </c>
      <c r="C4564">
        <v>27.424558999999999</v>
      </c>
    </row>
    <row r="4565" spans="1:3" x14ac:dyDescent="0.25">
      <c r="A4565" t="s">
        <v>12</v>
      </c>
      <c r="B4565" s="1">
        <v>44629</v>
      </c>
      <c r="C4565">
        <v>27.351429</v>
      </c>
    </row>
    <row r="4566" spans="1:3" x14ac:dyDescent="0.25">
      <c r="A4566" t="s">
        <v>12</v>
      </c>
      <c r="B4566" s="1">
        <v>44630</v>
      </c>
      <c r="C4566">
        <v>27.771937999999999</v>
      </c>
    </row>
    <row r="4567" spans="1:3" x14ac:dyDescent="0.25">
      <c r="A4567" t="s">
        <v>12</v>
      </c>
      <c r="B4567" s="1">
        <v>44631</v>
      </c>
      <c r="C4567">
        <v>28.384419999999999</v>
      </c>
    </row>
    <row r="4568" spans="1:3" x14ac:dyDescent="0.25">
      <c r="A4568" t="s">
        <v>12</v>
      </c>
      <c r="B4568" s="1">
        <v>44634</v>
      </c>
      <c r="C4568">
        <v>29.591099</v>
      </c>
    </row>
    <row r="4569" spans="1:3" x14ac:dyDescent="0.25">
      <c r="A4569" t="s">
        <v>12</v>
      </c>
      <c r="B4569" s="1">
        <v>44635</v>
      </c>
      <c r="C4569">
        <v>29.006043999999999</v>
      </c>
    </row>
    <row r="4570" spans="1:3" x14ac:dyDescent="0.25">
      <c r="A4570" t="s">
        <v>12</v>
      </c>
      <c r="B4570" s="1">
        <v>44636</v>
      </c>
      <c r="C4570">
        <v>30.084743</v>
      </c>
    </row>
    <row r="4571" spans="1:3" x14ac:dyDescent="0.25">
      <c r="A4571" t="s">
        <v>12</v>
      </c>
      <c r="B4571" s="1">
        <v>44637</v>
      </c>
      <c r="C4571">
        <v>29.490542999999999</v>
      </c>
    </row>
    <row r="4572" spans="1:3" x14ac:dyDescent="0.25">
      <c r="A4572" t="s">
        <v>12</v>
      </c>
      <c r="B4572" s="1">
        <v>44638</v>
      </c>
      <c r="C4572">
        <v>29.362562</v>
      </c>
    </row>
    <row r="4573" spans="1:3" x14ac:dyDescent="0.25">
      <c r="A4573" t="s">
        <v>12</v>
      </c>
      <c r="B4573" s="1">
        <v>44641</v>
      </c>
      <c r="C4573">
        <v>30.276713999999998</v>
      </c>
    </row>
    <row r="4574" spans="1:3" x14ac:dyDescent="0.25">
      <c r="A4574" t="s">
        <v>12</v>
      </c>
      <c r="B4574" s="1">
        <v>44642</v>
      </c>
      <c r="C4574">
        <v>29.527111000000001</v>
      </c>
    </row>
    <row r="4575" spans="1:3" x14ac:dyDescent="0.25">
      <c r="A4575" t="s">
        <v>12</v>
      </c>
      <c r="B4575" s="1">
        <v>44643</v>
      </c>
      <c r="C4575">
        <v>28.966951000000002</v>
      </c>
    </row>
    <row r="4576" spans="1:3" x14ac:dyDescent="0.25">
      <c r="A4576" t="s">
        <v>12</v>
      </c>
      <c r="B4576" s="1">
        <v>44644</v>
      </c>
      <c r="C4576">
        <v>27.628261999999999</v>
      </c>
    </row>
    <row r="4577" spans="1:3" x14ac:dyDescent="0.25">
      <c r="A4577" t="s">
        <v>12</v>
      </c>
      <c r="B4577" s="1">
        <v>44645</v>
      </c>
      <c r="C4577">
        <v>26.403503000000001</v>
      </c>
    </row>
    <row r="4578" spans="1:3" x14ac:dyDescent="0.25">
      <c r="A4578" t="s">
        <v>12</v>
      </c>
      <c r="B4578" s="1">
        <v>44648</v>
      </c>
      <c r="C4578">
        <v>26.612376999999999</v>
      </c>
    </row>
    <row r="4579" spans="1:3" x14ac:dyDescent="0.25">
      <c r="A4579" t="s">
        <v>12</v>
      </c>
      <c r="B4579" s="1">
        <v>44649</v>
      </c>
      <c r="C4579">
        <v>27.542814</v>
      </c>
    </row>
    <row r="4580" spans="1:3" x14ac:dyDescent="0.25">
      <c r="A4580" t="s">
        <v>12</v>
      </c>
      <c r="B4580" s="1">
        <v>44650</v>
      </c>
      <c r="C4580">
        <v>26.944675</v>
      </c>
    </row>
    <row r="4581" spans="1:3" x14ac:dyDescent="0.25">
      <c r="A4581" t="s">
        <v>12</v>
      </c>
      <c r="B4581" s="1">
        <v>44651</v>
      </c>
      <c r="C4581">
        <v>26.783272</v>
      </c>
    </row>
    <row r="4582" spans="1:3" x14ac:dyDescent="0.25">
      <c r="A4582" t="s">
        <v>12</v>
      </c>
      <c r="B4582" s="1">
        <v>44652</v>
      </c>
      <c r="C4582">
        <v>26.830746000000001</v>
      </c>
    </row>
    <row r="4583" spans="1:3" x14ac:dyDescent="0.25">
      <c r="A4583" t="s">
        <v>12</v>
      </c>
      <c r="B4583" s="1">
        <v>44655</v>
      </c>
      <c r="C4583">
        <v>26.631363</v>
      </c>
    </row>
    <row r="4584" spans="1:3" x14ac:dyDescent="0.25">
      <c r="A4584" t="s">
        <v>12</v>
      </c>
      <c r="B4584" s="1">
        <v>44656</v>
      </c>
      <c r="C4584">
        <v>25.776882000000001</v>
      </c>
    </row>
    <row r="4585" spans="1:3" x14ac:dyDescent="0.25">
      <c r="A4585" t="s">
        <v>12</v>
      </c>
      <c r="B4585" s="1">
        <v>44657</v>
      </c>
      <c r="C4585">
        <v>25.757895000000001</v>
      </c>
    </row>
    <row r="4586" spans="1:3" x14ac:dyDescent="0.25">
      <c r="A4586" t="s">
        <v>12</v>
      </c>
      <c r="B4586" s="1">
        <v>44658</v>
      </c>
      <c r="C4586">
        <v>24.80847</v>
      </c>
    </row>
    <row r="4587" spans="1:3" x14ac:dyDescent="0.25">
      <c r="A4587" t="s">
        <v>12</v>
      </c>
      <c r="B4587" s="1">
        <v>44659</v>
      </c>
      <c r="C4587">
        <v>25.102792999999998</v>
      </c>
    </row>
    <row r="4588" spans="1:3" x14ac:dyDescent="0.25">
      <c r="A4588" t="s">
        <v>12</v>
      </c>
      <c r="B4588" s="1">
        <v>44662</v>
      </c>
      <c r="C4588">
        <v>24.200835999999999</v>
      </c>
    </row>
    <row r="4589" spans="1:3" x14ac:dyDescent="0.25">
      <c r="A4589" t="s">
        <v>12</v>
      </c>
      <c r="B4589" s="1">
        <v>44663</v>
      </c>
      <c r="C4589">
        <v>24.162860999999999</v>
      </c>
    </row>
    <row r="4590" spans="1:3" x14ac:dyDescent="0.25">
      <c r="A4590" t="s">
        <v>12</v>
      </c>
      <c r="B4590" s="1">
        <v>44664</v>
      </c>
      <c r="C4590">
        <v>24.124884000000002</v>
      </c>
    </row>
    <row r="4591" spans="1:3" x14ac:dyDescent="0.25">
      <c r="A4591" t="s">
        <v>12</v>
      </c>
      <c r="B4591" s="1">
        <v>44665</v>
      </c>
      <c r="C4591">
        <v>24.647065999999999</v>
      </c>
    </row>
    <row r="4592" spans="1:3" x14ac:dyDescent="0.25">
      <c r="A4592" t="s">
        <v>12</v>
      </c>
      <c r="B4592" s="1">
        <v>44670</v>
      </c>
      <c r="C4592">
        <v>24.931894</v>
      </c>
    </row>
    <row r="4593" spans="1:3" x14ac:dyDescent="0.25">
      <c r="A4593" t="s">
        <v>12</v>
      </c>
      <c r="B4593" s="1">
        <v>44671</v>
      </c>
      <c r="C4593">
        <v>25.558513999999999</v>
      </c>
    </row>
    <row r="4594" spans="1:3" x14ac:dyDescent="0.25">
      <c r="A4594" t="s">
        <v>12</v>
      </c>
      <c r="B4594" s="1">
        <v>44672</v>
      </c>
      <c r="C4594">
        <v>26.583894999999998</v>
      </c>
    </row>
    <row r="4595" spans="1:3" x14ac:dyDescent="0.25">
      <c r="A4595" t="s">
        <v>12</v>
      </c>
      <c r="B4595" s="1">
        <v>44673</v>
      </c>
      <c r="C4595">
        <v>25.368628999999999</v>
      </c>
    </row>
    <row r="4596" spans="1:3" x14ac:dyDescent="0.25">
      <c r="A4596" t="s">
        <v>12</v>
      </c>
      <c r="B4596" s="1">
        <v>44676</v>
      </c>
      <c r="C4596">
        <v>24.333756999999999</v>
      </c>
    </row>
    <row r="4597" spans="1:3" x14ac:dyDescent="0.25">
      <c r="A4597" t="s">
        <v>12</v>
      </c>
      <c r="B4597" s="1">
        <v>44677</v>
      </c>
      <c r="C4597">
        <v>23.830563000000001</v>
      </c>
    </row>
    <row r="4598" spans="1:3" x14ac:dyDescent="0.25">
      <c r="A4598" t="s">
        <v>12</v>
      </c>
      <c r="B4598" s="1">
        <v>44678</v>
      </c>
      <c r="C4598">
        <v>24.029941999999998</v>
      </c>
    </row>
    <row r="4599" spans="1:3" x14ac:dyDescent="0.25">
      <c r="A4599" t="s">
        <v>12</v>
      </c>
      <c r="B4599" s="1">
        <v>44679</v>
      </c>
      <c r="C4599">
        <v>23.859044999999998</v>
      </c>
    </row>
    <row r="4600" spans="1:3" x14ac:dyDescent="0.25">
      <c r="A4600" t="s">
        <v>12</v>
      </c>
      <c r="B4600" s="1">
        <v>44680</v>
      </c>
      <c r="C4600">
        <v>24.36224</v>
      </c>
    </row>
    <row r="4601" spans="1:3" x14ac:dyDescent="0.25">
      <c r="A4601" t="s">
        <v>12</v>
      </c>
      <c r="B4601" s="1">
        <v>44683</v>
      </c>
      <c r="C4601">
        <v>23.621689</v>
      </c>
    </row>
    <row r="4602" spans="1:3" x14ac:dyDescent="0.25">
      <c r="A4602" t="s">
        <v>12</v>
      </c>
      <c r="B4602" s="1">
        <v>44684</v>
      </c>
      <c r="C4602">
        <v>24.124884000000002</v>
      </c>
    </row>
    <row r="4603" spans="1:3" x14ac:dyDescent="0.25">
      <c r="A4603" t="s">
        <v>12</v>
      </c>
      <c r="B4603" s="1">
        <v>44685</v>
      </c>
      <c r="C4603">
        <v>24.219826000000001</v>
      </c>
    </row>
    <row r="4604" spans="1:3" x14ac:dyDescent="0.25">
      <c r="A4604" t="s">
        <v>12</v>
      </c>
      <c r="B4604" s="1">
        <v>44686</v>
      </c>
      <c r="C4604">
        <v>23.963480000000001</v>
      </c>
    </row>
    <row r="4605" spans="1:3" x14ac:dyDescent="0.25">
      <c r="A4605" t="s">
        <v>12</v>
      </c>
      <c r="B4605" s="1">
        <v>44687</v>
      </c>
      <c r="C4605">
        <v>23.593205999999999</v>
      </c>
    </row>
    <row r="4606" spans="1:3" x14ac:dyDescent="0.25">
      <c r="A4606" t="s">
        <v>12</v>
      </c>
      <c r="B4606" s="1">
        <v>44690</v>
      </c>
      <c r="C4606">
        <v>22.97608</v>
      </c>
    </row>
    <row r="4607" spans="1:3" x14ac:dyDescent="0.25">
      <c r="A4607" t="s">
        <v>12</v>
      </c>
      <c r="B4607" s="1">
        <v>44691</v>
      </c>
      <c r="C4607">
        <v>23.441299000000001</v>
      </c>
    </row>
    <row r="4608" spans="1:3" x14ac:dyDescent="0.25">
      <c r="A4608" t="s">
        <v>12</v>
      </c>
      <c r="B4608" s="1">
        <v>44692</v>
      </c>
      <c r="C4608">
        <v>23.972977</v>
      </c>
    </row>
    <row r="4609" spans="1:3" x14ac:dyDescent="0.25">
      <c r="A4609" t="s">
        <v>12</v>
      </c>
      <c r="B4609" s="1">
        <v>44693</v>
      </c>
      <c r="C4609">
        <v>24.153368</v>
      </c>
    </row>
    <row r="4610" spans="1:3" x14ac:dyDescent="0.25">
      <c r="A4610" t="s">
        <v>12</v>
      </c>
      <c r="B4610" s="1">
        <v>44694</v>
      </c>
      <c r="C4610">
        <v>24.580606</v>
      </c>
    </row>
    <row r="4611" spans="1:3" x14ac:dyDescent="0.25">
      <c r="A4611" t="s">
        <v>12</v>
      </c>
      <c r="B4611" s="1">
        <v>44697</v>
      </c>
      <c r="C4611">
        <v>24.561620999999999</v>
      </c>
    </row>
    <row r="4612" spans="1:3" x14ac:dyDescent="0.25">
      <c r="A4612" t="s">
        <v>12</v>
      </c>
      <c r="B4612" s="1">
        <v>44698</v>
      </c>
      <c r="C4612">
        <v>24.827456999999999</v>
      </c>
    </row>
    <row r="4613" spans="1:3" x14ac:dyDescent="0.25">
      <c r="A4613" t="s">
        <v>12</v>
      </c>
      <c r="B4613" s="1">
        <v>44699</v>
      </c>
      <c r="C4613">
        <v>24.400217000000001</v>
      </c>
    </row>
    <row r="4614" spans="1:3" x14ac:dyDescent="0.25">
      <c r="A4614" t="s">
        <v>12</v>
      </c>
      <c r="B4614" s="1">
        <v>44700</v>
      </c>
      <c r="C4614">
        <v>24.476171000000001</v>
      </c>
    </row>
    <row r="4615" spans="1:3" x14ac:dyDescent="0.25">
      <c r="A4615" t="s">
        <v>12</v>
      </c>
      <c r="B4615" s="1">
        <v>44701</v>
      </c>
      <c r="C4615">
        <v>24.428698000000001</v>
      </c>
    </row>
    <row r="4616" spans="1:3" x14ac:dyDescent="0.25">
      <c r="A4616" t="s">
        <v>12</v>
      </c>
      <c r="B4616" s="1">
        <v>44704</v>
      </c>
      <c r="C4616">
        <v>24.267298</v>
      </c>
    </row>
    <row r="4617" spans="1:3" x14ac:dyDescent="0.25">
      <c r="A4617" t="s">
        <v>12</v>
      </c>
      <c r="B4617" s="1">
        <v>44705</v>
      </c>
      <c r="C4617">
        <v>23.830563000000001</v>
      </c>
    </row>
    <row r="4618" spans="1:3" x14ac:dyDescent="0.25">
      <c r="A4618" t="s">
        <v>12</v>
      </c>
      <c r="B4618" s="1">
        <v>44706</v>
      </c>
      <c r="C4618">
        <v>23.953984999999999</v>
      </c>
    </row>
    <row r="4619" spans="1:3" x14ac:dyDescent="0.25">
      <c r="A4619" t="s">
        <v>12</v>
      </c>
      <c r="B4619" s="1">
        <v>44708</v>
      </c>
      <c r="C4619">
        <v>24.485665999999998</v>
      </c>
    </row>
    <row r="4620" spans="1:3" x14ac:dyDescent="0.25">
      <c r="A4620" t="s">
        <v>12</v>
      </c>
      <c r="B4620" s="1">
        <v>44711</v>
      </c>
      <c r="C4620">
        <v>25.083801000000001</v>
      </c>
    </row>
    <row r="4621" spans="1:3" x14ac:dyDescent="0.25">
      <c r="A4621" t="s">
        <v>12</v>
      </c>
      <c r="B4621" s="1">
        <v>44712</v>
      </c>
      <c r="C4621">
        <v>24.922401000000001</v>
      </c>
    </row>
    <row r="4622" spans="1:3" x14ac:dyDescent="0.25">
      <c r="A4622" t="s">
        <v>12</v>
      </c>
      <c r="B4622" s="1">
        <v>44713</v>
      </c>
      <c r="C4622">
        <v>24.96987</v>
      </c>
    </row>
    <row r="4623" spans="1:3" x14ac:dyDescent="0.25">
      <c r="A4623" t="s">
        <v>12</v>
      </c>
      <c r="B4623" s="1">
        <v>44714</v>
      </c>
      <c r="C4623">
        <v>25.890813999999999</v>
      </c>
    </row>
    <row r="4624" spans="1:3" x14ac:dyDescent="0.25">
      <c r="A4624" t="s">
        <v>12</v>
      </c>
      <c r="B4624" s="1">
        <v>44715</v>
      </c>
      <c r="C4624">
        <v>25.757895000000001</v>
      </c>
    </row>
    <row r="4625" spans="1:3" x14ac:dyDescent="0.25">
      <c r="A4625" t="s">
        <v>12</v>
      </c>
      <c r="B4625" s="1">
        <v>44718</v>
      </c>
      <c r="C4625">
        <v>26.033225999999999</v>
      </c>
    </row>
    <row r="4626" spans="1:3" x14ac:dyDescent="0.25">
      <c r="A4626" t="s">
        <v>12</v>
      </c>
      <c r="B4626" s="1">
        <v>44719</v>
      </c>
      <c r="C4626">
        <v>25.681937999999999</v>
      </c>
    </row>
    <row r="4627" spans="1:3" x14ac:dyDescent="0.25">
      <c r="A4627" t="s">
        <v>12</v>
      </c>
      <c r="B4627" s="1">
        <v>44720</v>
      </c>
      <c r="C4627">
        <v>26.052216999999999</v>
      </c>
    </row>
    <row r="4628" spans="1:3" x14ac:dyDescent="0.25">
      <c r="A4628" t="s">
        <v>12</v>
      </c>
      <c r="B4628" s="1">
        <v>44721</v>
      </c>
      <c r="C4628">
        <v>25.378122000000001</v>
      </c>
    </row>
    <row r="4629" spans="1:3" x14ac:dyDescent="0.25">
      <c r="A4629" t="s">
        <v>12</v>
      </c>
      <c r="B4629" s="1">
        <v>44722</v>
      </c>
      <c r="C4629">
        <v>24.428698000000001</v>
      </c>
    </row>
    <row r="4630" spans="1:3" x14ac:dyDescent="0.25">
      <c r="A4630" t="s">
        <v>12</v>
      </c>
      <c r="B4630" s="1">
        <v>44725</v>
      </c>
      <c r="C4630">
        <v>23.393826000000001</v>
      </c>
    </row>
    <row r="4631" spans="1:3" x14ac:dyDescent="0.25">
      <c r="A4631" t="s">
        <v>12</v>
      </c>
      <c r="B4631" s="1">
        <v>44726</v>
      </c>
      <c r="C4631">
        <v>23.602699000000001</v>
      </c>
    </row>
    <row r="4632" spans="1:3" x14ac:dyDescent="0.25">
      <c r="A4632" t="s">
        <v>12</v>
      </c>
      <c r="B4632" s="1">
        <v>44727</v>
      </c>
      <c r="C4632">
        <v>23.916011999999998</v>
      </c>
    </row>
    <row r="4633" spans="1:3" x14ac:dyDescent="0.25">
      <c r="A4633" t="s">
        <v>12</v>
      </c>
      <c r="B4633" s="1">
        <v>44728</v>
      </c>
      <c r="C4633">
        <v>23.108999000000001</v>
      </c>
    </row>
    <row r="4634" spans="1:3" x14ac:dyDescent="0.25">
      <c r="A4634" t="s">
        <v>12</v>
      </c>
      <c r="B4634" s="1">
        <v>44729</v>
      </c>
      <c r="C4634">
        <v>22.985572999999999</v>
      </c>
    </row>
    <row r="4635" spans="1:3" x14ac:dyDescent="0.25">
      <c r="A4635" t="s">
        <v>12</v>
      </c>
      <c r="B4635" s="1">
        <v>44732</v>
      </c>
      <c r="C4635">
        <v>22.995068</v>
      </c>
    </row>
    <row r="4636" spans="1:3" x14ac:dyDescent="0.25">
      <c r="A4636" t="s">
        <v>12</v>
      </c>
      <c r="B4636" s="1">
        <v>44733</v>
      </c>
      <c r="C4636">
        <v>23.260908000000001</v>
      </c>
    </row>
    <row r="4637" spans="1:3" x14ac:dyDescent="0.25">
      <c r="A4637" t="s">
        <v>12</v>
      </c>
      <c r="B4637" s="1">
        <v>44734</v>
      </c>
      <c r="C4637">
        <v>22.482379999999999</v>
      </c>
    </row>
    <row r="4638" spans="1:3" x14ac:dyDescent="0.25">
      <c r="A4638" t="s">
        <v>12</v>
      </c>
      <c r="B4638" s="1">
        <v>44735</v>
      </c>
      <c r="C4638">
        <v>21.63739</v>
      </c>
    </row>
    <row r="4639" spans="1:3" x14ac:dyDescent="0.25">
      <c r="A4639" t="s">
        <v>12</v>
      </c>
      <c r="B4639" s="1">
        <v>44739</v>
      </c>
      <c r="C4639">
        <v>22.795688999999999</v>
      </c>
    </row>
    <row r="4640" spans="1:3" x14ac:dyDescent="0.25">
      <c r="A4640" t="s">
        <v>12</v>
      </c>
      <c r="B4640" s="1">
        <v>44740</v>
      </c>
      <c r="C4640">
        <v>23.118493999999998</v>
      </c>
    </row>
    <row r="4641" spans="1:3" x14ac:dyDescent="0.25">
      <c r="A4641" t="s">
        <v>12</v>
      </c>
      <c r="B4641" s="1">
        <v>44741</v>
      </c>
      <c r="C4641">
        <v>22.795688999999999</v>
      </c>
    </row>
    <row r="4642" spans="1:3" x14ac:dyDescent="0.25">
      <c r="A4642" t="s">
        <v>12</v>
      </c>
      <c r="B4642" s="1">
        <v>44742</v>
      </c>
      <c r="C4642">
        <v>22.226033999999999</v>
      </c>
    </row>
    <row r="4643" spans="1:3" x14ac:dyDescent="0.25">
      <c r="A4643" t="s">
        <v>12</v>
      </c>
      <c r="B4643" s="1">
        <v>44743</v>
      </c>
      <c r="C4643">
        <v>22.501367999999999</v>
      </c>
    </row>
    <row r="4644" spans="1:3" x14ac:dyDescent="0.25">
      <c r="A4644" t="s">
        <v>12</v>
      </c>
      <c r="B4644" s="1">
        <v>44746</v>
      </c>
      <c r="C4644">
        <v>22.729230999999999</v>
      </c>
    </row>
    <row r="4645" spans="1:3" x14ac:dyDescent="0.25">
      <c r="A4645" t="s">
        <v>12</v>
      </c>
      <c r="B4645" s="1">
        <v>44747</v>
      </c>
      <c r="C4645">
        <v>22.339966</v>
      </c>
    </row>
    <row r="4646" spans="1:3" x14ac:dyDescent="0.25">
      <c r="A4646" t="s">
        <v>12</v>
      </c>
      <c r="B4646" s="1">
        <v>44748</v>
      </c>
      <c r="C4646">
        <v>22.434908</v>
      </c>
    </row>
    <row r="4647" spans="1:3" x14ac:dyDescent="0.25">
      <c r="A4647" t="s">
        <v>12</v>
      </c>
      <c r="B4647" s="1">
        <v>44749</v>
      </c>
      <c r="C4647">
        <v>23.213436000000002</v>
      </c>
    </row>
    <row r="4648" spans="1:3" x14ac:dyDescent="0.25">
      <c r="A4648" t="s">
        <v>12</v>
      </c>
      <c r="B4648" s="1">
        <v>44750</v>
      </c>
      <c r="C4648">
        <v>23.251411000000001</v>
      </c>
    </row>
    <row r="4649" spans="1:3" x14ac:dyDescent="0.25">
      <c r="A4649" t="s">
        <v>12</v>
      </c>
      <c r="B4649" s="1">
        <v>44753</v>
      </c>
      <c r="C4649">
        <v>22.757711</v>
      </c>
    </row>
    <row r="4650" spans="1:3" x14ac:dyDescent="0.25">
      <c r="A4650" t="s">
        <v>12</v>
      </c>
      <c r="B4650" s="1">
        <v>44754</v>
      </c>
      <c r="C4650">
        <v>23.108999000000001</v>
      </c>
    </row>
    <row r="4651" spans="1:3" x14ac:dyDescent="0.25">
      <c r="A4651" t="s">
        <v>12</v>
      </c>
      <c r="B4651" s="1">
        <v>44755</v>
      </c>
      <c r="C4651">
        <v>22.273503999999999</v>
      </c>
    </row>
    <row r="4652" spans="1:3" x14ac:dyDescent="0.25">
      <c r="A4652" t="s">
        <v>12</v>
      </c>
      <c r="B4652" s="1">
        <v>44756</v>
      </c>
      <c r="C4652">
        <v>22.311482999999999</v>
      </c>
    </row>
    <row r="4653" spans="1:3" x14ac:dyDescent="0.25">
      <c r="A4653" t="s">
        <v>12</v>
      </c>
      <c r="B4653" s="1">
        <v>44757</v>
      </c>
      <c r="C4653">
        <v>23.071020000000001</v>
      </c>
    </row>
    <row r="4654" spans="1:3" x14ac:dyDescent="0.25">
      <c r="A4654" t="s">
        <v>12</v>
      </c>
      <c r="B4654" s="1">
        <v>44760</v>
      </c>
      <c r="C4654">
        <v>23.241917000000001</v>
      </c>
    </row>
    <row r="4655" spans="1:3" x14ac:dyDescent="0.25">
      <c r="A4655" t="s">
        <v>12</v>
      </c>
      <c r="B4655" s="1">
        <v>44761</v>
      </c>
      <c r="C4655">
        <v>23.184951999999999</v>
      </c>
    </row>
    <row r="4656" spans="1:3" x14ac:dyDescent="0.25">
      <c r="A4656" t="s">
        <v>12</v>
      </c>
      <c r="B4656" s="1">
        <v>44762</v>
      </c>
      <c r="C4656">
        <v>23.412814999999998</v>
      </c>
    </row>
    <row r="4657" spans="1:3" x14ac:dyDescent="0.25">
      <c r="A4657" t="s">
        <v>12</v>
      </c>
      <c r="B4657" s="1">
        <v>44763</v>
      </c>
      <c r="C4657">
        <v>23.953984999999999</v>
      </c>
    </row>
    <row r="4658" spans="1:3" x14ac:dyDescent="0.25">
      <c r="A4658" t="s">
        <v>12</v>
      </c>
      <c r="B4658" s="1">
        <v>44764</v>
      </c>
      <c r="C4658">
        <v>24.219826000000001</v>
      </c>
    </row>
    <row r="4659" spans="1:3" x14ac:dyDescent="0.25">
      <c r="A4659" t="s">
        <v>12</v>
      </c>
      <c r="B4659" s="1">
        <v>44767</v>
      </c>
      <c r="C4659">
        <v>23.934998</v>
      </c>
    </row>
    <row r="4660" spans="1:3" x14ac:dyDescent="0.25">
      <c r="A4660" t="s">
        <v>12</v>
      </c>
      <c r="B4660" s="1">
        <v>44768</v>
      </c>
      <c r="C4660">
        <v>23.811572999999999</v>
      </c>
    </row>
    <row r="4661" spans="1:3" x14ac:dyDescent="0.25">
      <c r="A4661" t="s">
        <v>12</v>
      </c>
      <c r="B4661" s="1">
        <v>44769</v>
      </c>
      <c r="C4661">
        <v>23.450792</v>
      </c>
    </row>
    <row r="4662" spans="1:3" x14ac:dyDescent="0.25">
      <c r="A4662" t="s">
        <v>12</v>
      </c>
      <c r="B4662" s="1">
        <v>44770</v>
      </c>
      <c r="C4662">
        <v>25.026835999999999</v>
      </c>
    </row>
    <row r="4663" spans="1:3" x14ac:dyDescent="0.25">
      <c r="A4663" t="s">
        <v>12</v>
      </c>
      <c r="B4663" s="1">
        <v>44771</v>
      </c>
      <c r="C4663">
        <v>25.710422999999999</v>
      </c>
    </row>
    <row r="4664" spans="1:3" x14ac:dyDescent="0.25">
      <c r="A4664" t="s">
        <v>12</v>
      </c>
      <c r="B4664" s="1">
        <v>44774</v>
      </c>
      <c r="C4664">
        <v>25.159758</v>
      </c>
    </row>
    <row r="4665" spans="1:3" x14ac:dyDescent="0.25">
      <c r="A4665" t="s">
        <v>12</v>
      </c>
      <c r="B4665" s="1">
        <v>44775</v>
      </c>
      <c r="C4665">
        <v>24.447689</v>
      </c>
    </row>
    <row r="4666" spans="1:3" x14ac:dyDescent="0.25">
      <c r="A4666" t="s">
        <v>12</v>
      </c>
      <c r="B4666" s="1">
        <v>44776</v>
      </c>
      <c r="C4666">
        <v>24.153368</v>
      </c>
    </row>
    <row r="4667" spans="1:3" x14ac:dyDescent="0.25">
      <c r="A4667" t="s">
        <v>12</v>
      </c>
      <c r="B4667" s="1">
        <v>44777</v>
      </c>
      <c r="C4667">
        <v>24.400217000000001</v>
      </c>
    </row>
    <row r="4668" spans="1:3" x14ac:dyDescent="0.25">
      <c r="A4668" t="s">
        <v>12</v>
      </c>
      <c r="B4668" s="1">
        <v>44778</v>
      </c>
      <c r="C4668">
        <v>24.229320999999999</v>
      </c>
    </row>
    <row r="4669" spans="1:3" x14ac:dyDescent="0.25">
      <c r="A4669" t="s">
        <v>12</v>
      </c>
      <c r="B4669" s="1">
        <v>44781</v>
      </c>
      <c r="C4669">
        <v>24.675549</v>
      </c>
    </row>
    <row r="4670" spans="1:3" x14ac:dyDescent="0.25">
      <c r="A4670" t="s">
        <v>12</v>
      </c>
      <c r="B4670" s="1">
        <v>44782</v>
      </c>
      <c r="C4670">
        <v>24.352744999999999</v>
      </c>
    </row>
    <row r="4671" spans="1:3" x14ac:dyDescent="0.25">
      <c r="A4671" t="s">
        <v>12</v>
      </c>
      <c r="B4671" s="1">
        <v>44783</v>
      </c>
      <c r="C4671">
        <v>25.416101000000001</v>
      </c>
    </row>
    <row r="4672" spans="1:3" x14ac:dyDescent="0.25">
      <c r="A4672" t="s">
        <v>12</v>
      </c>
      <c r="B4672" s="1">
        <v>44784</v>
      </c>
      <c r="C4672">
        <v>25.549021</v>
      </c>
    </row>
    <row r="4673" spans="1:3" x14ac:dyDescent="0.25">
      <c r="A4673" t="s">
        <v>12</v>
      </c>
      <c r="B4673" s="1">
        <v>44785</v>
      </c>
      <c r="C4673">
        <v>25.615479000000001</v>
      </c>
    </row>
    <row r="4674" spans="1:3" x14ac:dyDescent="0.25">
      <c r="A4674" t="s">
        <v>12</v>
      </c>
      <c r="B4674" s="1">
        <v>44788</v>
      </c>
      <c r="C4674">
        <v>25.681937999999999</v>
      </c>
    </row>
    <row r="4675" spans="1:3" x14ac:dyDescent="0.25">
      <c r="A4675" t="s">
        <v>12</v>
      </c>
      <c r="B4675" s="1">
        <v>44789</v>
      </c>
      <c r="C4675">
        <v>25.966767999999998</v>
      </c>
    </row>
    <row r="4676" spans="1:3" x14ac:dyDescent="0.25">
      <c r="A4676" t="s">
        <v>12</v>
      </c>
      <c r="B4676" s="1">
        <v>44790</v>
      </c>
      <c r="C4676">
        <v>25.501549000000001</v>
      </c>
    </row>
    <row r="4677" spans="1:3" x14ac:dyDescent="0.25">
      <c r="A4677" t="s">
        <v>12</v>
      </c>
      <c r="B4677" s="1">
        <v>44791</v>
      </c>
      <c r="C4677">
        <v>25.890813999999999</v>
      </c>
    </row>
    <row r="4678" spans="1:3" x14ac:dyDescent="0.25">
      <c r="A4678" t="s">
        <v>12</v>
      </c>
      <c r="B4678" s="1">
        <v>44792</v>
      </c>
      <c r="C4678">
        <v>25.406609</v>
      </c>
    </row>
    <row r="4679" spans="1:3" x14ac:dyDescent="0.25">
      <c r="A4679" t="s">
        <v>12</v>
      </c>
      <c r="B4679" s="1">
        <v>44795</v>
      </c>
      <c r="C4679">
        <v>25.026835999999999</v>
      </c>
    </row>
    <row r="4680" spans="1:3" x14ac:dyDescent="0.25">
      <c r="A4680" t="s">
        <v>12</v>
      </c>
      <c r="B4680" s="1">
        <v>44796</v>
      </c>
      <c r="C4680">
        <v>24.798977000000001</v>
      </c>
    </row>
    <row r="4681" spans="1:3" x14ac:dyDescent="0.25">
      <c r="A4681" t="s">
        <v>12</v>
      </c>
      <c r="B4681" s="1">
        <v>44797</v>
      </c>
      <c r="C4681">
        <v>24.685044999999999</v>
      </c>
    </row>
    <row r="4682" spans="1:3" x14ac:dyDescent="0.25">
      <c r="A4682" t="s">
        <v>12</v>
      </c>
      <c r="B4682" s="1">
        <v>44798</v>
      </c>
      <c r="C4682">
        <v>24.742010000000001</v>
      </c>
    </row>
    <row r="4683" spans="1:3" x14ac:dyDescent="0.25">
      <c r="A4683" t="s">
        <v>12</v>
      </c>
      <c r="B4683" s="1">
        <v>44799</v>
      </c>
      <c r="C4683">
        <v>24.542631</v>
      </c>
    </row>
    <row r="4684" spans="1:3" x14ac:dyDescent="0.25">
      <c r="A4684" t="s">
        <v>12</v>
      </c>
      <c r="B4684" s="1">
        <v>44802</v>
      </c>
      <c r="C4684">
        <v>24.447689</v>
      </c>
    </row>
    <row r="4685" spans="1:3" x14ac:dyDescent="0.25">
      <c r="A4685" t="s">
        <v>12</v>
      </c>
      <c r="B4685" s="1">
        <v>44803</v>
      </c>
      <c r="C4685">
        <v>23.972977</v>
      </c>
    </row>
    <row r="4686" spans="1:3" x14ac:dyDescent="0.25">
      <c r="A4686" t="s">
        <v>12</v>
      </c>
      <c r="B4686" s="1">
        <v>44804</v>
      </c>
      <c r="C4686">
        <v>24.020444999999999</v>
      </c>
    </row>
    <row r="4687" spans="1:3" x14ac:dyDescent="0.25">
      <c r="A4687" t="s">
        <v>12</v>
      </c>
      <c r="B4687" s="1">
        <v>44805</v>
      </c>
      <c r="C4687">
        <v>23.365342999999999</v>
      </c>
    </row>
    <row r="4688" spans="1:3" x14ac:dyDescent="0.25">
      <c r="A4688" t="s">
        <v>12</v>
      </c>
      <c r="B4688" s="1">
        <v>44806</v>
      </c>
      <c r="C4688">
        <v>23.982469999999999</v>
      </c>
    </row>
    <row r="4689" spans="1:3" x14ac:dyDescent="0.25">
      <c r="A4689" t="s">
        <v>12</v>
      </c>
      <c r="B4689" s="1">
        <v>44809</v>
      </c>
      <c r="C4689">
        <v>23.270401</v>
      </c>
    </row>
    <row r="4690" spans="1:3" x14ac:dyDescent="0.25">
      <c r="A4690" t="s">
        <v>12</v>
      </c>
      <c r="B4690" s="1">
        <v>44810</v>
      </c>
      <c r="C4690">
        <v>23.317872999999999</v>
      </c>
    </row>
    <row r="4691" spans="1:3" x14ac:dyDescent="0.25">
      <c r="A4691" t="s">
        <v>12</v>
      </c>
      <c r="B4691" s="1">
        <v>44811</v>
      </c>
      <c r="C4691">
        <v>22.97608</v>
      </c>
    </row>
    <row r="4692" spans="1:3" x14ac:dyDescent="0.25">
      <c r="A4692" t="s">
        <v>12</v>
      </c>
      <c r="B4692" s="1">
        <v>44812</v>
      </c>
      <c r="C4692">
        <v>23.184951999999999</v>
      </c>
    </row>
    <row r="4693" spans="1:3" x14ac:dyDescent="0.25">
      <c r="A4693" t="s">
        <v>12</v>
      </c>
      <c r="B4693" s="1">
        <v>44813</v>
      </c>
      <c r="C4693">
        <v>23.859044999999998</v>
      </c>
    </row>
    <row r="4694" spans="1:3" x14ac:dyDescent="0.25">
      <c r="A4694" t="s">
        <v>12</v>
      </c>
      <c r="B4694" s="1">
        <v>44816</v>
      </c>
      <c r="C4694">
        <v>23.906514999999999</v>
      </c>
    </row>
    <row r="4695" spans="1:3" x14ac:dyDescent="0.25">
      <c r="A4695" t="s">
        <v>12</v>
      </c>
      <c r="B4695" s="1">
        <v>44817</v>
      </c>
      <c r="C4695">
        <v>23.441299000000001</v>
      </c>
    </row>
    <row r="4696" spans="1:3" x14ac:dyDescent="0.25">
      <c r="A4696" t="s">
        <v>12</v>
      </c>
      <c r="B4696" s="1">
        <v>44818</v>
      </c>
      <c r="C4696">
        <v>22.406424999999999</v>
      </c>
    </row>
    <row r="4697" spans="1:3" x14ac:dyDescent="0.25">
      <c r="A4697" t="s">
        <v>12</v>
      </c>
      <c r="B4697" s="1">
        <v>44819</v>
      </c>
      <c r="C4697">
        <v>22.245024000000001</v>
      </c>
    </row>
    <row r="4698" spans="1:3" x14ac:dyDescent="0.25">
      <c r="A4698" t="s">
        <v>12</v>
      </c>
      <c r="B4698" s="1">
        <v>44820</v>
      </c>
      <c r="C4698">
        <v>21.646882999999999</v>
      </c>
    </row>
    <row r="4699" spans="1:3" x14ac:dyDescent="0.25">
      <c r="A4699" t="s">
        <v>12</v>
      </c>
      <c r="B4699" s="1">
        <v>44823</v>
      </c>
      <c r="C4699">
        <v>21.855758999999999</v>
      </c>
    </row>
    <row r="4700" spans="1:3" x14ac:dyDescent="0.25">
      <c r="A4700" t="s">
        <v>12</v>
      </c>
      <c r="B4700" s="1">
        <v>44824</v>
      </c>
      <c r="C4700">
        <v>21.381046000000001</v>
      </c>
    </row>
    <row r="4701" spans="1:3" x14ac:dyDescent="0.25">
      <c r="A4701" t="s">
        <v>12</v>
      </c>
      <c r="B4701" s="1">
        <v>44825</v>
      </c>
      <c r="C4701">
        <v>21.438010999999999</v>
      </c>
    </row>
    <row r="4702" spans="1:3" x14ac:dyDescent="0.25">
      <c r="A4702" t="s">
        <v>12</v>
      </c>
      <c r="B4702" s="1">
        <v>44826</v>
      </c>
      <c r="C4702">
        <v>20.298701999999999</v>
      </c>
    </row>
    <row r="4703" spans="1:3" x14ac:dyDescent="0.25">
      <c r="A4703" t="s">
        <v>12</v>
      </c>
      <c r="B4703" s="1">
        <v>44827</v>
      </c>
      <c r="C4703">
        <v>20.032862000000002</v>
      </c>
    </row>
    <row r="4704" spans="1:3" x14ac:dyDescent="0.25">
      <c r="A4704" t="s">
        <v>12</v>
      </c>
      <c r="B4704" s="1">
        <v>44830</v>
      </c>
      <c r="C4704">
        <v>19.634105999999999</v>
      </c>
    </row>
    <row r="4705" spans="1:3" x14ac:dyDescent="0.25">
      <c r="A4705" t="s">
        <v>12</v>
      </c>
      <c r="B4705" s="1">
        <v>44831</v>
      </c>
      <c r="C4705">
        <v>19.491692</v>
      </c>
    </row>
    <row r="4706" spans="1:3" x14ac:dyDescent="0.25">
      <c r="A4706" t="s">
        <v>12</v>
      </c>
      <c r="B4706" s="1">
        <v>44832</v>
      </c>
      <c r="C4706">
        <v>19.795506</v>
      </c>
    </row>
    <row r="4707" spans="1:3" x14ac:dyDescent="0.25">
      <c r="A4707" t="s">
        <v>12</v>
      </c>
      <c r="B4707" s="1">
        <v>44833</v>
      </c>
      <c r="C4707">
        <v>19.121414000000001</v>
      </c>
    </row>
    <row r="4708" spans="1:3" x14ac:dyDescent="0.25">
      <c r="A4708" t="s">
        <v>12</v>
      </c>
      <c r="B4708" s="1">
        <v>44834</v>
      </c>
      <c r="C4708">
        <v>19.776517999999999</v>
      </c>
    </row>
    <row r="4709" spans="1:3" x14ac:dyDescent="0.25">
      <c r="A4709" t="s">
        <v>12</v>
      </c>
      <c r="B4709" s="1">
        <v>44837</v>
      </c>
      <c r="C4709">
        <v>20.108817999999999</v>
      </c>
    </row>
    <row r="4710" spans="1:3" x14ac:dyDescent="0.25">
      <c r="A4710" t="s">
        <v>12</v>
      </c>
      <c r="B4710" s="1">
        <v>44838</v>
      </c>
      <c r="C4710">
        <v>20.982285999999998</v>
      </c>
    </row>
    <row r="4711" spans="1:3" x14ac:dyDescent="0.25">
      <c r="A4711" t="s">
        <v>12</v>
      </c>
      <c r="B4711" s="1">
        <v>44839</v>
      </c>
      <c r="C4711">
        <v>20.612010999999999</v>
      </c>
    </row>
    <row r="4712" spans="1:3" x14ac:dyDescent="0.25">
      <c r="A4712" t="s">
        <v>12</v>
      </c>
      <c r="B4712" s="1">
        <v>44840</v>
      </c>
      <c r="C4712">
        <v>20.498080999999999</v>
      </c>
    </row>
    <row r="4713" spans="1:3" x14ac:dyDescent="0.25">
      <c r="A4713" t="s">
        <v>12</v>
      </c>
      <c r="B4713" s="1">
        <v>44841</v>
      </c>
      <c r="C4713">
        <v>19.928426999999999</v>
      </c>
    </row>
    <row r="4714" spans="1:3" x14ac:dyDescent="0.25">
      <c r="A4714" t="s">
        <v>12</v>
      </c>
      <c r="B4714" s="1">
        <v>44844</v>
      </c>
      <c r="C4714">
        <v>20.146792999999999</v>
      </c>
    </row>
    <row r="4715" spans="1:3" x14ac:dyDescent="0.25">
      <c r="A4715" t="s">
        <v>12</v>
      </c>
      <c r="B4715" s="1">
        <v>44845</v>
      </c>
      <c r="C4715">
        <v>20.507574000000002</v>
      </c>
    </row>
    <row r="4716" spans="1:3" x14ac:dyDescent="0.25">
      <c r="A4716" t="s">
        <v>12</v>
      </c>
      <c r="B4716" s="1">
        <v>44846</v>
      </c>
      <c r="C4716">
        <v>20.146792999999999</v>
      </c>
    </row>
    <row r="4717" spans="1:3" x14ac:dyDescent="0.25">
      <c r="A4717" t="s">
        <v>12</v>
      </c>
      <c r="B4717" s="1">
        <v>44847</v>
      </c>
      <c r="C4717">
        <v>20.612010999999999</v>
      </c>
    </row>
    <row r="4718" spans="1:3" x14ac:dyDescent="0.25">
      <c r="A4718" t="s">
        <v>12</v>
      </c>
      <c r="B4718" s="1">
        <v>44848</v>
      </c>
      <c r="C4718">
        <v>21.029758000000001</v>
      </c>
    </row>
    <row r="4719" spans="1:3" x14ac:dyDescent="0.25">
      <c r="A4719" t="s">
        <v>12</v>
      </c>
      <c r="B4719" s="1">
        <v>44851</v>
      </c>
      <c r="C4719">
        <v>21.447506000000001</v>
      </c>
    </row>
    <row r="4720" spans="1:3" x14ac:dyDescent="0.25">
      <c r="A4720" t="s">
        <v>12</v>
      </c>
      <c r="B4720" s="1">
        <v>44852</v>
      </c>
      <c r="C4720">
        <v>22.007667999999999</v>
      </c>
    </row>
    <row r="4721" spans="1:3" x14ac:dyDescent="0.25">
      <c r="A4721" t="s">
        <v>12</v>
      </c>
      <c r="B4721" s="1">
        <v>44853</v>
      </c>
      <c r="C4721">
        <v>21.656379999999999</v>
      </c>
    </row>
    <row r="4722" spans="1:3" x14ac:dyDescent="0.25">
      <c r="A4722" t="s">
        <v>12</v>
      </c>
      <c r="B4722" s="1">
        <v>44854</v>
      </c>
      <c r="C4722">
        <v>21.684861999999999</v>
      </c>
    </row>
    <row r="4723" spans="1:3" x14ac:dyDescent="0.25">
      <c r="A4723" t="s">
        <v>12</v>
      </c>
      <c r="B4723" s="1">
        <v>44855</v>
      </c>
      <c r="C4723">
        <v>21.903229</v>
      </c>
    </row>
    <row r="4724" spans="1:3" x14ac:dyDescent="0.25">
      <c r="A4724" t="s">
        <v>12</v>
      </c>
      <c r="B4724" s="1">
        <v>44858</v>
      </c>
      <c r="C4724">
        <v>22.472882999999999</v>
      </c>
    </row>
    <row r="4725" spans="1:3" x14ac:dyDescent="0.25">
      <c r="A4725" t="s">
        <v>12</v>
      </c>
      <c r="B4725" s="1">
        <v>44859</v>
      </c>
      <c r="C4725">
        <v>22.520354999999999</v>
      </c>
    </row>
    <row r="4726" spans="1:3" x14ac:dyDescent="0.25">
      <c r="A4726" t="s">
        <v>12</v>
      </c>
      <c r="B4726" s="1">
        <v>44860</v>
      </c>
      <c r="C4726">
        <v>22.055136000000001</v>
      </c>
    </row>
    <row r="4727" spans="1:3" x14ac:dyDescent="0.25">
      <c r="A4727" t="s">
        <v>12</v>
      </c>
      <c r="B4727" s="1">
        <v>44861</v>
      </c>
      <c r="C4727">
        <v>21.969688000000001</v>
      </c>
    </row>
    <row r="4728" spans="1:3" x14ac:dyDescent="0.25">
      <c r="A4728" t="s">
        <v>12</v>
      </c>
      <c r="B4728" s="1">
        <v>44862</v>
      </c>
      <c r="C4728">
        <v>21.969688000000001</v>
      </c>
    </row>
    <row r="4729" spans="1:3" x14ac:dyDescent="0.25">
      <c r="A4729" t="s">
        <v>12</v>
      </c>
      <c r="B4729" s="1">
        <v>44865</v>
      </c>
      <c r="C4729">
        <v>21.865252999999999</v>
      </c>
    </row>
    <row r="4730" spans="1:3" x14ac:dyDescent="0.25">
      <c r="A4730" t="s">
        <v>12</v>
      </c>
      <c r="B4730" s="1">
        <v>44866</v>
      </c>
      <c r="C4730">
        <v>22.368448000000001</v>
      </c>
    </row>
    <row r="4731" spans="1:3" x14ac:dyDescent="0.25">
      <c r="A4731" t="s">
        <v>12</v>
      </c>
      <c r="B4731" s="1">
        <v>44867</v>
      </c>
      <c r="C4731">
        <v>21.903229</v>
      </c>
    </row>
    <row r="4732" spans="1:3" x14ac:dyDescent="0.25">
      <c r="A4732" t="s">
        <v>12</v>
      </c>
      <c r="B4732" s="1">
        <v>44868</v>
      </c>
      <c r="C4732">
        <v>21.770311</v>
      </c>
    </row>
    <row r="4733" spans="1:3" x14ac:dyDescent="0.25">
      <c r="A4733" t="s">
        <v>12</v>
      </c>
      <c r="B4733" s="1">
        <v>44869</v>
      </c>
      <c r="C4733">
        <v>22.491875</v>
      </c>
    </row>
    <row r="4734" spans="1:3" x14ac:dyDescent="0.25">
      <c r="A4734" t="s">
        <v>12</v>
      </c>
      <c r="B4734" s="1">
        <v>44872</v>
      </c>
      <c r="C4734">
        <v>22.985572999999999</v>
      </c>
    </row>
    <row r="4735" spans="1:3" x14ac:dyDescent="0.25">
      <c r="A4735" t="s">
        <v>12</v>
      </c>
      <c r="B4735" s="1">
        <v>44873</v>
      </c>
      <c r="C4735">
        <v>23.393826000000001</v>
      </c>
    </row>
    <row r="4736" spans="1:3" x14ac:dyDescent="0.25">
      <c r="A4736" t="s">
        <v>12</v>
      </c>
      <c r="B4736" s="1">
        <v>44874</v>
      </c>
      <c r="C4736">
        <v>23.593205999999999</v>
      </c>
    </row>
    <row r="4737" spans="1:3" x14ac:dyDescent="0.25">
      <c r="A4737" t="s">
        <v>12</v>
      </c>
      <c r="B4737" s="1">
        <v>44875</v>
      </c>
      <c r="C4737">
        <v>24.238814999999999</v>
      </c>
    </row>
    <row r="4738" spans="1:3" x14ac:dyDescent="0.25">
      <c r="A4738" t="s">
        <v>12</v>
      </c>
      <c r="B4738" s="1">
        <v>44876</v>
      </c>
      <c r="C4738">
        <v>24.893916999999998</v>
      </c>
    </row>
    <row r="4739" spans="1:3" x14ac:dyDescent="0.25">
      <c r="A4739" t="s">
        <v>12</v>
      </c>
      <c r="B4739" s="1">
        <v>44879</v>
      </c>
      <c r="C4739">
        <v>24.628080000000001</v>
      </c>
    </row>
    <row r="4740" spans="1:3" x14ac:dyDescent="0.25">
      <c r="A4740" t="s">
        <v>12</v>
      </c>
      <c r="B4740" s="1">
        <v>44880</v>
      </c>
      <c r="C4740">
        <v>24.609089000000001</v>
      </c>
    </row>
    <row r="4741" spans="1:3" x14ac:dyDescent="0.25">
      <c r="A4741" t="s">
        <v>12</v>
      </c>
      <c r="B4741" s="1">
        <v>44881</v>
      </c>
      <c r="C4741">
        <v>23.972977</v>
      </c>
    </row>
    <row r="4742" spans="1:3" x14ac:dyDescent="0.25">
      <c r="A4742" t="s">
        <v>12</v>
      </c>
      <c r="B4742" s="1">
        <v>44882</v>
      </c>
      <c r="C4742">
        <v>23.688148000000002</v>
      </c>
    </row>
    <row r="4743" spans="1:3" x14ac:dyDescent="0.25">
      <c r="A4743" t="s">
        <v>12</v>
      </c>
      <c r="B4743" s="1">
        <v>44883</v>
      </c>
      <c r="C4743">
        <v>23.754608000000001</v>
      </c>
    </row>
    <row r="4744" spans="1:3" x14ac:dyDescent="0.25">
      <c r="A4744" t="s">
        <v>12</v>
      </c>
      <c r="B4744" s="1">
        <v>44886</v>
      </c>
      <c r="C4744">
        <v>23.431802999999999</v>
      </c>
    </row>
    <row r="4745" spans="1:3" x14ac:dyDescent="0.25">
      <c r="A4745" t="s">
        <v>12</v>
      </c>
      <c r="B4745" s="1">
        <v>44887</v>
      </c>
      <c r="C4745">
        <v>23.726123999999999</v>
      </c>
    </row>
    <row r="4746" spans="1:3" x14ac:dyDescent="0.25">
      <c r="A4746" t="s">
        <v>12</v>
      </c>
      <c r="B4746" s="1">
        <v>44888</v>
      </c>
      <c r="C4746">
        <v>23.897020000000001</v>
      </c>
    </row>
    <row r="4747" spans="1:3" x14ac:dyDescent="0.25">
      <c r="A4747" t="s">
        <v>12</v>
      </c>
      <c r="B4747" s="1">
        <v>44889</v>
      </c>
      <c r="C4747">
        <v>23.783089</v>
      </c>
    </row>
    <row r="4748" spans="1:3" x14ac:dyDescent="0.25">
      <c r="A4748" t="s">
        <v>12</v>
      </c>
      <c r="B4748" s="1">
        <v>44890</v>
      </c>
      <c r="C4748">
        <v>23.659663999999999</v>
      </c>
    </row>
    <row r="4749" spans="1:3" x14ac:dyDescent="0.25">
      <c r="A4749" t="s">
        <v>12</v>
      </c>
      <c r="B4749" s="1">
        <v>44893</v>
      </c>
      <c r="C4749">
        <v>23.279896000000001</v>
      </c>
    </row>
    <row r="4750" spans="1:3" x14ac:dyDescent="0.25">
      <c r="A4750" t="s">
        <v>12</v>
      </c>
      <c r="B4750" s="1">
        <v>44894</v>
      </c>
      <c r="C4750">
        <v>23.374839999999999</v>
      </c>
    </row>
    <row r="4751" spans="1:3" x14ac:dyDescent="0.25">
      <c r="A4751" t="s">
        <v>12</v>
      </c>
      <c r="B4751" s="1">
        <v>44895</v>
      </c>
      <c r="C4751">
        <v>23.279896000000001</v>
      </c>
    </row>
    <row r="4752" spans="1:3" x14ac:dyDescent="0.25">
      <c r="A4752" t="s">
        <v>12</v>
      </c>
      <c r="B4752" s="1">
        <v>44896</v>
      </c>
      <c r="C4752">
        <v>23.650171</v>
      </c>
    </row>
    <row r="4753" spans="1:3" x14ac:dyDescent="0.25">
      <c r="A4753" t="s">
        <v>12</v>
      </c>
      <c r="B4753" s="1">
        <v>44897</v>
      </c>
      <c r="C4753">
        <v>24.286284999999999</v>
      </c>
    </row>
    <row r="4754" spans="1:3" x14ac:dyDescent="0.25">
      <c r="A4754" t="s">
        <v>12</v>
      </c>
      <c r="B4754" s="1">
        <v>44900</v>
      </c>
      <c r="C4754">
        <v>24.210332999999999</v>
      </c>
    </row>
    <row r="4755" spans="1:3" x14ac:dyDescent="0.25">
      <c r="A4755" t="s">
        <v>12</v>
      </c>
      <c r="B4755" s="1">
        <v>44902</v>
      </c>
      <c r="C4755">
        <v>24.153368</v>
      </c>
    </row>
    <row r="4756" spans="1:3" x14ac:dyDescent="0.25">
      <c r="A4756" t="s">
        <v>12</v>
      </c>
      <c r="B4756" s="1">
        <v>44903</v>
      </c>
      <c r="C4756">
        <v>23.792584999999999</v>
      </c>
    </row>
    <row r="4757" spans="1:3" x14ac:dyDescent="0.25">
      <c r="A4757" t="s">
        <v>12</v>
      </c>
      <c r="B4757" s="1">
        <v>44904</v>
      </c>
      <c r="C4757">
        <v>24.438192000000001</v>
      </c>
    </row>
    <row r="4758" spans="1:3" x14ac:dyDescent="0.25">
      <c r="A4758" t="s">
        <v>12</v>
      </c>
      <c r="B4758" s="1">
        <v>44907</v>
      </c>
      <c r="C4758">
        <v>23.982469999999999</v>
      </c>
    </row>
    <row r="4759" spans="1:3" x14ac:dyDescent="0.25">
      <c r="A4759" t="s">
        <v>12</v>
      </c>
      <c r="B4759" s="1">
        <v>44908</v>
      </c>
      <c r="C4759">
        <v>24.580606</v>
      </c>
    </row>
    <row r="4760" spans="1:3" x14ac:dyDescent="0.25">
      <c r="A4760" t="s">
        <v>12</v>
      </c>
      <c r="B4760" s="1">
        <v>44909</v>
      </c>
      <c r="C4760">
        <v>24.561620999999999</v>
      </c>
    </row>
    <row r="4761" spans="1:3" x14ac:dyDescent="0.25">
      <c r="A4761" t="s">
        <v>12</v>
      </c>
      <c r="B4761" s="1">
        <v>44910</v>
      </c>
      <c r="C4761">
        <v>23.916011999999998</v>
      </c>
    </row>
    <row r="4762" spans="1:3" x14ac:dyDescent="0.25">
      <c r="A4762" t="s">
        <v>12</v>
      </c>
      <c r="B4762" s="1">
        <v>44911</v>
      </c>
      <c r="C4762">
        <v>23.792584999999999</v>
      </c>
    </row>
    <row r="4763" spans="1:3" x14ac:dyDescent="0.25">
      <c r="A4763" t="s">
        <v>12</v>
      </c>
      <c r="B4763" s="1">
        <v>44914</v>
      </c>
      <c r="C4763">
        <v>23.830563000000001</v>
      </c>
    </row>
    <row r="4764" spans="1:3" x14ac:dyDescent="0.25">
      <c r="A4764" t="s">
        <v>12</v>
      </c>
      <c r="B4764" s="1">
        <v>44915</v>
      </c>
      <c r="C4764">
        <v>23.716629000000001</v>
      </c>
    </row>
    <row r="4765" spans="1:3" x14ac:dyDescent="0.25">
      <c r="A4765" t="s">
        <v>12</v>
      </c>
      <c r="B4765" s="1">
        <v>44916</v>
      </c>
      <c r="C4765">
        <v>24.238814999999999</v>
      </c>
    </row>
    <row r="4766" spans="1:3" x14ac:dyDescent="0.25">
      <c r="A4766" t="s">
        <v>12</v>
      </c>
      <c r="B4766" s="1">
        <v>44917</v>
      </c>
      <c r="C4766">
        <v>23.849551999999999</v>
      </c>
    </row>
    <row r="4767" spans="1:3" x14ac:dyDescent="0.25">
      <c r="A4767" t="s">
        <v>12</v>
      </c>
      <c r="B4767" s="1">
        <v>44918</v>
      </c>
      <c r="C4767">
        <v>23.944492</v>
      </c>
    </row>
    <row r="4768" spans="1:3" x14ac:dyDescent="0.25">
      <c r="A4768" t="s">
        <v>12</v>
      </c>
      <c r="B4768" s="1">
        <v>44922</v>
      </c>
      <c r="C4768">
        <v>24.162860999999999</v>
      </c>
    </row>
    <row r="4769" spans="1:3" x14ac:dyDescent="0.25">
      <c r="A4769" t="s">
        <v>12</v>
      </c>
      <c r="B4769" s="1">
        <v>44923</v>
      </c>
      <c r="C4769">
        <v>23.887526999999999</v>
      </c>
    </row>
    <row r="4770" spans="1:3" x14ac:dyDescent="0.25">
      <c r="A4770" t="s">
        <v>12</v>
      </c>
      <c r="B4770" s="1">
        <v>44924</v>
      </c>
      <c r="C4770">
        <v>24.210332999999999</v>
      </c>
    </row>
    <row r="4771" spans="1:3" x14ac:dyDescent="0.25">
      <c r="A4771" t="s">
        <v>12</v>
      </c>
      <c r="B4771" s="1">
        <v>44925</v>
      </c>
      <c r="C4771">
        <v>23.887526999999999</v>
      </c>
    </row>
    <row r="4772" spans="1:3" x14ac:dyDescent="0.25">
      <c r="A4772" t="s">
        <v>12</v>
      </c>
      <c r="B4772" s="1">
        <v>44928</v>
      </c>
      <c r="C4772">
        <v>24.438192000000001</v>
      </c>
    </row>
    <row r="4773" spans="1:3" x14ac:dyDescent="0.25">
      <c r="A4773" t="s">
        <v>12</v>
      </c>
      <c r="B4773" s="1">
        <v>44929</v>
      </c>
      <c r="C4773">
        <v>24.400217000000001</v>
      </c>
    </row>
    <row r="4774" spans="1:3" x14ac:dyDescent="0.25">
      <c r="A4774" t="s">
        <v>12</v>
      </c>
      <c r="B4774" s="1">
        <v>44930</v>
      </c>
      <c r="C4774">
        <v>25.007849</v>
      </c>
    </row>
    <row r="4775" spans="1:3" x14ac:dyDescent="0.25">
      <c r="A4775" t="s">
        <v>12</v>
      </c>
      <c r="B4775" s="1">
        <v>44931</v>
      </c>
      <c r="C4775">
        <v>25.245204999999999</v>
      </c>
    </row>
    <row r="4776" spans="1:3" x14ac:dyDescent="0.25">
      <c r="A4776" t="s">
        <v>12</v>
      </c>
      <c r="B4776" s="1">
        <v>44935</v>
      </c>
      <c r="C4776">
        <v>26.232607000000002</v>
      </c>
    </row>
    <row r="4777" spans="1:3" x14ac:dyDescent="0.25">
      <c r="A4777" t="s">
        <v>12</v>
      </c>
      <c r="B4777" s="1">
        <v>44936</v>
      </c>
      <c r="C4777">
        <v>25.795870000000001</v>
      </c>
    </row>
    <row r="4778" spans="1:3" x14ac:dyDescent="0.25">
      <c r="A4778" t="s">
        <v>12</v>
      </c>
      <c r="B4778" s="1">
        <v>44937</v>
      </c>
      <c r="C4778">
        <v>25.833846999999999</v>
      </c>
    </row>
    <row r="4779" spans="1:3" x14ac:dyDescent="0.25">
      <c r="A4779" t="s">
        <v>12</v>
      </c>
      <c r="B4779" s="1">
        <v>44938</v>
      </c>
      <c r="C4779">
        <v>26.232607000000002</v>
      </c>
    </row>
    <row r="4780" spans="1:3" x14ac:dyDescent="0.25">
      <c r="A4780" t="s">
        <v>12</v>
      </c>
      <c r="B4780" s="1">
        <v>44939</v>
      </c>
      <c r="C4780">
        <v>26.337042</v>
      </c>
    </row>
    <row r="4781" spans="1:3" x14ac:dyDescent="0.25">
      <c r="A4781" t="s">
        <v>12</v>
      </c>
      <c r="B4781" s="1">
        <v>44942</v>
      </c>
      <c r="C4781">
        <v>26.802261000000001</v>
      </c>
    </row>
    <row r="4782" spans="1:3" x14ac:dyDescent="0.25">
      <c r="A4782" t="s">
        <v>12</v>
      </c>
      <c r="B4782" s="1">
        <v>44943</v>
      </c>
      <c r="C4782">
        <v>27.13456</v>
      </c>
    </row>
    <row r="4783" spans="1:3" x14ac:dyDescent="0.25">
      <c r="A4783" t="s">
        <v>12</v>
      </c>
      <c r="B4783" s="1">
        <v>44944</v>
      </c>
      <c r="C4783">
        <v>27.286466999999998</v>
      </c>
    </row>
    <row r="4784" spans="1:3" x14ac:dyDescent="0.25">
      <c r="A4784" t="s">
        <v>12</v>
      </c>
      <c r="B4784" s="1">
        <v>44945</v>
      </c>
      <c r="C4784">
        <v>26.878215999999998</v>
      </c>
    </row>
    <row r="4785" spans="1:3" x14ac:dyDescent="0.25">
      <c r="A4785" t="s">
        <v>12</v>
      </c>
      <c r="B4785" s="1">
        <v>44946</v>
      </c>
      <c r="C4785">
        <v>27.333940999999999</v>
      </c>
    </row>
    <row r="4786" spans="1:3" x14ac:dyDescent="0.25">
      <c r="A4786" t="s">
        <v>12</v>
      </c>
      <c r="B4786" s="1">
        <v>44949</v>
      </c>
      <c r="C4786">
        <v>27.580787999999998</v>
      </c>
    </row>
    <row r="4787" spans="1:3" x14ac:dyDescent="0.25">
      <c r="A4787" t="s">
        <v>12</v>
      </c>
      <c r="B4787" s="1">
        <v>44950</v>
      </c>
      <c r="C4787">
        <v>27.257984</v>
      </c>
    </row>
    <row r="4788" spans="1:3" x14ac:dyDescent="0.25">
      <c r="A4788" t="s">
        <v>12</v>
      </c>
      <c r="B4788" s="1">
        <v>44951</v>
      </c>
      <c r="C4788">
        <v>27.172536999999998</v>
      </c>
    </row>
    <row r="4789" spans="1:3" x14ac:dyDescent="0.25">
      <c r="A4789" t="s">
        <v>12</v>
      </c>
      <c r="B4789" s="1">
        <v>44952</v>
      </c>
      <c r="C4789">
        <v>27.210514</v>
      </c>
    </row>
    <row r="4790" spans="1:3" x14ac:dyDescent="0.25">
      <c r="A4790" t="s">
        <v>12</v>
      </c>
      <c r="B4790" s="1">
        <v>44953</v>
      </c>
      <c r="C4790">
        <v>27.647248999999999</v>
      </c>
    </row>
    <row r="4791" spans="1:3" x14ac:dyDescent="0.25">
      <c r="A4791" t="s">
        <v>12</v>
      </c>
      <c r="B4791" s="1">
        <v>44956</v>
      </c>
      <c r="C4791">
        <v>27.533318999999999</v>
      </c>
    </row>
    <row r="4792" spans="1:3" x14ac:dyDescent="0.25">
      <c r="A4792" t="s">
        <v>12</v>
      </c>
      <c r="B4792" s="1">
        <v>44957</v>
      </c>
      <c r="C4792">
        <v>27.314951000000001</v>
      </c>
    </row>
    <row r="4793" spans="1:3" x14ac:dyDescent="0.25">
      <c r="A4793" t="s">
        <v>12</v>
      </c>
      <c r="B4793" s="1">
        <v>44958</v>
      </c>
      <c r="C4793">
        <v>27.827641</v>
      </c>
    </row>
    <row r="4794" spans="1:3" x14ac:dyDescent="0.25">
      <c r="A4794" t="s">
        <v>12</v>
      </c>
      <c r="B4794" s="1">
        <v>44959</v>
      </c>
      <c r="C4794">
        <v>30.666418</v>
      </c>
    </row>
    <row r="4795" spans="1:3" x14ac:dyDescent="0.25">
      <c r="A4795" t="s">
        <v>12</v>
      </c>
      <c r="B4795" s="1">
        <v>44960</v>
      </c>
      <c r="C4795">
        <v>30.486028999999998</v>
      </c>
    </row>
    <row r="4796" spans="1:3" x14ac:dyDescent="0.25">
      <c r="A4796" t="s">
        <v>12</v>
      </c>
      <c r="B4796" s="1">
        <v>44963</v>
      </c>
      <c r="C4796">
        <v>29.707502000000002</v>
      </c>
    </row>
    <row r="4797" spans="1:3" x14ac:dyDescent="0.25">
      <c r="A4797" t="s">
        <v>12</v>
      </c>
      <c r="B4797" s="1">
        <v>44964</v>
      </c>
      <c r="C4797">
        <v>30.153732000000002</v>
      </c>
    </row>
    <row r="4798" spans="1:3" x14ac:dyDescent="0.25">
      <c r="A4798" t="s">
        <v>12</v>
      </c>
      <c r="B4798" s="1">
        <v>44965</v>
      </c>
      <c r="C4798">
        <v>30.191706</v>
      </c>
    </row>
    <row r="4799" spans="1:3" x14ac:dyDescent="0.25">
      <c r="A4799" t="s">
        <v>12</v>
      </c>
      <c r="B4799" s="1">
        <v>44966</v>
      </c>
      <c r="C4799">
        <v>30.362604000000001</v>
      </c>
    </row>
    <row r="4800" spans="1:3" x14ac:dyDescent="0.25">
      <c r="A4800" t="s">
        <v>12</v>
      </c>
      <c r="B4800" s="1">
        <v>44967</v>
      </c>
      <c r="C4800">
        <v>30.077776</v>
      </c>
    </row>
    <row r="4801" spans="1:3" x14ac:dyDescent="0.25">
      <c r="A4801" t="s">
        <v>12</v>
      </c>
      <c r="B4801" s="1">
        <v>44970</v>
      </c>
      <c r="C4801">
        <v>30.334123999999999</v>
      </c>
    </row>
    <row r="4802" spans="1:3" x14ac:dyDescent="0.25">
      <c r="A4802" t="s">
        <v>12</v>
      </c>
      <c r="B4802" s="1">
        <v>44971</v>
      </c>
      <c r="C4802">
        <v>30.220189999999999</v>
      </c>
    </row>
    <row r="4803" spans="1:3" x14ac:dyDescent="0.25">
      <c r="A4803" t="s">
        <v>12</v>
      </c>
      <c r="B4803" s="1">
        <v>44972</v>
      </c>
      <c r="C4803">
        <v>30.429061999999998</v>
      </c>
    </row>
    <row r="4804" spans="1:3" x14ac:dyDescent="0.25">
      <c r="A4804" t="s">
        <v>12</v>
      </c>
      <c r="B4804" s="1">
        <v>44973</v>
      </c>
      <c r="C4804">
        <v>30.391086999999999</v>
      </c>
    </row>
    <row r="4805" spans="1:3" x14ac:dyDescent="0.25">
      <c r="A4805" t="s">
        <v>12</v>
      </c>
      <c r="B4805" s="1">
        <v>44974</v>
      </c>
      <c r="C4805">
        <v>30.239180000000001</v>
      </c>
    </row>
    <row r="4806" spans="1:3" x14ac:dyDescent="0.25">
      <c r="A4806" t="s">
        <v>12</v>
      </c>
      <c r="B4806" s="1">
        <v>44977</v>
      </c>
      <c r="C4806">
        <v>30.324629000000002</v>
      </c>
    </row>
    <row r="4807" spans="1:3" x14ac:dyDescent="0.25">
      <c r="A4807" t="s">
        <v>12</v>
      </c>
      <c r="B4807" s="1">
        <v>44978</v>
      </c>
      <c r="C4807">
        <v>30.020810999999998</v>
      </c>
    </row>
    <row r="4808" spans="1:3" x14ac:dyDescent="0.25">
      <c r="A4808" t="s">
        <v>12</v>
      </c>
      <c r="B4808" s="1">
        <v>44979</v>
      </c>
      <c r="C4808">
        <v>29.811937</v>
      </c>
    </row>
    <row r="4809" spans="1:3" x14ac:dyDescent="0.25">
      <c r="A4809" t="s">
        <v>12</v>
      </c>
      <c r="B4809" s="1">
        <v>44980</v>
      </c>
      <c r="C4809">
        <v>29.612559999999998</v>
      </c>
    </row>
    <row r="4810" spans="1:3" x14ac:dyDescent="0.25">
      <c r="A4810" t="s">
        <v>12</v>
      </c>
      <c r="B4810" s="1">
        <v>44981</v>
      </c>
      <c r="C4810">
        <v>29.375204</v>
      </c>
    </row>
    <row r="4811" spans="1:3" x14ac:dyDescent="0.25">
      <c r="A4811" t="s">
        <v>12</v>
      </c>
      <c r="B4811" s="1">
        <v>44984</v>
      </c>
      <c r="C4811">
        <v>29.555592999999998</v>
      </c>
    </row>
    <row r="4812" spans="1:3" x14ac:dyDescent="0.25">
      <c r="A4812" t="s">
        <v>12</v>
      </c>
      <c r="B4812" s="1">
        <v>44985</v>
      </c>
      <c r="C4812">
        <v>29.688513</v>
      </c>
    </row>
    <row r="4813" spans="1:3" x14ac:dyDescent="0.25">
      <c r="A4813" t="s">
        <v>12</v>
      </c>
      <c r="B4813" s="1">
        <v>44986</v>
      </c>
      <c r="C4813">
        <v>29.849916</v>
      </c>
    </row>
    <row r="4814" spans="1:3" x14ac:dyDescent="0.25">
      <c r="A4814" t="s">
        <v>12</v>
      </c>
      <c r="B4814" s="1">
        <v>44987</v>
      </c>
      <c r="C4814">
        <v>29.944859000000001</v>
      </c>
    </row>
    <row r="4815" spans="1:3" x14ac:dyDescent="0.25">
      <c r="A4815" t="s">
        <v>12</v>
      </c>
      <c r="B4815" s="1">
        <v>44988</v>
      </c>
      <c r="C4815">
        <v>30.239180000000001</v>
      </c>
    </row>
    <row r="4816" spans="1:3" x14ac:dyDescent="0.25">
      <c r="A4816" t="s">
        <v>12</v>
      </c>
      <c r="B4816" s="1">
        <v>44991</v>
      </c>
      <c r="C4816">
        <v>29.887892000000001</v>
      </c>
    </row>
    <row r="4817" spans="1:3" x14ac:dyDescent="0.25">
      <c r="A4817" t="s">
        <v>12</v>
      </c>
      <c r="B4817" s="1">
        <v>44992</v>
      </c>
      <c r="C4817">
        <v>29.783455</v>
      </c>
    </row>
    <row r="4818" spans="1:3" x14ac:dyDescent="0.25">
      <c r="A4818" t="s">
        <v>12</v>
      </c>
      <c r="B4818" s="1">
        <v>44993</v>
      </c>
      <c r="C4818">
        <v>29.906880999999998</v>
      </c>
    </row>
    <row r="4819" spans="1:3" x14ac:dyDescent="0.25">
      <c r="A4819" t="s">
        <v>12</v>
      </c>
      <c r="B4819" s="1">
        <v>44994</v>
      </c>
      <c r="C4819">
        <v>29.811937</v>
      </c>
    </row>
    <row r="4820" spans="1:3" x14ac:dyDescent="0.25">
      <c r="A4820" t="s">
        <v>12</v>
      </c>
      <c r="B4820" s="1">
        <v>44995</v>
      </c>
      <c r="C4820">
        <v>29.337225</v>
      </c>
    </row>
    <row r="4821" spans="1:3" x14ac:dyDescent="0.25">
      <c r="A4821" t="s">
        <v>12</v>
      </c>
      <c r="B4821" s="1">
        <v>44998</v>
      </c>
      <c r="C4821">
        <v>28.511227000000002</v>
      </c>
    </row>
    <row r="4822" spans="1:3" x14ac:dyDescent="0.25">
      <c r="A4822" t="s">
        <v>12</v>
      </c>
      <c r="B4822" s="1">
        <v>44999</v>
      </c>
      <c r="C4822">
        <v>29.042904</v>
      </c>
    </row>
    <row r="4823" spans="1:3" x14ac:dyDescent="0.25">
      <c r="A4823" t="s">
        <v>12</v>
      </c>
      <c r="B4823" s="1">
        <v>45000</v>
      </c>
      <c r="C4823">
        <v>27.789663000000001</v>
      </c>
    </row>
    <row r="4824" spans="1:3" x14ac:dyDescent="0.25">
      <c r="A4824" t="s">
        <v>12</v>
      </c>
      <c r="B4824" s="1">
        <v>45001</v>
      </c>
      <c r="C4824">
        <v>28.093478999999999</v>
      </c>
    </row>
    <row r="4825" spans="1:3" x14ac:dyDescent="0.25">
      <c r="A4825" t="s">
        <v>12</v>
      </c>
      <c r="B4825" s="1">
        <v>45002</v>
      </c>
      <c r="C4825">
        <v>27.913087999999998</v>
      </c>
    </row>
    <row r="4826" spans="1:3" x14ac:dyDescent="0.25">
      <c r="A4826" t="s">
        <v>12</v>
      </c>
      <c r="B4826" s="1">
        <v>45005</v>
      </c>
      <c r="C4826">
        <v>28.245387999999998</v>
      </c>
    </row>
    <row r="4827" spans="1:3" x14ac:dyDescent="0.25">
      <c r="A4827" t="s">
        <v>12</v>
      </c>
      <c r="B4827" s="1">
        <v>45006</v>
      </c>
      <c r="C4827">
        <v>28.748583</v>
      </c>
    </row>
    <row r="4828" spans="1:3" x14ac:dyDescent="0.25">
      <c r="A4828" t="s">
        <v>12</v>
      </c>
      <c r="B4828" s="1">
        <v>45007</v>
      </c>
      <c r="C4828">
        <v>28.302353</v>
      </c>
    </row>
    <row r="4829" spans="1:3" x14ac:dyDescent="0.25">
      <c r="A4829" t="s">
        <v>12</v>
      </c>
      <c r="B4829" s="1">
        <v>45008</v>
      </c>
      <c r="C4829">
        <v>28.477058</v>
      </c>
    </row>
    <row r="4830" spans="1:3" x14ac:dyDescent="0.25">
      <c r="A4830" t="s">
        <v>12</v>
      </c>
      <c r="B4830" s="1">
        <v>45009</v>
      </c>
      <c r="C4830">
        <v>27.574411000000001</v>
      </c>
    </row>
    <row r="4831" spans="1:3" x14ac:dyDescent="0.25">
      <c r="A4831" t="s">
        <v>12</v>
      </c>
      <c r="B4831" s="1">
        <v>45012</v>
      </c>
      <c r="C4831">
        <v>27.787939000000001</v>
      </c>
    </row>
    <row r="4832" spans="1:3" x14ac:dyDescent="0.25">
      <c r="A4832" t="s">
        <v>12</v>
      </c>
      <c r="B4832" s="1">
        <v>45013</v>
      </c>
      <c r="C4832">
        <v>27.923822000000001</v>
      </c>
    </row>
    <row r="4833" spans="1:3" x14ac:dyDescent="0.25">
      <c r="A4833" t="s">
        <v>12</v>
      </c>
      <c r="B4833" s="1">
        <v>45014</v>
      </c>
      <c r="C4833">
        <v>28.418823</v>
      </c>
    </row>
    <row r="4834" spans="1:3" x14ac:dyDescent="0.25">
      <c r="A4834" t="s">
        <v>12</v>
      </c>
      <c r="B4834" s="1">
        <v>45015</v>
      </c>
      <c r="C4834">
        <v>28.836174</v>
      </c>
    </row>
    <row r="4835" spans="1:3" x14ac:dyDescent="0.25">
      <c r="A4835" t="s">
        <v>12</v>
      </c>
      <c r="B4835" s="1">
        <v>45016</v>
      </c>
      <c r="C4835">
        <v>28.962353</v>
      </c>
    </row>
    <row r="4836" spans="1:3" x14ac:dyDescent="0.25">
      <c r="A4836" t="s">
        <v>12</v>
      </c>
      <c r="B4836" s="1">
        <v>45019</v>
      </c>
      <c r="C4836">
        <v>28.875</v>
      </c>
    </row>
    <row r="4837" spans="1:3" x14ac:dyDescent="0.25">
      <c r="A4837" t="s">
        <v>12</v>
      </c>
      <c r="B4837" s="1">
        <v>45020</v>
      </c>
      <c r="C4837">
        <v>29.515587</v>
      </c>
    </row>
    <row r="4838" spans="1:3" x14ac:dyDescent="0.25">
      <c r="A4838" t="s">
        <v>12</v>
      </c>
      <c r="B4838" s="1">
        <v>45021</v>
      </c>
      <c r="C4838">
        <v>28.28294</v>
      </c>
    </row>
    <row r="4839" spans="1:3" x14ac:dyDescent="0.25">
      <c r="A4839" t="s">
        <v>12</v>
      </c>
      <c r="B4839" s="1">
        <v>45022</v>
      </c>
      <c r="C4839">
        <v>28.370293</v>
      </c>
    </row>
    <row r="4840" spans="1:3" x14ac:dyDescent="0.25">
      <c r="A4840" t="s">
        <v>12</v>
      </c>
      <c r="B4840" s="1">
        <v>45027</v>
      </c>
      <c r="C4840">
        <v>28.457644999999999</v>
      </c>
    </row>
    <row r="4841" spans="1:3" x14ac:dyDescent="0.25">
      <c r="A4841" t="s">
        <v>12</v>
      </c>
      <c r="B4841" s="1">
        <v>45028</v>
      </c>
      <c r="C4841">
        <v>27.322057999999998</v>
      </c>
    </row>
    <row r="4842" spans="1:3" x14ac:dyDescent="0.25">
      <c r="A4842" t="s">
        <v>12</v>
      </c>
      <c r="B4842" s="1">
        <v>45029</v>
      </c>
      <c r="C4842">
        <v>27.360882</v>
      </c>
    </row>
    <row r="4843" spans="1:3" x14ac:dyDescent="0.25">
      <c r="A4843" t="s">
        <v>12</v>
      </c>
      <c r="B4843" s="1">
        <v>45030</v>
      </c>
      <c r="C4843">
        <v>28.020882</v>
      </c>
    </row>
    <row r="4844" spans="1:3" x14ac:dyDescent="0.25">
      <c r="A4844" t="s">
        <v>12</v>
      </c>
      <c r="B4844" s="1">
        <v>45033</v>
      </c>
      <c r="C4844">
        <v>27.982057999999999</v>
      </c>
    </row>
    <row r="4845" spans="1:3" x14ac:dyDescent="0.25">
      <c r="A4845" t="s">
        <v>12</v>
      </c>
      <c r="B4845" s="1">
        <v>45034</v>
      </c>
      <c r="C4845">
        <v>28.040292999999998</v>
      </c>
    </row>
    <row r="4846" spans="1:3" x14ac:dyDescent="0.25">
      <c r="A4846" t="s">
        <v>12</v>
      </c>
      <c r="B4846" s="1">
        <v>45035</v>
      </c>
      <c r="C4846">
        <v>27.312351</v>
      </c>
    </row>
    <row r="4847" spans="1:3" x14ac:dyDescent="0.25">
      <c r="A4847" t="s">
        <v>12</v>
      </c>
      <c r="B4847" s="1">
        <v>45036</v>
      </c>
      <c r="C4847">
        <v>26.827057</v>
      </c>
    </row>
    <row r="4848" spans="1:3" x14ac:dyDescent="0.25">
      <c r="A4848" t="s">
        <v>12</v>
      </c>
      <c r="B4848" s="1">
        <v>45037</v>
      </c>
      <c r="C4848">
        <v>26.30294</v>
      </c>
    </row>
    <row r="4849" spans="1:3" x14ac:dyDescent="0.25">
      <c r="A4849" t="s">
        <v>12</v>
      </c>
      <c r="B4849" s="1">
        <v>45040</v>
      </c>
      <c r="C4849">
        <v>26.312646999999998</v>
      </c>
    </row>
    <row r="4850" spans="1:3" x14ac:dyDescent="0.25">
      <c r="A4850" t="s">
        <v>12</v>
      </c>
      <c r="B4850" s="1">
        <v>45041</v>
      </c>
      <c r="C4850">
        <v>26.506762999999999</v>
      </c>
    </row>
    <row r="4851" spans="1:3" x14ac:dyDescent="0.25">
      <c r="A4851" t="s">
        <v>12</v>
      </c>
      <c r="B4851" s="1">
        <v>45042</v>
      </c>
      <c r="C4851">
        <v>29.030293</v>
      </c>
    </row>
    <row r="4852" spans="1:3" x14ac:dyDescent="0.25">
      <c r="A4852" t="s">
        <v>12</v>
      </c>
      <c r="B4852" s="1">
        <v>45043</v>
      </c>
      <c r="C4852">
        <v>30.622057000000002</v>
      </c>
    </row>
    <row r="4853" spans="1:3" x14ac:dyDescent="0.25">
      <c r="A4853" t="s">
        <v>12</v>
      </c>
      <c r="B4853" s="1">
        <v>45044</v>
      </c>
      <c r="C4853">
        <v>29.719411999999998</v>
      </c>
    </row>
    <row r="4854" spans="1:3" x14ac:dyDescent="0.25">
      <c r="A4854" t="s">
        <v>12</v>
      </c>
      <c r="B4854" s="1">
        <v>45048</v>
      </c>
      <c r="C4854">
        <v>29.146764999999998</v>
      </c>
    </row>
    <row r="4855" spans="1:3" x14ac:dyDescent="0.25">
      <c r="A4855" t="s">
        <v>12</v>
      </c>
      <c r="B4855" s="1">
        <v>45049</v>
      </c>
      <c r="C4855">
        <v>29.156471</v>
      </c>
    </row>
    <row r="4856" spans="1:3" x14ac:dyDescent="0.25">
      <c r="A4856" t="s">
        <v>12</v>
      </c>
      <c r="B4856" s="1">
        <v>45050</v>
      </c>
      <c r="C4856">
        <v>28.438234000000001</v>
      </c>
    </row>
    <row r="4857" spans="1:3" x14ac:dyDescent="0.25">
      <c r="A4857" t="s">
        <v>12</v>
      </c>
      <c r="B4857" s="1">
        <v>45051</v>
      </c>
      <c r="C4857">
        <v>28.962353</v>
      </c>
    </row>
    <row r="4858" spans="1:3" x14ac:dyDescent="0.25">
      <c r="A4858" t="s">
        <v>12</v>
      </c>
      <c r="B4858" s="1">
        <v>45054</v>
      </c>
      <c r="C4858">
        <v>28.99147</v>
      </c>
    </row>
    <row r="4859" spans="1:3" x14ac:dyDescent="0.25">
      <c r="A4859" t="s">
        <v>12</v>
      </c>
      <c r="B4859" s="1">
        <v>45055</v>
      </c>
      <c r="C4859">
        <v>28.748823000000002</v>
      </c>
    </row>
    <row r="4860" spans="1:3" x14ac:dyDescent="0.25">
      <c r="A4860" t="s">
        <v>12</v>
      </c>
      <c r="B4860" s="1">
        <v>45056</v>
      </c>
      <c r="C4860">
        <v>28.807058000000001</v>
      </c>
    </row>
    <row r="4861" spans="1:3" x14ac:dyDescent="0.25">
      <c r="A4861" t="s">
        <v>12</v>
      </c>
      <c r="B4861" s="1">
        <v>45057</v>
      </c>
      <c r="C4861">
        <v>28.826471000000002</v>
      </c>
    </row>
    <row r="4862" spans="1:3" x14ac:dyDescent="0.25">
      <c r="A4862" t="s">
        <v>12</v>
      </c>
      <c r="B4862" s="1">
        <v>45058</v>
      </c>
      <c r="C4862">
        <v>28.758527999999998</v>
      </c>
    </row>
    <row r="4863" spans="1:3" x14ac:dyDescent="0.25">
      <c r="A4863" t="s">
        <v>12</v>
      </c>
      <c r="B4863" s="1">
        <v>45061</v>
      </c>
      <c r="C4863">
        <v>29.214704999999999</v>
      </c>
    </row>
    <row r="4864" spans="1:3" x14ac:dyDescent="0.25">
      <c r="A4864" t="s">
        <v>12</v>
      </c>
      <c r="B4864" s="1">
        <v>45062</v>
      </c>
      <c r="C4864">
        <v>28.952646000000001</v>
      </c>
    </row>
    <row r="4865" spans="1:3" x14ac:dyDescent="0.25">
      <c r="A4865" t="s">
        <v>12</v>
      </c>
      <c r="B4865" s="1">
        <v>45063</v>
      </c>
      <c r="C4865">
        <v>28.952646000000001</v>
      </c>
    </row>
    <row r="4866" spans="1:3" x14ac:dyDescent="0.25">
      <c r="A4866" t="s">
        <v>12</v>
      </c>
      <c r="B4866" s="1">
        <v>45065</v>
      </c>
      <c r="C4866">
        <v>29.020588</v>
      </c>
    </row>
    <row r="4867" spans="1:3" x14ac:dyDescent="0.25">
      <c r="A4867" t="s">
        <v>12</v>
      </c>
      <c r="B4867" s="1">
        <v>45068</v>
      </c>
      <c r="C4867">
        <v>29.049706</v>
      </c>
    </row>
    <row r="4868" spans="1:3" x14ac:dyDescent="0.25">
      <c r="A4868" t="s">
        <v>12</v>
      </c>
      <c r="B4868" s="1">
        <v>45069</v>
      </c>
      <c r="C4868">
        <v>28.612939999999998</v>
      </c>
    </row>
    <row r="4869" spans="1:3" x14ac:dyDescent="0.25">
      <c r="A4869" t="s">
        <v>12</v>
      </c>
      <c r="B4869" s="1">
        <v>45070</v>
      </c>
      <c r="C4869">
        <v>27.603529000000002</v>
      </c>
    </row>
    <row r="4870" spans="1:3" x14ac:dyDescent="0.25">
      <c r="A4870" t="s">
        <v>12</v>
      </c>
      <c r="B4870" s="1">
        <v>45071</v>
      </c>
      <c r="C4870">
        <v>26.477647999999999</v>
      </c>
    </row>
    <row r="4871" spans="1:3" x14ac:dyDescent="0.25">
      <c r="A4871" t="s">
        <v>12</v>
      </c>
      <c r="B4871" s="1">
        <v>45072</v>
      </c>
      <c r="C4871">
        <v>27.030881999999998</v>
      </c>
    </row>
    <row r="4872" spans="1:3" x14ac:dyDescent="0.25">
      <c r="A4872" t="s">
        <v>12</v>
      </c>
      <c r="B4872" s="1">
        <v>45075</v>
      </c>
      <c r="C4872">
        <v>27.021174999999999</v>
      </c>
    </row>
    <row r="4873" spans="1:3" x14ac:dyDescent="0.25">
      <c r="A4873" t="s">
        <v>12</v>
      </c>
      <c r="B4873" s="1">
        <v>45076</v>
      </c>
      <c r="C4873">
        <v>27.098824</v>
      </c>
    </row>
    <row r="4874" spans="1:3" x14ac:dyDescent="0.25">
      <c r="A4874" t="s">
        <v>12</v>
      </c>
      <c r="B4874" s="1">
        <v>45077</v>
      </c>
      <c r="C4874">
        <v>26.720295</v>
      </c>
    </row>
    <row r="4875" spans="1:3" x14ac:dyDescent="0.25">
      <c r="A4875" t="s">
        <v>12</v>
      </c>
      <c r="B4875" s="1">
        <v>45078</v>
      </c>
      <c r="C4875">
        <v>27.098824</v>
      </c>
    </row>
    <row r="4876" spans="1:3" x14ac:dyDescent="0.25">
      <c r="A4876" t="s">
        <v>12</v>
      </c>
      <c r="B4876" s="1">
        <v>45079</v>
      </c>
      <c r="C4876">
        <v>27.943235000000001</v>
      </c>
    </row>
    <row r="4877" spans="1:3" x14ac:dyDescent="0.25">
      <c r="A4877" t="s">
        <v>12</v>
      </c>
      <c r="B4877" s="1">
        <v>45082</v>
      </c>
      <c r="C4877">
        <v>27.952940000000002</v>
      </c>
    </row>
    <row r="4878" spans="1:3" x14ac:dyDescent="0.25">
      <c r="A4878" t="s">
        <v>12</v>
      </c>
      <c r="B4878" s="1">
        <v>45083</v>
      </c>
      <c r="C4878">
        <v>28.127645000000001</v>
      </c>
    </row>
    <row r="4879" spans="1:3" x14ac:dyDescent="0.25">
      <c r="A4879" t="s">
        <v>12</v>
      </c>
      <c r="B4879" s="1">
        <v>45084</v>
      </c>
      <c r="C4879">
        <v>28.011177</v>
      </c>
    </row>
    <row r="4880" spans="1:3" x14ac:dyDescent="0.25">
      <c r="A4880" t="s">
        <v>12</v>
      </c>
      <c r="B4880" s="1">
        <v>45085</v>
      </c>
      <c r="C4880">
        <v>28.127645000000001</v>
      </c>
    </row>
    <row r="4881" spans="1:3" x14ac:dyDescent="0.25">
      <c r="A4881" t="s">
        <v>12</v>
      </c>
      <c r="B4881" s="1">
        <v>45086</v>
      </c>
      <c r="C4881">
        <v>28.389706</v>
      </c>
    </row>
    <row r="4882" spans="1:3" x14ac:dyDescent="0.25">
      <c r="A4882" t="s">
        <v>12</v>
      </c>
      <c r="B4882" s="1">
        <v>45089</v>
      </c>
      <c r="C4882">
        <v>28.312056999999999</v>
      </c>
    </row>
    <row r="4883" spans="1:3" x14ac:dyDescent="0.25">
      <c r="A4883" t="s">
        <v>12</v>
      </c>
      <c r="B4883" s="1">
        <v>45090</v>
      </c>
      <c r="C4883">
        <v>28.341176999999998</v>
      </c>
    </row>
    <row r="4884" spans="1:3" x14ac:dyDescent="0.25">
      <c r="A4884" t="s">
        <v>12</v>
      </c>
      <c r="B4884" s="1">
        <v>45091</v>
      </c>
      <c r="C4884">
        <v>28.360586000000001</v>
      </c>
    </row>
    <row r="4885" spans="1:3" x14ac:dyDescent="0.25">
      <c r="A4885" t="s">
        <v>12</v>
      </c>
      <c r="B4885" s="1">
        <v>45092</v>
      </c>
      <c r="C4885">
        <v>27.652058</v>
      </c>
    </row>
    <row r="4886" spans="1:3" x14ac:dyDescent="0.25">
      <c r="A4886" t="s">
        <v>12</v>
      </c>
      <c r="B4886" s="1">
        <v>45093</v>
      </c>
      <c r="C4886">
        <v>27.351175000000001</v>
      </c>
    </row>
    <row r="4887" spans="1:3" x14ac:dyDescent="0.25">
      <c r="A4887" t="s">
        <v>12</v>
      </c>
      <c r="B4887" s="1">
        <v>45096</v>
      </c>
      <c r="C4887">
        <v>26.982351000000001</v>
      </c>
    </row>
    <row r="4888" spans="1:3" x14ac:dyDescent="0.25">
      <c r="A4888" t="s">
        <v>12</v>
      </c>
      <c r="B4888" s="1">
        <v>45097</v>
      </c>
      <c r="C4888">
        <v>26.797941000000002</v>
      </c>
    </row>
    <row r="4889" spans="1:3" x14ac:dyDescent="0.25">
      <c r="A4889" t="s">
        <v>12</v>
      </c>
      <c r="B4889" s="1">
        <v>45098</v>
      </c>
      <c r="C4889">
        <v>25.846764</v>
      </c>
    </row>
    <row r="4890" spans="1:3" x14ac:dyDescent="0.25">
      <c r="A4890" t="s">
        <v>12</v>
      </c>
      <c r="B4890" s="1">
        <v>45099</v>
      </c>
      <c r="C4890">
        <v>24.468529</v>
      </c>
    </row>
    <row r="4891" spans="1:3" x14ac:dyDescent="0.25">
      <c r="A4891" t="s">
        <v>12</v>
      </c>
      <c r="B4891" s="1">
        <v>45103</v>
      </c>
      <c r="C4891">
        <v>23.963823000000001</v>
      </c>
    </row>
    <row r="4892" spans="1:3" x14ac:dyDescent="0.25">
      <c r="A4892" t="s">
        <v>12</v>
      </c>
      <c r="B4892" s="1">
        <v>45104</v>
      </c>
      <c r="C4892">
        <v>24.119118</v>
      </c>
    </row>
    <row r="4893" spans="1:3" x14ac:dyDescent="0.25">
      <c r="A4893" t="s">
        <v>12</v>
      </c>
      <c r="B4893" s="1">
        <v>45105</v>
      </c>
      <c r="C4893">
        <v>24.487939999999998</v>
      </c>
    </row>
    <row r="4894" spans="1:3" x14ac:dyDescent="0.25">
      <c r="A4894" t="s">
        <v>12</v>
      </c>
      <c r="B4894" s="1">
        <v>45106</v>
      </c>
      <c r="C4894">
        <v>24.594705999999999</v>
      </c>
    </row>
    <row r="4895" spans="1:3" x14ac:dyDescent="0.25">
      <c r="A4895" t="s">
        <v>12</v>
      </c>
      <c r="B4895" s="1">
        <v>45107</v>
      </c>
      <c r="C4895">
        <v>24.730587</v>
      </c>
    </row>
    <row r="4896" spans="1:3" x14ac:dyDescent="0.25">
      <c r="A4896" t="s">
        <v>12</v>
      </c>
      <c r="B4896" s="1">
        <v>45110</v>
      </c>
      <c r="C4896">
        <v>24.75</v>
      </c>
    </row>
    <row r="4897" spans="1:3" x14ac:dyDescent="0.25">
      <c r="A4897" t="s">
        <v>12</v>
      </c>
      <c r="B4897" s="1">
        <v>45111</v>
      </c>
      <c r="C4897">
        <v>24.856763999999998</v>
      </c>
    </row>
    <row r="4898" spans="1:3" x14ac:dyDescent="0.25">
      <c r="A4898" t="s">
        <v>12</v>
      </c>
      <c r="B4898" s="1">
        <v>45112</v>
      </c>
      <c r="C4898">
        <v>24.701471000000002</v>
      </c>
    </row>
    <row r="4899" spans="1:3" x14ac:dyDescent="0.25">
      <c r="A4899" t="s">
        <v>12</v>
      </c>
      <c r="B4899" s="1">
        <v>45113</v>
      </c>
      <c r="C4899">
        <v>24.031765</v>
      </c>
    </row>
    <row r="4900" spans="1:3" x14ac:dyDescent="0.25">
      <c r="A4900" t="s">
        <v>12</v>
      </c>
      <c r="B4900" s="1">
        <v>45114</v>
      </c>
      <c r="C4900">
        <v>24.449117999999999</v>
      </c>
    </row>
    <row r="4901" spans="1:3" x14ac:dyDescent="0.25">
      <c r="A4901" t="s">
        <v>12</v>
      </c>
      <c r="B4901" s="1">
        <v>45117</v>
      </c>
      <c r="C4901">
        <v>24.342352000000002</v>
      </c>
    </row>
    <row r="4902" spans="1:3" x14ac:dyDescent="0.25">
      <c r="A4902" t="s">
        <v>12</v>
      </c>
      <c r="B4902" s="1">
        <v>45118</v>
      </c>
      <c r="C4902">
        <v>24.536470000000001</v>
      </c>
    </row>
    <row r="4903" spans="1:3" x14ac:dyDescent="0.25">
      <c r="A4903" t="s">
        <v>12</v>
      </c>
      <c r="B4903" s="1">
        <v>45119</v>
      </c>
      <c r="C4903">
        <v>25.215881</v>
      </c>
    </row>
    <row r="4904" spans="1:3" x14ac:dyDescent="0.25">
      <c r="A4904" t="s">
        <v>12</v>
      </c>
      <c r="B4904" s="1">
        <v>45120</v>
      </c>
      <c r="C4904">
        <v>25.264412</v>
      </c>
    </row>
    <row r="4905" spans="1:3" x14ac:dyDescent="0.25">
      <c r="A4905" t="s">
        <v>12</v>
      </c>
      <c r="B4905" s="1">
        <v>45121</v>
      </c>
      <c r="C4905">
        <v>25.186765999999999</v>
      </c>
    </row>
    <row r="4906" spans="1:3" x14ac:dyDescent="0.25">
      <c r="A4906" t="s">
        <v>12</v>
      </c>
      <c r="B4906" s="1">
        <v>45124</v>
      </c>
      <c r="C4906">
        <v>25.604116000000001</v>
      </c>
    </row>
    <row r="4907" spans="1:3" x14ac:dyDescent="0.25">
      <c r="A4907" t="s">
        <v>12</v>
      </c>
      <c r="B4907" s="1">
        <v>45125</v>
      </c>
      <c r="C4907">
        <v>26.07</v>
      </c>
    </row>
    <row r="4908" spans="1:3" x14ac:dyDescent="0.25">
      <c r="A4908" t="s">
        <v>12</v>
      </c>
      <c r="B4908" s="1">
        <v>45126</v>
      </c>
      <c r="C4908">
        <v>26.050587</v>
      </c>
    </row>
    <row r="4909" spans="1:3" x14ac:dyDescent="0.25">
      <c r="A4909" t="s">
        <v>12</v>
      </c>
      <c r="B4909" s="1">
        <v>45127</v>
      </c>
      <c r="C4909">
        <v>25.866174999999998</v>
      </c>
    </row>
    <row r="4910" spans="1:3" x14ac:dyDescent="0.25">
      <c r="A4910" t="s">
        <v>12</v>
      </c>
      <c r="B4910" s="1">
        <v>45128</v>
      </c>
      <c r="C4910">
        <v>24.924706</v>
      </c>
    </row>
    <row r="4911" spans="1:3" x14ac:dyDescent="0.25">
      <c r="A4911" t="s">
        <v>12</v>
      </c>
      <c r="B4911" s="1">
        <v>45131</v>
      </c>
      <c r="C4911">
        <v>25.08</v>
      </c>
    </row>
    <row r="4912" spans="1:3" x14ac:dyDescent="0.25">
      <c r="A4912" t="s">
        <v>12</v>
      </c>
      <c r="B4912" s="1">
        <v>45132</v>
      </c>
      <c r="C4912">
        <v>25.555588</v>
      </c>
    </row>
    <row r="4913" spans="1:3" x14ac:dyDescent="0.25">
      <c r="A4913" t="s">
        <v>12</v>
      </c>
      <c r="B4913" s="1">
        <v>45133</v>
      </c>
      <c r="C4913">
        <v>24.245293</v>
      </c>
    </row>
    <row r="4914" spans="1:3" x14ac:dyDescent="0.25">
      <c r="A4914" t="s">
        <v>12</v>
      </c>
      <c r="B4914" s="1">
        <v>45134</v>
      </c>
      <c r="C4914">
        <v>23.061176</v>
      </c>
    </row>
    <row r="4915" spans="1:3" x14ac:dyDescent="0.25">
      <c r="A4915" t="s">
        <v>12</v>
      </c>
      <c r="B4915" s="1">
        <v>45135</v>
      </c>
      <c r="C4915">
        <v>23.429998000000001</v>
      </c>
    </row>
    <row r="4916" spans="1:3" x14ac:dyDescent="0.25">
      <c r="A4916" t="s">
        <v>12</v>
      </c>
      <c r="B4916" s="1">
        <v>45138</v>
      </c>
      <c r="C4916">
        <v>23.400883</v>
      </c>
    </row>
    <row r="4917" spans="1:3" x14ac:dyDescent="0.25">
      <c r="A4917" t="s">
        <v>12</v>
      </c>
      <c r="B4917" s="1">
        <v>45139</v>
      </c>
      <c r="C4917">
        <v>23.420292</v>
      </c>
    </row>
    <row r="4918" spans="1:3" x14ac:dyDescent="0.25">
      <c r="A4918" t="s">
        <v>12</v>
      </c>
      <c r="B4918" s="1">
        <v>45140</v>
      </c>
      <c r="C4918">
        <v>23.303823000000001</v>
      </c>
    </row>
    <row r="4919" spans="1:3" x14ac:dyDescent="0.25">
      <c r="A4919" t="s">
        <v>12</v>
      </c>
      <c r="B4919" s="1">
        <v>45141</v>
      </c>
      <c r="C4919">
        <v>23.109705000000002</v>
      </c>
    </row>
    <row r="4920" spans="1:3" x14ac:dyDescent="0.25">
      <c r="A4920" t="s">
        <v>12</v>
      </c>
      <c r="B4920" s="1">
        <v>45142</v>
      </c>
      <c r="C4920">
        <v>23.012646</v>
      </c>
    </row>
    <row r="4921" spans="1:3" x14ac:dyDescent="0.25">
      <c r="A4921" t="s">
        <v>12</v>
      </c>
      <c r="B4921" s="1">
        <v>45145</v>
      </c>
      <c r="C4921">
        <v>22.905881999999998</v>
      </c>
    </row>
    <row r="4922" spans="1:3" x14ac:dyDescent="0.25">
      <c r="A4922" t="s">
        <v>12</v>
      </c>
      <c r="B4922" s="1">
        <v>45146</v>
      </c>
      <c r="C4922">
        <v>22.517647</v>
      </c>
    </row>
    <row r="4923" spans="1:3" x14ac:dyDescent="0.25">
      <c r="A4923" t="s">
        <v>12</v>
      </c>
      <c r="B4923" s="1">
        <v>45147</v>
      </c>
      <c r="C4923">
        <v>22.682648</v>
      </c>
    </row>
    <row r="4924" spans="1:3" x14ac:dyDescent="0.25">
      <c r="A4924" t="s">
        <v>12</v>
      </c>
      <c r="B4924" s="1">
        <v>45148</v>
      </c>
      <c r="C4924">
        <v>22.595295</v>
      </c>
    </row>
    <row r="4925" spans="1:3" x14ac:dyDescent="0.25">
      <c r="A4925" t="s">
        <v>12</v>
      </c>
      <c r="B4925" s="1">
        <v>45149</v>
      </c>
      <c r="C4925">
        <v>22.401176</v>
      </c>
    </row>
    <row r="4926" spans="1:3" x14ac:dyDescent="0.25">
      <c r="A4926" t="s">
        <v>12</v>
      </c>
      <c r="B4926" s="1">
        <v>45152</v>
      </c>
      <c r="C4926">
        <v>22.313821999999998</v>
      </c>
    </row>
    <row r="4927" spans="1:3" x14ac:dyDescent="0.25">
      <c r="A4927" t="s">
        <v>12</v>
      </c>
      <c r="B4927" s="1">
        <v>45153</v>
      </c>
      <c r="C4927">
        <v>22.440000999999999</v>
      </c>
    </row>
    <row r="4928" spans="1:3" x14ac:dyDescent="0.25">
      <c r="A4928" t="s">
        <v>12</v>
      </c>
      <c r="B4928" s="1">
        <v>45154</v>
      </c>
      <c r="C4928">
        <v>22.187646999999998</v>
      </c>
    </row>
    <row r="4929" spans="1:3" x14ac:dyDescent="0.25">
      <c r="A4929" t="s">
        <v>12</v>
      </c>
      <c r="B4929" s="1">
        <v>45155</v>
      </c>
      <c r="C4929">
        <v>21.87706</v>
      </c>
    </row>
    <row r="4930" spans="1:3" x14ac:dyDescent="0.25">
      <c r="A4930" t="s">
        <v>12</v>
      </c>
      <c r="B4930" s="1">
        <v>45156</v>
      </c>
      <c r="C4930">
        <v>21.867353000000001</v>
      </c>
    </row>
    <row r="4931" spans="1:3" x14ac:dyDescent="0.25">
      <c r="A4931" t="s">
        <v>12</v>
      </c>
      <c r="B4931" s="1">
        <v>45159</v>
      </c>
      <c r="C4931">
        <v>21.673234999999998</v>
      </c>
    </row>
    <row r="4932" spans="1:3" x14ac:dyDescent="0.25">
      <c r="A4932" t="s">
        <v>12</v>
      </c>
      <c r="B4932" s="1">
        <v>45160</v>
      </c>
      <c r="C4932">
        <v>22.080881000000002</v>
      </c>
    </row>
    <row r="4933" spans="1:3" x14ac:dyDescent="0.25">
      <c r="A4933" t="s">
        <v>12</v>
      </c>
      <c r="B4933" s="1">
        <v>45161</v>
      </c>
      <c r="C4933">
        <v>22.042057</v>
      </c>
    </row>
    <row r="4934" spans="1:3" x14ac:dyDescent="0.25">
      <c r="A4934" t="s">
        <v>12</v>
      </c>
      <c r="B4934" s="1">
        <v>45162</v>
      </c>
      <c r="C4934">
        <v>21.799410000000002</v>
      </c>
    </row>
    <row r="4935" spans="1:3" x14ac:dyDescent="0.25">
      <c r="A4935" t="s">
        <v>12</v>
      </c>
      <c r="B4935" s="1">
        <v>45163</v>
      </c>
      <c r="C4935">
        <v>21.87706</v>
      </c>
    </row>
    <row r="4936" spans="1:3" x14ac:dyDescent="0.25">
      <c r="A4936" t="s">
        <v>12</v>
      </c>
      <c r="B4936" s="1">
        <v>45166</v>
      </c>
      <c r="C4936">
        <v>22.372057000000002</v>
      </c>
    </row>
    <row r="4937" spans="1:3" x14ac:dyDescent="0.25">
      <c r="A4937" t="s">
        <v>12</v>
      </c>
      <c r="B4937" s="1">
        <v>45167</v>
      </c>
      <c r="C4937">
        <v>22.72147</v>
      </c>
    </row>
    <row r="4938" spans="1:3" x14ac:dyDescent="0.25">
      <c r="A4938" t="s">
        <v>12</v>
      </c>
      <c r="B4938" s="1">
        <v>45168</v>
      </c>
      <c r="C4938">
        <v>22.808823</v>
      </c>
    </row>
    <row r="4939" spans="1:3" x14ac:dyDescent="0.25">
      <c r="A4939" t="s">
        <v>12</v>
      </c>
      <c r="B4939" s="1">
        <v>45169</v>
      </c>
      <c r="C4939">
        <v>22.808823</v>
      </c>
    </row>
    <row r="4940" spans="1:3" x14ac:dyDescent="0.25">
      <c r="A4940" t="s">
        <v>12</v>
      </c>
      <c r="B4940" s="1">
        <v>45170</v>
      </c>
      <c r="C4940">
        <v>22.760293999999998</v>
      </c>
    </row>
    <row r="4941" spans="1:3" x14ac:dyDescent="0.25">
      <c r="A4941" t="s">
        <v>12</v>
      </c>
      <c r="B4941" s="1">
        <v>45173</v>
      </c>
      <c r="C4941">
        <v>22.847646999999998</v>
      </c>
    </row>
    <row r="4942" spans="1:3" x14ac:dyDescent="0.25">
      <c r="A4942" t="s">
        <v>12</v>
      </c>
      <c r="B4942" s="1">
        <v>45174</v>
      </c>
      <c r="C4942">
        <v>22.837942000000002</v>
      </c>
    </row>
    <row r="4943" spans="1:3" x14ac:dyDescent="0.25">
      <c r="A4943" t="s">
        <v>12</v>
      </c>
      <c r="B4943" s="1">
        <v>45175</v>
      </c>
      <c r="C4943">
        <v>22.740883</v>
      </c>
    </row>
    <row r="4944" spans="1:3" x14ac:dyDescent="0.25">
      <c r="A4944" t="s">
        <v>12</v>
      </c>
      <c r="B4944" s="1">
        <v>45176</v>
      </c>
      <c r="C4944">
        <v>22.265293</v>
      </c>
    </row>
    <row r="4945" spans="1:3" x14ac:dyDescent="0.25">
      <c r="A4945" t="s">
        <v>12</v>
      </c>
      <c r="B4945" s="1">
        <v>45177</v>
      </c>
      <c r="C4945">
        <v>22.207058</v>
      </c>
    </row>
    <row r="4946" spans="1:3" x14ac:dyDescent="0.25">
      <c r="A4946" t="s">
        <v>12</v>
      </c>
      <c r="B4946" s="1">
        <v>45180</v>
      </c>
      <c r="C4946">
        <v>22.274999999999999</v>
      </c>
    </row>
    <row r="4947" spans="1:3" x14ac:dyDescent="0.25">
      <c r="A4947" t="s">
        <v>12</v>
      </c>
      <c r="B4947" s="1">
        <v>45181</v>
      </c>
      <c r="C4947">
        <v>22.17794</v>
      </c>
    </row>
    <row r="4948" spans="1:3" x14ac:dyDescent="0.25">
      <c r="A4948" t="s">
        <v>12</v>
      </c>
      <c r="B4948" s="1">
        <v>45182</v>
      </c>
      <c r="C4948">
        <v>22.139116000000001</v>
      </c>
    </row>
    <row r="4949" spans="1:3" x14ac:dyDescent="0.25">
      <c r="A4949" t="s">
        <v>12</v>
      </c>
      <c r="B4949" s="1">
        <v>45183</v>
      </c>
      <c r="C4949">
        <v>22.381762999999999</v>
      </c>
    </row>
    <row r="4950" spans="1:3" x14ac:dyDescent="0.25">
      <c r="A4950" t="s">
        <v>12</v>
      </c>
      <c r="B4950" s="1">
        <v>45184</v>
      </c>
      <c r="C4950">
        <v>22.507940000000001</v>
      </c>
    </row>
    <row r="4951" spans="1:3" x14ac:dyDescent="0.25">
      <c r="A4951" t="s">
        <v>12</v>
      </c>
      <c r="B4951" s="1">
        <v>45187</v>
      </c>
      <c r="C4951">
        <v>22.187646999999998</v>
      </c>
    </row>
    <row r="4952" spans="1:3" x14ac:dyDescent="0.25">
      <c r="A4952" t="s">
        <v>12</v>
      </c>
      <c r="B4952" s="1">
        <v>45188</v>
      </c>
      <c r="C4952">
        <v>21.809116</v>
      </c>
    </row>
    <row r="4953" spans="1:3" x14ac:dyDescent="0.25">
      <c r="A4953" t="s">
        <v>12</v>
      </c>
      <c r="B4953" s="1">
        <v>45189</v>
      </c>
      <c r="C4953">
        <v>21.585882000000002</v>
      </c>
    </row>
    <row r="4954" spans="1:3" x14ac:dyDescent="0.25">
      <c r="A4954" t="s">
        <v>12</v>
      </c>
      <c r="B4954" s="1">
        <v>45190</v>
      </c>
      <c r="C4954">
        <v>21.488823</v>
      </c>
    </row>
    <row r="4955" spans="1:3" x14ac:dyDescent="0.25">
      <c r="A4955" t="s">
        <v>12</v>
      </c>
      <c r="B4955" s="1">
        <v>45191</v>
      </c>
      <c r="C4955">
        <v>21.343235</v>
      </c>
    </row>
    <row r="4956" spans="1:3" x14ac:dyDescent="0.25">
      <c r="A4956" t="s">
        <v>12</v>
      </c>
      <c r="B4956" s="1">
        <v>45194</v>
      </c>
      <c r="C4956">
        <v>21.236469</v>
      </c>
    </row>
    <row r="4957" spans="1:3" x14ac:dyDescent="0.25">
      <c r="A4957" t="s">
        <v>12</v>
      </c>
      <c r="B4957" s="1">
        <v>45195</v>
      </c>
      <c r="C4957">
        <v>21.013235000000002</v>
      </c>
    </row>
    <row r="4958" spans="1:3" x14ac:dyDescent="0.25">
      <c r="A4958" t="s">
        <v>12</v>
      </c>
      <c r="B4958" s="1">
        <v>45196</v>
      </c>
      <c r="C4958">
        <v>21.323822</v>
      </c>
    </row>
    <row r="4959" spans="1:3" x14ac:dyDescent="0.25">
      <c r="A4959" t="s">
        <v>12</v>
      </c>
      <c r="B4959" s="1">
        <v>45197</v>
      </c>
      <c r="C4959">
        <v>21.449998999999998</v>
      </c>
    </row>
    <row r="4960" spans="1:3" x14ac:dyDescent="0.25">
      <c r="A4960" t="s">
        <v>12</v>
      </c>
      <c r="B4960" s="1">
        <v>45198</v>
      </c>
      <c r="C4960">
        <v>21.66</v>
      </c>
    </row>
    <row r="4961" spans="1:3" x14ac:dyDescent="0.25">
      <c r="A4961" t="s">
        <v>12</v>
      </c>
      <c r="B4961" s="1">
        <v>45201</v>
      </c>
      <c r="C4961">
        <v>21.549999</v>
      </c>
    </row>
    <row r="4962" spans="1:3" x14ac:dyDescent="0.25">
      <c r="A4962" t="s">
        <v>12</v>
      </c>
      <c r="B4962" s="1">
        <v>45202</v>
      </c>
      <c r="C4962">
        <v>21.07</v>
      </c>
    </row>
    <row r="4963" spans="1:3" x14ac:dyDescent="0.25">
      <c r="A4963" t="s">
        <v>12</v>
      </c>
      <c r="B4963" s="1">
        <v>45203</v>
      </c>
      <c r="C4963">
        <v>20.700001</v>
      </c>
    </row>
    <row r="4964" spans="1:3" x14ac:dyDescent="0.25">
      <c r="A4964" t="s">
        <v>12</v>
      </c>
      <c r="B4964" s="1">
        <v>45204</v>
      </c>
      <c r="C4964">
        <v>21.110001</v>
      </c>
    </row>
    <row r="4965" spans="1:3" x14ac:dyDescent="0.25">
      <c r="A4965" t="s">
        <v>12</v>
      </c>
      <c r="B4965" s="1">
        <v>45205</v>
      </c>
      <c r="C4965">
        <v>21.34</v>
      </c>
    </row>
    <row r="4966" spans="1:3" x14ac:dyDescent="0.25">
      <c r="A4966" t="s">
        <v>12</v>
      </c>
      <c r="B4966" s="1">
        <v>45208</v>
      </c>
      <c r="C4966">
        <v>21.35</v>
      </c>
    </row>
    <row r="4967" spans="1:3" x14ac:dyDescent="0.25">
      <c r="A4967" t="s">
        <v>12</v>
      </c>
      <c r="B4967" s="1">
        <v>45209</v>
      </c>
      <c r="C4967">
        <v>21.77</v>
      </c>
    </row>
    <row r="4968" spans="1:3" x14ac:dyDescent="0.25">
      <c r="A4968" t="s">
        <v>12</v>
      </c>
      <c r="B4968" s="1">
        <v>45210</v>
      </c>
      <c r="C4968">
        <v>22.030000999999999</v>
      </c>
    </row>
    <row r="4969" spans="1:3" x14ac:dyDescent="0.25">
      <c r="A4969" t="s">
        <v>12</v>
      </c>
      <c r="B4969" s="1">
        <v>45211</v>
      </c>
      <c r="C4969">
        <v>22.23</v>
      </c>
    </row>
    <row r="4970" spans="1:3" x14ac:dyDescent="0.25">
      <c r="A4970" t="s">
        <v>12</v>
      </c>
      <c r="B4970" s="1">
        <v>45212</v>
      </c>
      <c r="C4970">
        <v>22.24</v>
      </c>
    </row>
    <row r="4971" spans="1:3" x14ac:dyDescent="0.25">
      <c r="A4971" t="s">
        <v>12</v>
      </c>
      <c r="B4971" s="1">
        <v>45215</v>
      </c>
      <c r="C4971">
        <v>22.139999</v>
      </c>
    </row>
    <row r="4972" spans="1:3" x14ac:dyDescent="0.25">
      <c r="A4972" t="s">
        <v>12</v>
      </c>
      <c r="B4972" s="1">
        <v>45216</v>
      </c>
      <c r="C4972">
        <v>21.950001</v>
      </c>
    </row>
    <row r="4973" spans="1:3" x14ac:dyDescent="0.25">
      <c r="A4973" t="s">
        <v>12</v>
      </c>
      <c r="B4973" s="1">
        <v>45217</v>
      </c>
      <c r="C4973">
        <v>21.23</v>
      </c>
    </row>
    <row r="4974" spans="1:3" x14ac:dyDescent="0.25">
      <c r="A4974" t="s">
        <v>12</v>
      </c>
      <c r="B4974" s="1">
        <v>45218</v>
      </c>
      <c r="C4974">
        <v>21.219999000000001</v>
      </c>
    </row>
    <row r="4975" spans="1:3" x14ac:dyDescent="0.25">
      <c r="A4975" t="s">
        <v>12</v>
      </c>
      <c r="B4975" s="1">
        <v>45219</v>
      </c>
      <c r="C4975">
        <v>20.780000999999999</v>
      </c>
    </row>
    <row r="4976" spans="1:3" x14ac:dyDescent="0.25">
      <c r="A4976" t="s">
        <v>12</v>
      </c>
      <c r="B4976" s="1">
        <v>45222</v>
      </c>
      <c r="C4976">
        <v>20.48</v>
      </c>
    </row>
    <row r="4977" spans="1:3" x14ac:dyDescent="0.25">
      <c r="A4977" t="s">
        <v>12</v>
      </c>
      <c r="B4977" s="1">
        <v>45223</v>
      </c>
      <c r="C4977">
        <v>20.889999</v>
      </c>
    </row>
    <row r="4978" spans="1:3" x14ac:dyDescent="0.25">
      <c r="A4978" t="s">
        <v>12</v>
      </c>
      <c r="B4978" s="1">
        <v>45224</v>
      </c>
      <c r="C4978">
        <v>20.23</v>
      </c>
    </row>
    <row r="4979" spans="1:3" x14ac:dyDescent="0.25">
      <c r="A4979" t="s">
        <v>12</v>
      </c>
      <c r="B4979" s="1">
        <v>45225</v>
      </c>
      <c r="C4979">
        <v>20.459999</v>
      </c>
    </row>
    <row r="4980" spans="1:3" x14ac:dyDescent="0.25">
      <c r="A4980" t="s">
        <v>12</v>
      </c>
      <c r="B4980" s="1">
        <v>45226</v>
      </c>
      <c r="C4980">
        <v>20.379999000000002</v>
      </c>
    </row>
    <row r="4981" spans="1:3" x14ac:dyDescent="0.25">
      <c r="A4981" t="s">
        <v>12</v>
      </c>
      <c r="B4981" s="1">
        <v>45229</v>
      </c>
      <c r="C4981">
        <v>20.719999000000001</v>
      </c>
    </row>
    <row r="4982" spans="1:3" x14ac:dyDescent="0.25">
      <c r="A4982" t="s">
        <v>12</v>
      </c>
      <c r="B4982" s="1">
        <v>45230</v>
      </c>
      <c r="C4982">
        <v>21.16</v>
      </c>
    </row>
    <row r="4983" spans="1:3" x14ac:dyDescent="0.25">
      <c r="A4983" t="s">
        <v>12</v>
      </c>
      <c r="B4983" s="1">
        <v>45231</v>
      </c>
      <c r="C4983">
        <v>21.200001</v>
      </c>
    </row>
    <row r="4984" spans="1:3" x14ac:dyDescent="0.25">
      <c r="A4984" t="s">
        <v>12</v>
      </c>
      <c r="B4984" s="1">
        <v>45232</v>
      </c>
      <c r="C4984">
        <v>22.059999000000001</v>
      </c>
    </row>
    <row r="4985" spans="1:3" x14ac:dyDescent="0.25">
      <c r="A4985" t="s">
        <v>12</v>
      </c>
      <c r="B4985" s="1">
        <v>45233</v>
      </c>
      <c r="C4985">
        <v>22.620000999999998</v>
      </c>
    </row>
    <row r="4986" spans="1:3" x14ac:dyDescent="0.25">
      <c r="A4986" t="s">
        <v>12</v>
      </c>
      <c r="B4986" s="1">
        <v>45236</v>
      </c>
      <c r="C4986">
        <v>22.75</v>
      </c>
    </row>
    <row r="4987" spans="1:3" x14ac:dyDescent="0.25">
      <c r="A4987" t="s">
        <v>12</v>
      </c>
      <c r="B4987" s="1">
        <v>45237</v>
      </c>
      <c r="C4987">
        <v>22.719999000000001</v>
      </c>
    </row>
    <row r="4988" spans="1:3" x14ac:dyDescent="0.25">
      <c r="A4988" t="s">
        <v>12</v>
      </c>
      <c r="B4988" s="1">
        <v>45238</v>
      </c>
      <c r="C4988">
        <v>22.83</v>
      </c>
    </row>
    <row r="4989" spans="1:3" x14ac:dyDescent="0.25">
      <c r="A4989" t="s">
        <v>12</v>
      </c>
      <c r="B4989" s="1">
        <v>45239</v>
      </c>
      <c r="C4989">
        <v>23.17</v>
      </c>
    </row>
    <row r="4990" spans="1:3" x14ac:dyDescent="0.25">
      <c r="A4990" t="s">
        <v>12</v>
      </c>
      <c r="B4990" s="1">
        <v>45240</v>
      </c>
      <c r="C4990">
        <v>22.950001</v>
      </c>
    </row>
    <row r="4991" spans="1:3" x14ac:dyDescent="0.25">
      <c r="A4991" t="s">
        <v>12</v>
      </c>
      <c r="B4991" s="1">
        <v>45243</v>
      </c>
      <c r="C4991">
        <v>22.98</v>
      </c>
    </row>
    <row r="4992" spans="1:3" x14ac:dyDescent="0.25">
      <c r="A4992" t="s">
        <v>12</v>
      </c>
      <c r="B4992" s="1">
        <v>45244</v>
      </c>
      <c r="C4992">
        <v>23.860001</v>
      </c>
    </row>
    <row r="4993" spans="1:3" x14ac:dyDescent="0.25">
      <c r="A4993" t="s">
        <v>12</v>
      </c>
      <c r="B4993" s="1">
        <v>45245</v>
      </c>
      <c r="C4993">
        <v>24.1</v>
      </c>
    </row>
    <row r="4994" spans="1:3" x14ac:dyDescent="0.25">
      <c r="A4994" t="s">
        <v>12</v>
      </c>
      <c r="B4994" s="1">
        <v>45246</v>
      </c>
      <c r="C4994">
        <v>23.639999</v>
      </c>
    </row>
    <row r="4995" spans="1:3" x14ac:dyDescent="0.25">
      <c r="A4995" t="s">
        <v>12</v>
      </c>
      <c r="B4995" s="1">
        <v>45247</v>
      </c>
      <c r="C4995">
        <v>23.93</v>
      </c>
    </row>
    <row r="4996" spans="1:3" x14ac:dyDescent="0.25">
      <c r="A4996" t="s">
        <v>12</v>
      </c>
      <c r="B4996" s="1">
        <v>45250</v>
      </c>
      <c r="C4996">
        <v>24.01</v>
      </c>
    </row>
    <row r="4997" spans="1:3" x14ac:dyDescent="0.25">
      <c r="A4997" t="s">
        <v>12</v>
      </c>
      <c r="B4997" s="1">
        <v>45251</v>
      </c>
      <c r="C4997">
        <v>23.77</v>
      </c>
    </row>
    <row r="4998" spans="1:3" x14ac:dyDescent="0.25">
      <c r="A4998" t="s">
        <v>12</v>
      </c>
      <c r="B4998" s="1">
        <v>45252</v>
      </c>
      <c r="C4998">
        <v>23.469999000000001</v>
      </c>
    </row>
    <row r="4999" spans="1:3" x14ac:dyDescent="0.25">
      <c r="A4999" t="s">
        <v>12</v>
      </c>
      <c r="B4999" s="1">
        <v>45253</v>
      </c>
      <c r="C4999">
        <v>23.25</v>
      </c>
    </row>
    <row r="5000" spans="1:3" x14ac:dyDescent="0.25">
      <c r="A5000" t="s">
        <v>12</v>
      </c>
      <c r="B5000" s="1">
        <v>45254</v>
      </c>
      <c r="C5000">
        <v>23.24</v>
      </c>
    </row>
    <row r="5001" spans="1:3" x14ac:dyDescent="0.25">
      <c r="A5001" t="s">
        <v>12</v>
      </c>
      <c r="B5001" s="1">
        <v>45257</v>
      </c>
      <c r="C5001">
        <v>23.27</v>
      </c>
    </row>
    <row r="5002" spans="1:3" x14ac:dyDescent="0.25">
      <c r="A5002" t="s">
        <v>12</v>
      </c>
      <c r="B5002" s="1">
        <v>45258</v>
      </c>
      <c r="C5002">
        <v>23.58</v>
      </c>
    </row>
    <row r="5003" spans="1:3" x14ac:dyDescent="0.25">
      <c r="A5003" t="s">
        <v>12</v>
      </c>
      <c r="B5003" s="1">
        <v>45259</v>
      </c>
      <c r="C5003">
        <v>24.4</v>
      </c>
    </row>
    <row r="5004" spans="1:3" x14ac:dyDescent="0.25">
      <c r="A5004" t="s">
        <v>12</v>
      </c>
      <c r="B5004" s="1">
        <v>45260</v>
      </c>
      <c r="C5004">
        <v>24.469999000000001</v>
      </c>
    </row>
    <row r="5005" spans="1:3" x14ac:dyDescent="0.25">
      <c r="A5005" t="s">
        <v>12</v>
      </c>
      <c r="B5005" s="1">
        <v>45261</v>
      </c>
      <c r="C5005">
        <v>24.860001</v>
      </c>
    </row>
    <row r="5006" spans="1:3" x14ac:dyDescent="0.25">
      <c r="A5006" t="s">
        <v>12</v>
      </c>
      <c r="B5006" s="1">
        <v>45264</v>
      </c>
      <c r="C5006">
        <v>24.459999</v>
      </c>
    </row>
    <row r="5007" spans="1:3" x14ac:dyDescent="0.25">
      <c r="A5007" t="s">
        <v>12</v>
      </c>
      <c r="B5007" s="1">
        <v>45265</v>
      </c>
      <c r="C5007">
        <v>24.799999</v>
      </c>
    </row>
    <row r="5008" spans="1:3" x14ac:dyDescent="0.25">
      <c r="A5008" t="s">
        <v>12</v>
      </c>
      <c r="B5008" s="1">
        <v>45267</v>
      </c>
      <c r="C5008">
        <v>25.1</v>
      </c>
    </row>
    <row r="5009" spans="1:3" x14ac:dyDescent="0.25">
      <c r="A5009" t="s">
        <v>12</v>
      </c>
      <c r="B5009" s="1">
        <v>45268</v>
      </c>
      <c r="C5009">
        <v>25.540001</v>
      </c>
    </row>
    <row r="5010" spans="1:3" x14ac:dyDescent="0.25">
      <c r="A5010" t="s">
        <v>12</v>
      </c>
      <c r="B5010" s="1">
        <v>45271</v>
      </c>
      <c r="C5010">
        <v>25.34</v>
      </c>
    </row>
    <row r="5011" spans="1:3" x14ac:dyDescent="0.25">
      <c r="A5011" t="s">
        <v>12</v>
      </c>
      <c r="B5011" s="1">
        <v>45272</v>
      </c>
      <c r="C5011">
        <v>25.129999000000002</v>
      </c>
    </row>
    <row r="5012" spans="1:3" x14ac:dyDescent="0.25">
      <c r="A5012" t="s">
        <v>12</v>
      </c>
      <c r="B5012" s="1">
        <v>45273</v>
      </c>
      <c r="C5012">
        <v>24.76</v>
      </c>
    </row>
    <row r="5013" spans="1:3" x14ac:dyDescent="0.25">
      <c r="A5013" t="s">
        <v>12</v>
      </c>
      <c r="B5013" s="1">
        <v>45274</v>
      </c>
      <c r="C5013">
        <v>25.67</v>
      </c>
    </row>
    <row r="5014" spans="1:3" x14ac:dyDescent="0.25">
      <c r="A5014" t="s">
        <v>12</v>
      </c>
      <c r="B5014" s="1">
        <v>45275</v>
      </c>
      <c r="C5014">
        <v>26.1</v>
      </c>
    </row>
    <row r="5015" spans="1:3" x14ac:dyDescent="0.25">
      <c r="A5015" t="s">
        <v>12</v>
      </c>
      <c r="B5015" s="1">
        <v>45278</v>
      </c>
      <c r="C5015">
        <v>25.459999</v>
      </c>
    </row>
    <row r="5016" spans="1:3" x14ac:dyDescent="0.25">
      <c r="A5016" t="s">
        <v>12</v>
      </c>
      <c r="B5016" s="1">
        <v>45279</v>
      </c>
      <c r="C5016">
        <v>25.84</v>
      </c>
    </row>
    <row r="5017" spans="1:3" x14ac:dyDescent="0.25">
      <c r="A5017" t="s">
        <v>12</v>
      </c>
      <c r="B5017" s="1">
        <v>45280</v>
      </c>
      <c r="C5017">
        <v>25.77</v>
      </c>
    </row>
    <row r="5018" spans="1:3" x14ac:dyDescent="0.25">
      <c r="A5018" t="s">
        <v>12</v>
      </c>
      <c r="B5018" s="1">
        <v>45281</v>
      </c>
      <c r="C5018">
        <v>25.969999000000001</v>
      </c>
    </row>
    <row r="5019" spans="1:3" x14ac:dyDescent="0.25">
      <c r="A5019" t="s">
        <v>12</v>
      </c>
      <c r="B5019" s="1">
        <v>45282</v>
      </c>
      <c r="C5019">
        <v>26.530000999999999</v>
      </c>
    </row>
    <row r="5020" spans="1:3" x14ac:dyDescent="0.25">
      <c r="A5020" t="s">
        <v>12</v>
      </c>
      <c r="B5020" s="1">
        <v>45287</v>
      </c>
      <c r="C5020">
        <v>26.75</v>
      </c>
    </row>
    <row r="5021" spans="1:3" x14ac:dyDescent="0.25">
      <c r="A5021" t="s">
        <v>12</v>
      </c>
      <c r="B5021" s="1">
        <v>45288</v>
      </c>
      <c r="C5021">
        <v>26.370000999999998</v>
      </c>
    </row>
    <row r="5022" spans="1:3" x14ac:dyDescent="0.25">
      <c r="A5022" t="s">
        <v>12</v>
      </c>
      <c r="B5022" s="1">
        <v>45289</v>
      </c>
      <c r="C5022">
        <v>26.139999</v>
      </c>
    </row>
    <row r="5023" spans="1:3" x14ac:dyDescent="0.25">
      <c r="A5023" t="s">
        <v>12</v>
      </c>
      <c r="B5023" s="1">
        <v>45293</v>
      </c>
      <c r="C5023">
        <v>25.950001</v>
      </c>
    </row>
    <row r="5024" spans="1:3" x14ac:dyDescent="0.25">
      <c r="A5024" t="s">
        <v>12</v>
      </c>
      <c r="B5024" s="1">
        <v>45294</v>
      </c>
      <c r="C5024">
        <v>25.200001</v>
      </c>
    </row>
    <row r="5025" spans="1:3" x14ac:dyDescent="0.25">
      <c r="A5025" t="s">
        <v>12</v>
      </c>
      <c r="B5025" s="1">
        <v>45295</v>
      </c>
      <c r="C5025">
        <v>25.440000999999999</v>
      </c>
    </row>
    <row r="5026" spans="1:3" x14ac:dyDescent="0.25">
      <c r="A5026" t="s">
        <v>12</v>
      </c>
      <c r="B5026" s="1">
        <v>45296</v>
      </c>
      <c r="C5026">
        <v>24.799999</v>
      </c>
    </row>
    <row r="5027" spans="1:3" x14ac:dyDescent="0.25">
      <c r="A5027" t="s">
        <v>12</v>
      </c>
      <c r="B5027" s="1">
        <v>45299</v>
      </c>
      <c r="C5027">
        <v>25.209999</v>
      </c>
    </row>
    <row r="5028" spans="1:3" x14ac:dyDescent="0.25">
      <c r="A5028" t="s">
        <v>12</v>
      </c>
      <c r="B5028" s="1">
        <v>45300</v>
      </c>
      <c r="C5028">
        <v>25.389999</v>
      </c>
    </row>
    <row r="5029" spans="1:3" x14ac:dyDescent="0.25">
      <c r="A5029" t="s">
        <v>12</v>
      </c>
      <c r="B5029" s="1">
        <v>45301</v>
      </c>
      <c r="C5029">
        <v>25.15</v>
      </c>
    </row>
    <row r="5030" spans="1:3" x14ac:dyDescent="0.25">
      <c r="A5030" t="s">
        <v>12</v>
      </c>
      <c r="B5030" s="1">
        <v>45302</v>
      </c>
      <c r="C5030">
        <v>25.200001</v>
      </c>
    </row>
    <row r="5031" spans="1:3" x14ac:dyDescent="0.25">
      <c r="A5031" t="s">
        <v>12</v>
      </c>
      <c r="B5031" s="1">
        <v>45303</v>
      </c>
      <c r="C5031">
        <v>25.469999000000001</v>
      </c>
    </row>
    <row r="5032" spans="1:3" x14ac:dyDescent="0.25">
      <c r="A5032" t="s">
        <v>12</v>
      </c>
      <c r="B5032" s="1">
        <v>45306</v>
      </c>
      <c r="C5032">
        <v>25.33</v>
      </c>
    </row>
    <row r="5033" spans="1:3" x14ac:dyDescent="0.25">
      <c r="A5033" t="s">
        <v>12</v>
      </c>
      <c r="B5033" s="1">
        <v>45307</v>
      </c>
      <c r="C5033">
        <v>25.120000999999998</v>
      </c>
    </row>
    <row r="5034" spans="1:3" x14ac:dyDescent="0.25">
      <c r="A5034" t="s">
        <v>12</v>
      </c>
      <c r="B5034" s="1">
        <v>45308</v>
      </c>
      <c r="C5034">
        <v>24.940000999999999</v>
      </c>
    </row>
    <row r="5035" spans="1:3" x14ac:dyDescent="0.25">
      <c r="A5035" t="s">
        <v>12</v>
      </c>
      <c r="B5035" s="1">
        <v>45309</v>
      </c>
      <c r="C5035">
        <v>25.190000999999999</v>
      </c>
    </row>
    <row r="5036" spans="1:3" x14ac:dyDescent="0.25">
      <c r="A5036" t="s">
        <v>12</v>
      </c>
      <c r="B5036" s="1">
        <v>45310</v>
      </c>
      <c r="C5036">
        <v>25.209999</v>
      </c>
    </row>
    <row r="5037" spans="1:3" x14ac:dyDescent="0.25">
      <c r="A5037" t="s">
        <v>12</v>
      </c>
      <c r="B5037" s="1">
        <v>45313</v>
      </c>
      <c r="C5037">
        <v>25.48</v>
      </c>
    </row>
    <row r="5038" spans="1:3" x14ac:dyDescent="0.25">
      <c r="A5038" t="s">
        <v>12</v>
      </c>
      <c r="B5038" s="1">
        <v>45314</v>
      </c>
      <c r="C5038">
        <v>26.030000999999999</v>
      </c>
    </row>
    <row r="5039" spans="1:3" x14ac:dyDescent="0.25">
      <c r="A5039" t="s">
        <v>12</v>
      </c>
      <c r="B5039" s="1">
        <v>45315</v>
      </c>
      <c r="C5039">
        <v>26</v>
      </c>
    </row>
    <row r="5040" spans="1:3" x14ac:dyDescent="0.25">
      <c r="A5040" t="s">
        <v>12</v>
      </c>
      <c r="B5040" s="1">
        <v>45316</v>
      </c>
      <c r="C5040">
        <v>25.58</v>
      </c>
    </row>
    <row r="5041" spans="1:3" x14ac:dyDescent="0.25">
      <c r="A5041" t="s">
        <v>12</v>
      </c>
      <c r="B5041" s="1">
        <v>45317</v>
      </c>
      <c r="C5041">
        <v>25.709999</v>
      </c>
    </row>
    <row r="5042" spans="1:3" x14ac:dyDescent="0.25">
      <c r="A5042" t="s">
        <v>12</v>
      </c>
      <c r="B5042" s="1">
        <v>45320</v>
      </c>
      <c r="C5042">
        <v>25.780000999999999</v>
      </c>
    </row>
    <row r="5043" spans="1:3" x14ac:dyDescent="0.25">
      <c r="A5043" t="s">
        <v>12</v>
      </c>
      <c r="B5043" s="1">
        <v>45321</v>
      </c>
      <c r="C5043">
        <v>26.209999</v>
      </c>
    </row>
    <row r="5044" spans="1:3" x14ac:dyDescent="0.25">
      <c r="A5044" t="s">
        <v>12</v>
      </c>
      <c r="B5044" s="1">
        <v>45322</v>
      </c>
      <c r="C5044">
        <v>26.25</v>
      </c>
    </row>
    <row r="5045" spans="1:3" x14ac:dyDescent="0.25">
      <c r="A5045" t="s">
        <v>12</v>
      </c>
      <c r="B5045" s="1">
        <v>45323</v>
      </c>
      <c r="C5045">
        <v>26.26</v>
      </c>
    </row>
    <row r="5046" spans="1:3" x14ac:dyDescent="0.25">
      <c r="A5046" t="s">
        <v>12</v>
      </c>
      <c r="B5046" s="1">
        <v>45324</v>
      </c>
      <c r="C5046">
        <v>26.26</v>
      </c>
    </row>
    <row r="5047" spans="1:3" x14ac:dyDescent="0.25">
      <c r="A5047" t="s">
        <v>12</v>
      </c>
      <c r="B5047" s="1">
        <v>45327</v>
      </c>
      <c r="C5047">
        <v>25.620000999999998</v>
      </c>
    </row>
    <row r="5048" spans="1:3" x14ac:dyDescent="0.25">
      <c r="A5048" t="s">
        <v>12</v>
      </c>
      <c r="B5048" s="1">
        <v>45328</v>
      </c>
      <c r="C5048">
        <v>25.959999</v>
      </c>
    </row>
    <row r="5049" spans="1:3" x14ac:dyDescent="0.25">
      <c r="A5049" t="s">
        <v>12</v>
      </c>
      <c r="B5049" s="1">
        <v>45329</v>
      </c>
      <c r="C5049">
        <v>26.129999000000002</v>
      </c>
    </row>
    <row r="5050" spans="1:3" x14ac:dyDescent="0.25">
      <c r="A5050" t="s">
        <v>12</v>
      </c>
      <c r="B5050" s="1">
        <v>45330</v>
      </c>
      <c r="C5050">
        <v>25.65</v>
      </c>
    </row>
    <row r="5051" spans="1:3" x14ac:dyDescent="0.25">
      <c r="A5051" t="s">
        <v>12</v>
      </c>
      <c r="B5051" s="1">
        <v>45331</v>
      </c>
      <c r="C5051">
        <v>25.74</v>
      </c>
    </row>
    <row r="5052" spans="1:3" x14ac:dyDescent="0.25">
      <c r="A5052" t="s">
        <v>13</v>
      </c>
      <c r="B5052" s="1">
        <v>44603</v>
      </c>
      <c r="C5052">
        <v>5269.7299800000001</v>
      </c>
    </row>
    <row r="5053" spans="1:3" x14ac:dyDescent="0.25">
      <c r="A5053" t="s">
        <v>13</v>
      </c>
      <c r="B5053" s="1">
        <v>44606</v>
      </c>
      <c r="C5053">
        <v>5146.8701170000004</v>
      </c>
    </row>
    <row r="5054" spans="1:3" x14ac:dyDescent="0.25">
      <c r="A5054" t="s">
        <v>13</v>
      </c>
      <c r="B5054" s="1">
        <v>44607</v>
      </c>
      <c r="C5054">
        <v>5209.2597660000001</v>
      </c>
    </row>
    <row r="5055" spans="1:3" x14ac:dyDescent="0.25">
      <c r="A5055" t="s">
        <v>13</v>
      </c>
      <c r="B5055" s="1">
        <v>44608</v>
      </c>
      <c r="C5055">
        <v>5229.5297849999997</v>
      </c>
    </row>
    <row r="5056" spans="1:3" x14ac:dyDescent="0.25">
      <c r="A5056" t="s">
        <v>13</v>
      </c>
      <c r="B5056" s="1">
        <v>44609</v>
      </c>
      <c r="C5056">
        <v>5151.8901370000003</v>
      </c>
    </row>
    <row r="5057" spans="1:3" x14ac:dyDescent="0.25">
      <c r="A5057" t="s">
        <v>13</v>
      </c>
      <c r="B5057" s="1">
        <v>44610</v>
      </c>
      <c r="C5057">
        <v>5115.3901370000003</v>
      </c>
    </row>
    <row r="5058" spans="1:3" x14ac:dyDescent="0.25">
      <c r="A5058" t="s">
        <v>13</v>
      </c>
      <c r="B5058" s="1">
        <v>44613</v>
      </c>
      <c r="C5058">
        <v>5054.3198240000002</v>
      </c>
    </row>
    <row r="5059" spans="1:3" x14ac:dyDescent="0.25">
      <c r="A5059" t="s">
        <v>13</v>
      </c>
      <c r="B5059" s="1">
        <v>44614</v>
      </c>
      <c r="C5059">
        <v>4994.169922</v>
      </c>
    </row>
    <row r="5060" spans="1:3" x14ac:dyDescent="0.25">
      <c r="A5060" t="s">
        <v>13</v>
      </c>
      <c r="B5060" s="1">
        <v>44615</v>
      </c>
      <c r="C5060">
        <v>4969.669922</v>
      </c>
    </row>
    <row r="5061" spans="1:3" x14ac:dyDescent="0.25">
      <c r="A5061" t="s">
        <v>13</v>
      </c>
      <c r="B5061" s="1">
        <v>44616</v>
      </c>
      <c r="C5061">
        <v>4779.1000979999999</v>
      </c>
    </row>
    <row r="5062" spans="1:3" x14ac:dyDescent="0.25">
      <c r="A5062" t="s">
        <v>13</v>
      </c>
      <c r="B5062" s="1">
        <v>44617</v>
      </c>
      <c r="C5062">
        <v>4951.4599609999996</v>
      </c>
    </row>
    <row r="5063" spans="1:3" x14ac:dyDescent="0.25">
      <c r="A5063" t="s">
        <v>13</v>
      </c>
      <c r="B5063" s="1">
        <v>44620</v>
      </c>
      <c r="C5063">
        <v>4891.7700199999999</v>
      </c>
    </row>
    <row r="5064" spans="1:3" x14ac:dyDescent="0.25">
      <c r="A5064" t="s">
        <v>13</v>
      </c>
      <c r="B5064" s="1">
        <v>44621</v>
      </c>
      <c r="C5064">
        <v>4665.8500979999999</v>
      </c>
    </row>
    <row r="5065" spans="1:3" x14ac:dyDescent="0.25">
      <c r="A5065" t="s">
        <v>13</v>
      </c>
      <c r="B5065" s="1">
        <v>44622</v>
      </c>
      <c r="C5065">
        <v>4720.2202150000003</v>
      </c>
    </row>
    <row r="5066" spans="1:3" x14ac:dyDescent="0.25">
      <c r="A5066" t="s">
        <v>13</v>
      </c>
      <c r="B5066" s="1">
        <v>44623</v>
      </c>
      <c r="C5066">
        <v>4580.7900390000004</v>
      </c>
    </row>
    <row r="5067" spans="1:3" x14ac:dyDescent="0.25">
      <c r="A5067" t="s">
        <v>13</v>
      </c>
      <c r="B5067" s="1">
        <v>44624</v>
      </c>
      <c r="C5067">
        <v>4384.9702150000003</v>
      </c>
    </row>
    <row r="5068" spans="1:3" x14ac:dyDescent="0.25">
      <c r="A5068" t="s">
        <v>13</v>
      </c>
      <c r="B5068" s="1">
        <v>44627</v>
      </c>
      <c r="C5068">
        <v>4336.4599609999996</v>
      </c>
    </row>
    <row r="5069" spans="1:3" x14ac:dyDescent="0.25">
      <c r="A5069" t="s">
        <v>13</v>
      </c>
      <c r="B5069" s="1">
        <v>44628</v>
      </c>
      <c r="C5069">
        <v>4390.9399409999996</v>
      </c>
    </row>
    <row r="5070" spans="1:3" x14ac:dyDescent="0.25">
      <c r="A5070" t="s">
        <v>13</v>
      </c>
      <c r="B5070" s="1">
        <v>44629</v>
      </c>
      <c r="C5070">
        <v>4569.9101559999999</v>
      </c>
    </row>
    <row r="5071" spans="1:3" x14ac:dyDescent="0.25">
      <c r="A5071" t="s">
        <v>13</v>
      </c>
      <c r="B5071" s="1">
        <v>44630</v>
      </c>
      <c r="C5071">
        <v>4585.1401370000003</v>
      </c>
    </row>
    <row r="5072" spans="1:3" x14ac:dyDescent="0.25">
      <c r="A5072" t="s">
        <v>13</v>
      </c>
      <c r="B5072" s="1">
        <v>44631</v>
      </c>
      <c r="C5072">
        <v>4674.5898440000001</v>
      </c>
    </row>
    <row r="5073" spans="1:3" x14ac:dyDescent="0.25">
      <c r="A5073" t="s">
        <v>13</v>
      </c>
      <c r="B5073" s="1">
        <v>44634</v>
      </c>
      <c r="C5073">
        <v>4856.7700199999999</v>
      </c>
    </row>
    <row r="5074" spans="1:3" x14ac:dyDescent="0.25">
      <c r="A5074" t="s">
        <v>13</v>
      </c>
      <c r="B5074" s="1">
        <v>44635</v>
      </c>
      <c r="C5074">
        <v>4780.2202150000003</v>
      </c>
    </row>
    <row r="5075" spans="1:3" x14ac:dyDescent="0.25">
      <c r="A5075" t="s">
        <v>13</v>
      </c>
      <c r="B5075" s="1">
        <v>44636</v>
      </c>
      <c r="C5075">
        <v>4943.9101559999999</v>
      </c>
    </row>
    <row r="5076" spans="1:3" x14ac:dyDescent="0.25">
      <c r="A5076" t="s">
        <v>13</v>
      </c>
      <c r="B5076" s="1">
        <v>44637</v>
      </c>
      <c r="C5076">
        <v>4924.3198240000002</v>
      </c>
    </row>
    <row r="5077" spans="1:3" x14ac:dyDescent="0.25">
      <c r="A5077" t="s">
        <v>13</v>
      </c>
      <c r="B5077" s="1">
        <v>44638</v>
      </c>
      <c r="C5077">
        <v>4925.0097660000001</v>
      </c>
    </row>
    <row r="5078" spans="1:3" x14ac:dyDescent="0.25">
      <c r="A5078" t="s">
        <v>13</v>
      </c>
      <c r="B5078" s="1">
        <v>44641</v>
      </c>
      <c r="C5078">
        <v>4945.7402339999999</v>
      </c>
    </row>
    <row r="5079" spans="1:3" x14ac:dyDescent="0.25">
      <c r="A5079" t="s">
        <v>13</v>
      </c>
      <c r="B5079" s="1">
        <v>44642</v>
      </c>
      <c r="C5079">
        <v>4961.0600590000004</v>
      </c>
    </row>
    <row r="5080" spans="1:3" x14ac:dyDescent="0.25">
      <c r="A5080" t="s">
        <v>13</v>
      </c>
      <c r="B5080" s="1">
        <v>44643</v>
      </c>
      <c r="C5080">
        <v>4895.4301759999998</v>
      </c>
    </row>
    <row r="5081" spans="1:3" x14ac:dyDescent="0.25">
      <c r="A5081" t="s">
        <v>13</v>
      </c>
      <c r="B5081" s="1">
        <v>44644</v>
      </c>
      <c r="C5081">
        <v>4852.5898440000001</v>
      </c>
    </row>
    <row r="5082" spans="1:3" x14ac:dyDescent="0.25">
      <c r="A5082" t="s">
        <v>13</v>
      </c>
      <c r="B5082" s="1">
        <v>44645</v>
      </c>
      <c r="C5082">
        <v>4794</v>
      </c>
    </row>
    <row r="5083" spans="1:3" x14ac:dyDescent="0.25">
      <c r="A5083" t="s">
        <v>13</v>
      </c>
      <c r="B5083" s="1">
        <v>44648</v>
      </c>
      <c r="C5083">
        <v>4836.8500979999999</v>
      </c>
    </row>
    <row r="5084" spans="1:3" x14ac:dyDescent="0.25">
      <c r="A5084" t="s">
        <v>13</v>
      </c>
      <c r="B5084" s="1">
        <v>44649</v>
      </c>
      <c r="C5084">
        <v>4960.5898440000001</v>
      </c>
    </row>
    <row r="5085" spans="1:3" x14ac:dyDescent="0.25">
      <c r="A5085" t="s">
        <v>13</v>
      </c>
      <c r="B5085" s="1">
        <v>44650</v>
      </c>
      <c r="C5085">
        <v>4913.2900390000004</v>
      </c>
    </row>
    <row r="5086" spans="1:3" x14ac:dyDescent="0.25">
      <c r="A5086" t="s">
        <v>13</v>
      </c>
      <c r="B5086" s="1">
        <v>44651</v>
      </c>
      <c r="C5086">
        <v>4865.2900390000004</v>
      </c>
    </row>
    <row r="5087" spans="1:3" x14ac:dyDescent="0.25">
      <c r="A5087" t="s">
        <v>13</v>
      </c>
      <c r="B5087" s="1">
        <v>44652</v>
      </c>
      <c r="C5087">
        <v>4914.8500979999999</v>
      </c>
    </row>
    <row r="5088" spans="1:3" x14ac:dyDescent="0.25">
      <c r="A5088" t="s">
        <v>13</v>
      </c>
      <c r="B5088" s="1">
        <v>44655</v>
      </c>
      <c r="C5088">
        <v>4921.7202150000003</v>
      </c>
    </row>
    <row r="5089" spans="1:3" x14ac:dyDescent="0.25">
      <c r="A5089" t="s">
        <v>13</v>
      </c>
      <c r="B5089" s="1">
        <v>44656</v>
      </c>
      <c r="C5089">
        <v>4931.7797849999997</v>
      </c>
    </row>
    <row r="5090" spans="1:3" x14ac:dyDescent="0.25">
      <c r="A5090" t="s">
        <v>13</v>
      </c>
      <c r="B5090" s="1">
        <v>44657</v>
      </c>
      <c r="C5090">
        <v>4871.5097660000001</v>
      </c>
    </row>
    <row r="5091" spans="1:3" x14ac:dyDescent="0.25">
      <c r="A5091" t="s">
        <v>13</v>
      </c>
      <c r="B5091" s="1">
        <v>44658</v>
      </c>
      <c r="C5091">
        <v>4850.0698240000002</v>
      </c>
    </row>
    <row r="5092" spans="1:3" x14ac:dyDescent="0.25">
      <c r="A5092" t="s">
        <v>13</v>
      </c>
      <c r="B5092" s="1">
        <v>44659</v>
      </c>
      <c r="C5092">
        <v>4951.1401370000003</v>
      </c>
    </row>
    <row r="5093" spans="1:3" x14ac:dyDescent="0.25">
      <c r="A5093" t="s">
        <v>13</v>
      </c>
      <c r="B5093" s="1">
        <v>44662</v>
      </c>
      <c r="C5093">
        <v>4879.1000979999999</v>
      </c>
    </row>
    <row r="5094" spans="1:3" x14ac:dyDescent="0.25">
      <c r="A5094" t="s">
        <v>13</v>
      </c>
      <c r="B5094" s="1">
        <v>44663</v>
      </c>
      <c r="C5094">
        <v>4885.6899409999996</v>
      </c>
    </row>
    <row r="5095" spans="1:3" x14ac:dyDescent="0.25">
      <c r="A5095" t="s">
        <v>13</v>
      </c>
      <c r="B5095" s="1">
        <v>44664</v>
      </c>
      <c r="C5095">
        <v>4882.0698240000002</v>
      </c>
    </row>
    <row r="5096" spans="1:3" x14ac:dyDescent="0.25">
      <c r="A5096" t="s">
        <v>13</v>
      </c>
      <c r="B5096" s="1">
        <v>44665</v>
      </c>
      <c r="C5096">
        <v>4906.0200199999999</v>
      </c>
    </row>
    <row r="5097" spans="1:3" x14ac:dyDescent="0.25">
      <c r="A5097" t="s">
        <v>13</v>
      </c>
      <c r="B5097" s="1">
        <v>44670</v>
      </c>
      <c r="C5097">
        <v>4920.5898440000001</v>
      </c>
    </row>
    <row r="5098" spans="1:3" x14ac:dyDescent="0.25">
      <c r="A5098" t="s">
        <v>13</v>
      </c>
      <c r="B5098" s="1">
        <v>44671</v>
      </c>
      <c r="C5098">
        <v>4972.6298829999996</v>
      </c>
    </row>
    <row r="5099" spans="1:3" x14ac:dyDescent="0.25">
      <c r="A5099" t="s">
        <v>13</v>
      </c>
      <c r="B5099" s="1">
        <v>44672</v>
      </c>
      <c r="C5099">
        <v>5037.1298829999996</v>
      </c>
    </row>
    <row r="5100" spans="1:3" x14ac:dyDescent="0.25">
      <c r="A5100" t="s">
        <v>13</v>
      </c>
      <c r="B5100" s="1">
        <v>44673</v>
      </c>
      <c r="C5100">
        <v>4954.6401370000003</v>
      </c>
    </row>
    <row r="5101" spans="1:3" x14ac:dyDescent="0.25">
      <c r="A5101" t="s">
        <v>13</v>
      </c>
      <c r="B5101" s="1">
        <v>44676</v>
      </c>
      <c r="C5101">
        <v>4830.4799800000001</v>
      </c>
    </row>
    <row r="5102" spans="1:3" x14ac:dyDescent="0.25">
      <c r="A5102" t="s">
        <v>13</v>
      </c>
      <c r="B5102" s="1">
        <v>44677</v>
      </c>
      <c r="C5102">
        <v>4841.2099609999996</v>
      </c>
    </row>
    <row r="5103" spans="1:3" x14ac:dyDescent="0.25">
      <c r="A5103" t="s">
        <v>13</v>
      </c>
      <c r="B5103" s="1">
        <v>44678</v>
      </c>
      <c r="C5103">
        <v>4920.7700199999999</v>
      </c>
    </row>
    <row r="5104" spans="1:3" x14ac:dyDescent="0.25">
      <c r="A5104" t="s">
        <v>13</v>
      </c>
      <c r="B5104" s="1">
        <v>44679</v>
      </c>
      <c r="C5104">
        <v>4870.2998049999997</v>
      </c>
    </row>
    <row r="5105" spans="1:3" x14ac:dyDescent="0.25">
      <c r="A5105" t="s">
        <v>13</v>
      </c>
      <c r="B5105" s="1">
        <v>44680</v>
      </c>
      <c r="C5105">
        <v>4882.6801759999998</v>
      </c>
    </row>
    <row r="5106" spans="1:3" x14ac:dyDescent="0.25">
      <c r="A5106" t="s">
        <v>13</v>
      </c>
      <c r="B5106" s="1">
        <v>44683</v>
      </c>
      <c r="C5106">
        <v>4810.5498049999997</v>
      </c>
    </row>
    <row r="5107" spans="1:3" x14ac:dyDescent="0.25">
      <c r="A5107" t="s">
        <v>13</v>
      </c>
      <c r="B5107" s="1">
        <v>44684</v>
      </c>
      <c r="C5107">
        <v>4870.9799800000001</v>
      </c>
    </row>
    <row r="5108" spans="1:3" x14ac:dyDescent="0.25">
      <c r="A5108" t="s">
        <v>13</v>
      </c>
      <c r="B5108" s="1">
        <v>44685</v>
      </c>
      <c r="C5108">
        <v>4818.1401370000003</v>
      </c>
    </row>
    <row r="5109" spans="1:3" x14ac:dyDescent="0.25">
      <c r="A5109" t="s">
        <v>13</v>
      </c>
      <c r="B5109" s="1">
        <v>44686</v>
      </c>
      <c r="C5109">
        <v>4755.7099609999996</v>
      </c>
    </row>
    <row r="5110" spans="1:3" x14ac:dyDescent="0.25">
      <c r="A5110" t="s">
        <v>13</v>
      </c>
      <c r="B5110" s="1">
        <v>44687</v>
      </c>
      <c r="C5110">
        <v>4708.1401370000003</v>
      </c>
    </row>
    <row r="5111" spans="1:3" x14ac:dyDescent="0.25">
      <c r="A5111" t="s">
        <v>13</v>
      </c>
      <c r="B5111" s="1">
        <v>44690</v>
      </c>
      <c r="C5111">
        <v>4546.5898440000001</v>
      </c>
    </row>
    <row r="5112" spans="1:3" x14ac:dyDescent="0.25">
      <c r="A5112" t="s">
        <v>13</v>
      </c>
      <c r="B5112" s="1">
        <v>44691</v>
      </c>
      <c r="C5112">
        <v>4575.8999020000001</v>
      </c>
    </row>
    <row r="5113" spans="1:3" x14ac:dyDescent="0.25">
      <c r="A5113" t="s">
        <v>13</v>
      </c>
      <c r="B5113" s="1">
        <v>44692</v>
      </c>
      <c r="C5113">
        <v>4663.7597660000001</v>
      </c>
    </row>
    <row r="5114" spans="1:3" x14ac:dyDescent="0.25">
      <c r="A5114" t="s">
        <v>13</v>
      </c>
      <c r="B5114" s="1">
        <v>44693</v>
      </c>
      <c r="C5114">
        <v>4652.3598629999997</v>
      </c>
    </row>
    <row r="5115" spans="1:3" x14ac:dyDescent="0.25">
      <c r="A5115" t="s">
        <v>13</v>
      </c>
      <c r="B5115" s="1">
        <v>44694</v>
      </c>
      <c r="C5115">
        <v>4746.7001950000003</v>
      </c>
    </row>
    <row r="5116" spans="1:3" x14ac:dyDescent="0.25">
      <c r="A5116" t="s">
        <v>13</v>
      </c>
      <c r="B5116" s="1">
        <v>44697</v>
      </c>
      <c r="C5116">
        <v>4756.8500979999999</v>
      </c>
    </row>
    <row r="5117" spans="1:3" x14ac:dyDescent="0.25">
      <c r="A5117" t="s">
        <v>13</v>
      </c>
      <c r="B5117" s="1">
        <v>44698</v>
      </c>
      <c r="C5117">
        <v>4828.0498049999997</v>
      </c>
    </row>
    <row r="5118" spans="1:3" x14ac:dyDescent="0.25">
      <c r="A5118" t="s">
        <v>13</v>
      </c>
      <c r="B5118" s="1">
        <v>44699</v>
      </c>
      <c r="C5118">
        <v>4772.8198240000002</v>
      </c>
    </row>
    <row r="5119" spans="1:3" x14ac:dyDescent="0.25">
      <c r="A5119" t="s">
        <v>13</v>
      </c>
      <c r="B5119" s="1">
        <v>44700</v>
      </c>
      <c r="C5119">
        <v>4712.2900390000004</v>
      </c>
    </row>
    <row r="5120" spans="1:3" x14ac:dyDescent="0.25">
      <c r="A5120" t="s">
        <v>13</v>
      </c>
      <c r="B5120" s="1">
        <v>44701</v>
      </c>
      <c r="C5120">
        <v>4752.0097660000001</v>
      </c>
    </row>
    <row r="5121" spans="1:3" x14ac:dyDescent="0.25">
      <c r="A5121" t="s">
        <v>13</v>
      </c>
      <c r="B5121" s="1">
        <v>44704</v>
      </c>
      <c r="C5121">
        <v>4816.25</v>
      </c>
    </row>
    <row r="5122" spans="1:3" x14ac:dyDescent="0.25">
      <c r="A5122" t="s">
        <v>13</v>
      </c>
      <c r="B5122" s="1">
        <v>44705</v>
      </c>
      <c r="C5122">
        <v>4789.5498049999997</v>
      </c>
    </row>
    <row r="5123" spans="1:3" x14ac:dyDescent="0.25">
      <c r="A5123" t="s">
        <v>13</v>
      </c>
      <c r="B5123" s="1">
        <v>44706</v>
      </c>
      <c r="C5123">
        <v>4858.2001950000003</v>
      </c>
    </row>
    <row r="5124" spans="1:3" x14ac:dyDescent="0.25">
      <c r="A5124" t="s">
        <v>13</v>
      </c>
      <c r="B5124" s="1">
        <v>44708</v>
      </c>
      <c r="C5124">
        <v>4938.3999020000001</v>
      </c>
    </row>
    <row r="5125" spans="1:3" x14ac:dyDescent="0.25">
      <c r="A5125" t="s">
        <v>13</v>
      </c>
      <c r="B5125" s="1">
        <v>44711</v>
      </c>
      <c r="C5125">
        <v>4950.9799800000001</v>
      </c>
    </row>
    <row r="5126" spans="1:3" x14ac:dyDescent="0.25">
      <c r="A5126" t="s">
        <v>13</v>
      </c>
      <c r="B5126" s="1">
        <v>44712</v>
      </c>
      <c r="C5126">
        <v>4859.1601559999999</v>
      </c>
    </row>
    <row r="5127" spans="1:3" x14ac:dyDescent="0.25">
      <c r="A5127" t="s">
        <v>13</v>
      </c>
      <c r="B5127" s="1">
        <v>44713</v>
      </c>
      <c r="C5127">
        <v>4822.0097660000001</v>
      </c>
    </row>
    <row r="5128" spans="1:3" x14ac:dyDescent="0.25">
      <c r="A5128" t="s">
        <v>13</v>
      </c>
      <c r="B5128" s="1">
        <v>44714</v>
      </c>
      <c r="C5128">
        <v>4856.330078</v>
      </c>
    </row>
    <row r="5129" spans="1:3" x14ac:dyDescent="0.25">
      <c r="A5129" t="s">
        <v>13</v>
      </c>
      <c r="B5129" s="1">
        <v>44715</v>
      </c>
      <c r="C5129">
        <v>4868.5200199999999</v>
      </c>
    </row>
    <row r="5130" spans="1:3" x14ac:dyDescent="0.25">
      <c r="A5130" t="s">
        <v>13</v>
      </c>
      <c r="B5130" s="1">
        <v>44719</v>
      </c>
      <c r="C5130">
        <v>4910.7700199999999</v>
      </c>
    </row>
    <row r="5131" spans="1:3" x14ac:dyDescent="0.25">
      <c r="A5131" t="s">
        <v>13</v>
      </c>
      <c r="B5131" s="1">
        <v>44720</v>
      </c>
      <c r="C5131">
        <v>4909.7597660000001</v>
      </c>
    </row>
    <row r="5132" spans="1:3" x14ac:dyDescent="0.25">
      <c r="A5132" t="s">
        <v>13</v>
      </c>
      <c r="B5132" s="1">
        <v>44721</v>
      </c>
      <c r="C5132">
        <v>4852.5698240000002</v>
      </c>
    </row>
    <row r="5133" spans="1:3" x14ac:dyDescent="0.25">
      <c r="A5133" t="s">
        <v>13</v>
      </c>
      <c r="B5133" s="1">
        <v>44722</v>
      </c>
      <c r="C5133">
        <v>4738.25</v>
      </c>
    </row>
    <row r="5134" spans="1:3" x14ac:dyDescent="0.25">
      <c r="A5134" t="s">
        <v>13</v>
      </c>
      <c r="B5134" s="1">
        <v>44725</v>
      </c>
      <c r="C5134">
        <v>4608.6298829999996</v>
      </c>
    </row>
    <row r="5135" spans="1:3" x14ac:dyDescent="0.25">
      <c r="A5135" t="s">
        <v>13</v>
      </c>
      <c r="B5135" s="1">
        <v>44726</v>
      </c>
      <c r="C5135">
        <v>4608.0200199999999</v>
      </c>
    </row>
    <row r="5136" spans="1:3" x14ac:dyDescent="0.25">
      <c r="A5136" t="s">
        <v>13</v>
      </c>
      <c r="B5136" s="1">
        <v>44727</v>
      </c>
      <c r="C5136">
        <v>4668.1601559999999</v>
      </c>
    </row>
    <row r="5137" spans="1:3" x14ac:dyDescent="0.25">
      <c r="A5137" t="s">
        <v>13</v>
      </c>
      <c r="B5137" s="1">
        <v>44728</v>
      </c>
      <c r="C5137">
        <v>4533.6298829999996</v>
      </c>
    </row>
    <row r="5138" spans="1:3" x14ac:dyDescent="0.25">
      <c r="A5138" t="s">
        <v>13</v>
      </c>
      <c r="B5138" s="1">
        <v>44729</v>
      </c>
      <c r="C5138">
        <v>4566.4501950000003</v>
      </c>
    </row>
    <row r="5139" spans="1:3" x14ac:dyDescent="0.25">
      <c r="A5139" t="s">
        <v>13</v>
      </c>
      <c r="B5139" s="1">
        <v>44732</v>
      </c>
      <c r="C5139">
        <v>4655.7998049999997</v>
      </c>
    </row>
    <row r="5140" spans="1:3" x14ac:dyDescent="0.25">
      <c r="A5140" t="s">
        <v>13</v>
      </c>
      <c r="B5140" s="1">
        <v>44733</v>
      </c>
      <c r="C5140">
        <v>4683.5698240000002</v>
      </c>
    </row>
    <row r="5141" spans="1:3" x14ac:dyDescent="0.25">
      <c r="A5141" t="s">
        <v>13</v>
      </c>
      <c r="B5141" s="1">
        <v>44734</v>
      </c>
      <c r="C5141">
        <v>4612.8398440000001</v>
      </c>
    </row>
    <row r="5142" spans="1:3" x14ac:dyDescent="0.25">
      <c r="A5142" t="s">
        <v>13</v>
      </c>
      <c r="B5142" s="1">
        <v>44735</v>
      </c>
      <c r="C5142">
        <v>4477.1298829999996</v>
      </c>
    </row>
    <row r="5143" spans="1:3" x14ac:dyDescent="0.25">
      <c r="A5143" t="s">
        <v>13</v>
      </c>
      <c r="B5143" s="1">
        <v>44739</v>
      </c>
      <c r="C5143">
        <v>4627.6801759999998</v>
      </c>
    </row>
    <row r="5144" spans="1:3" x14ac:dyDescent="0.25">
      <c r="A5144" t="s">
        <v>13</v>
      </c>
      <c r="B5144" s="1">
        <v>44740</v>
      </c>
      <c r="C5144">
        <v>4656.6298829999996</v>
      </c>
    </row>
    <row r="5145" spans="1:3" x14ac:dyDescent="0.25">
      <c r="A5145" t="s">
        <v>13</v>
      </c>
      <c r="B5145" s="1">
        <v>44741</v>
      </c>
      <c r="C5145">
        <v>4590.9799800000001</v>
      </c>
    </row>
    <row r="5146" spans="1:3" x14ac:dyDescent="0.25">
      <c r="A5146" t="s">
        <v>13</v>
      </c>
      <c r="B5146" s="1">
        <v>44742</v>
      </c>
      <c r="C5146">
        <v>4494.8798829999996</v>
      </c>
    </row>
    <row r="5147" spans="1:3" x14ac:dyDescent="0.25">
      <c r="A5147" t="s">
        <v>13</v>
      </c>
      <c r="B5147" s="1">
        <v>44743</v>
      </c>
      <c r="C5147">
        <v>4534.9599609999996</v>
      </c>
    </row>
    <row r="5148" spans="1:3" x14ac:dyDescent="0.25">
      <c r="A5148" t="s">
        <v>13</v>
      </c>
      <c r="B5148" s="1">
        <v>44746</v>
      </c>
      <c r="C5148">
        <v>4546.2001950000003</v>
      </c>
    </row>
    <row r="5149" spans="1:3" x14ac:dyDescent="0.25">
      <c r="A5149" t="s">
        <v>13</v>
      </c>
      <c r="B5149" s="1">
        <v>44747</v>
      </c>
      <c r="C5149">
        <v>4455.5097660000001</v>
      </c>
    </row>
    <row r="5150" spans="1:3" x14ac:dyDescent="0.25">
      <c r="A5150" t="s">
        <v>13</v>
      </c>
      <c r="B5150" s="1">
        <v>44748</v>
      </c>
      <c r="C5150">
        <v>4484.6899409999996</v>
      </c>
    </row>
    <row r="5151" spans="1:3" x14ac:dyDescent="0.25">
      <c r="A5151" t="s">
        <v>13</v>
      </c>
      <c r="B5151" s="1">
        <v>44749</v>
      </c>
      <c r="C5151">
        <v>4597.4702150000003</v>
      </c>
    </row>
    <row r="5152" spans="1:3" x14ac:dyDescent="0.25">
      <c r="A5152" t="s">
        <v>13</v>
      </c>
      <c r="B5152" s="1">
        <v>44750</v>
      </c>
      <c r="C5152">
        <v>4623.6801759999998</v>
      </c>
    </row>
    <row r="5153" spans="1:3" x14ac:dyDescent="0.25">
      <c r="A5153" t="s">
        <v>13</v>
      </c>
      <c r="B5153" s="1">
        <v>44753</v>
      </c>
      <c r="C5153">
        <v>4554.580078</v>
      </c>
    </row>
    <row r="5154" spans="1:3" x14ac:dyDescent="0.25">
      <c r="A5154" t="s">
        <v>13</v>
      </c>
      <c r="B5154" s="1">
        <v>44754</v>
      </c>
      <c r="C5154">
        <v>4584.6601559999999</v>
      </c>
    </row>
    <row r="5155" spans="1:3" x14ac:dyDescent="0.25">
      <c r="A5155" t="s">
        <v>13</v>
      </c>
      <c r="B5155" s="1">
        <v>44755</v>
      </c>
      <c r="C5155">
        <v>4524.0297849999997</v>
      </c>
    </row>
    <row r="5156" spans="1:3" x14ac:dyDescent="0.25">
      <c r="A5156" t="s">
        <v>13</v>
      </c>
      <c r="B5156" s="1">
        <v>44756</v>
      </c>
      <c r="C5156">
        <v>4461.4301759999998</v>
      </c>
    </row>
    <row r="5157" spans="1:3" x14ac:dyDescent="0.25">
      <c r="A5157" t="s">
        <v>13</v>
      </c>
      <c r="B5157" s="1">
        <v>44757</v>
      </c>
      <c r="C5157">
        <v>4532.9599609999996</v>
      </c>
    </row>
    <row r="5158" spans="1:3" x14ac:dyDescent="0.25">
      <c r="A5158" t="s">
        <v>13</v>
      </c>
      <c r="B5158" s="1">
        <v>44760</v>
      </c>
      <c r="C5158">
        <v>4579.0097660000001</v>
      </c>
    </row>
    <row r="5159" spans="1:3" x14ac:dyDescent="0.25">
      <c r="A5159" t="s">
        <v>13</v>
      </c>
      <c r="B5159" s="1">
        <v>44761</v>
      </c>
      <c r="C5159">
        <v>4634.330078</v>
      </c>
    </row>
    <row r="5160" spans="1:3" x14ac:dyDescent="0.25">
      <c r="A5160" t="s">
        <v>13</v>
      </c>
      <c r="B5160" s="1">
        <v>44762</v>
      </c>
      <c r="C5160">
        <v>4657.2797849999997</v>
      </c>
    </row>
    <row r="5161" spans="1:3" x14ac:dyDescent="0.25">
      <c r="A5161" t="s">
        <v>13</v>
      </c>
      <c r="B5161" s="1">
        <v>44763</v>
      </c>
      <c r="C5161">
        <v>4709.8999020000001</v>
      </c>
    </row>
    <row r="5162" spans="1:3" x14ac:dyDescent="0.25">
      <c r="A5162" t="s">
        <v>13</v>
      </c>
      <c r="B5162" s="1">
        <v>44764</v>
      </c>
      <c r="C5162">
        <v>4655.6601559999999</v>
      </c>
    </row>
    <row r="5163" spans="1:3" x14ac:dyDescent="0.25">
      <c r="A5163" t="s">
        <v>13</v>
      </c>
      <c r="B5163" s="1">
        <v>44767</v>
      </c>
      <c r="C5163">
        <v>4664.9902339999999</v>
      </c>
    </row>
    <row r="5164" spans="1:3" x14ac:dyDescent="0.25">
      <c r="A5164" t="s">
        <v>13</v>
      </c>
      <c r="B5164" s="1">
        <v>44768</v>
      </c>
      <c r="C5164">
        <v>4637.7998049999997</v>
      </c>
    </row>
    <row r="5165" spans="1:3" x14ac:dyDescent="0.25">
      <c r="A5165" t="s">
        <v>13</v>
      </c>
      <c r="B5165" s="1">
        <v>44769</v>
      </c>
      <c r="C5165">
        <v>4630.3598629999997</v>
      </c>
    </row>
    <row r="5166" spans="1:3" x14ac:dyDescent="0.25">
      <c r="A5166" t="s">
        <v>13</v>
      </c>
      <c r="B5166" s="1">
        <v>44770</v>
      </c>
      <c r="C5166">
        <v>4739.3198240000002</v>
      </c>
    </row>
    <row r="5167" spans="1:3" x14ac:dyDescent="0.25">
      <c r="A5167" t="s">
        <v>13</v>
      </c>
      <c r="B5167" s="1">
        <v>44771</v>
      </c>
      <c r="C5167">
        <v>4795.5498049999997</v>
      </c>
    </row>
    <row r="5168" spans="1:3" x14ac:dyDescent="0.25">
      <c r="A5168" t="s">
        <v>13</v>
      </c>
      <c r="B5168" s="1">
        <v>44774</v>
      </c>
      <c r="C5168">
        <v>4805.6298829999996</v>
      </c>
    </row>
    <row r="5169" spans="1:3" x14ac:dyDescent="0.25">
      <c r="A5169" t="s">
        <v>13</v>
      </c>
      <c r="B5169" s="1">
        <v>44775</v>
      </c>
      <c r="C5169">
        <v>4739.3500979999999</v>
      </c>
    </row>
    <row r="5170" spans="1:3" x14ac:dyDescent="0.25">
      <c r="A5170" t="s">
        <v>13</v>
      </c>
      <c r="B5170" s="1">
        <v>44776</v>
      </c>
      <c r="C5170">
        <v>4768.9399409999996</v>
      </c>
    </row>
    <row r="5171" spans="1:3" x14ac:dyDescent="0.25">
      <c r="A5171" t="s">
        <v>13</v>
      </c>
      <c r="B5171" s="1">
        <v>44777</v>
      </c>
      <c r="C5171">
        <v>4803.1401370000003</v>
      </c>
    </row>
    <row r="5172" spans="1:3" x14ac:dyDescent="0.25">
      <c r="A5172" t="s">
        <v>13</v>
      </c>
      <c r="B5172" s="1">
        <v>44778</v>
      </c>
      <c r="C5172">
        <v>4770.7998049999997</v>
      </c>
    </row>
    <row r="5173" spans="1:3" x14ac:dyDescent="0.25">
      <c r="A5173" t="s">
        <v>13</v>
      </c>
      <c r="B5173" s="1">
        <v>44781</v>
      </c>
      <c r="C5173">
        <v>4807.6000979999999</v>
      </c>
    </row>
    <row r="5174" spans="1:3" x14ac:dyDescent="0.25">
      <c r="A5174" t="s">
        <v>13</v>
      </c>
      <c r="B5174" s="1">
        <v>44782</v>
      </c>
      <c r="C5174">
        <v>4774.9599609999996</v>
      </c>
    </row>
    <row r="5175" spans="1:3" x14ac:dyDescent="0.25">
      <c r="A5175" t="s">
        <v>13</v>
      </c>
      <c r="B5175" s="1">
        <v>44783</v>
      </c>
      <c r="C5175">
        <v>4851.8398440000001</v>
      </c>
    </row>
    <row r="5176" spans="1:3" x14ac:dyDescent="0.25">
      <c r="A5176" t="s">
        <v>13</v>
      </c>
      <c r="B5176" s="1">
        <v>44784</v>
      </c>
      <c r="C5176">
        <v>4873.7900390000004</v>
      </c>
    </row>
    <row r="5177" spans="1:3" x14ac:dyDescent="0.25">
      <c r="A5177" t="s">
        <v>13</v>
      </c>
      <c r="B5177" s="1">
        <v>44785</v>
      </c>
      <c r="C5177">
        <v>4868.1499020000001</v>
      </c>
    </row>
    <row r="5178" spans="1:3" x14ac:dyDescent="0.25">
      <c r="A5178" t="s">
        <v>13</v>
      </c>
      <c r="B5178" s="1">
        <v>44788</v>
      </c>
      <c r="C5178">
        <v>4853.9702150000003</v>
      </c>
    </row>
    <row r="5179" spans="1:3" x14ac:dyDescent="0.25">
      <c r="A5179" t="s">
        <v>13</v>
      </c>
      <c r="B5179" s="1">
        <v>44789</v>
      </c>
      <c r="C5179">
        <v>4904.7900390000004</v>
      </c>
    </row>
    <row r="5180" spans="1:3" x14ac:dyDescent="0.25">
      <c r="A5180" t="s">
        <v>13</v>
      </c>
      <c r="B5180" s="1">
        <v>44790</v>
      </c>
      <c r="C5180">
        <v>4819.1000979999999</v>
      </c>
    </row>
    <row r="5181" spans="1:3" x14ac:dyDescent="0.25">
      <c r="A5181" t="s">
        <v>13</v>
      </c>
      <c r="B5181" s="1">
        <v>44791</v>
      </c>
      <c r="C5181">
        <v>4861.169922</v>
      </c>
    </row>
    <row r="5182" spans="1:3" x14ac:dyDescent="0.25">
      <c r="A5182" t="s">
        <v>13</v>
      </c>
      <c r="B5182" s="1">
        <v>44792</v>
      </c>
      <c r="C5182">
        <v>4829.0097660000001</v>
      </c>
    </row>
    <row r="5183" spans="1:3" x14ac:dyDescent="0.25">
      <c r="A5183" t="s">
        <v>13</v>
      </c>
      <c r="B5183" s="1">
        <v>44795</v>
      </c>
      <c r="C5183">
        <v>4767.6401370000003</v>
      </c>
    </row>
    <row r="5184" spans="1:3" x14ac:dyDescent="0.25">
      <c r="A5184" t="s">
        <v>13</v>
      </c>
      <c r="B5184" s="1">
        <v>44796</v>
      </c>
      <c r="C5184">
        <v>4780.6000979999999</v>
      </c>
    </row>
    <row r="5185" spans="1:3" x14ac:dyDescent="0.25">
      <c r="A5185" t="s">
        <v>13</v>
      </c>
      <c r="B5185" s="1">
        <v>44797</v>
      </c>
      <c r="C5185">
        <v>4783.2202150000003</v>
      </c>
    </row>
    <row r="5186" spans="1:3" x14ac:dyDescent="0.25">
      <c r="A5186" t="s">
        <v>13</v>
      </c>
      <c r="B5186" s="1">
        <v>44798</v>
      </c>
      <c r="C5186">
        <v>4800.580078</v>
      </c>
    </row>
    <row r="5187" spans="1:3" x14ac:dyDescent="0.25">
      <c r="A5187" t="s">
        <v>13</v>
      </c>
      <c r="B5187" s="1">
        <v>44799</v>
      </c>
      <c r="C5187">
        <v>4743.3598629999997</v>
      </c>
    </row>
    <row r="5188" spans="1:3" x14ac:dyDescent="0.25">
      <c r="A5188" t="s">
        <v>13</v>
      </c>
      <c r="B5188" s="1">
        <v>44802</v>
      </c>
      <c r="C5188">
        <v>4701.1000979999999</v>
      </c>
    </row>
    <row r="5189" spans="1:3" x14ac:dyDescent="0.25">
      <c r="A5189" t="s">
        <v>13</v>
      </c>
      <c r="B5189" s="1">
        <v>44803</v>
      </c>
      <c r="C5189">
        <v>4702.8901370000003</v>
      </c>
    </row>
    <row r="5190" spans="1:3" x14ac:dyDescent="0.25">
      <c r="A5190" t="s">
        <v>13</v>
      </c>
      <c r="B5190" s="1">
        <v>44804</v>
      </c>
      <c r="C5190">
        <v>4701.919922</v>
      </c>
    </row>
    <row r="5191" spans="1:3" x14ac:dyDescent="0.25">
      <c r="A5191" t="s">
        <v>13</v>
      </c>
      <c r="B5191" s="1">
        <v>44805</v>
      </c>
      <c r="C5191">
        <v>4585.0400390000004</v>
      </c>
    </row>
    <row r="5192" spans="1:3" x14ac:dyDescent="0.25">
      <c r="A5192" t="s">
        <v>13</v>
      </c>
      <c r="B5192" s="1">
        <v>44806</v>
      </c>
      <c r="C5192">
        <v>4671.0400390000004</v>
      </c>
    </row>
    <row r="5193" spans="1:3" x14ac:dyDescent="0.25">
      <c r="A5193" t="s">
        <v>13</v>
      </c>
      <c r="B5193" s="1">
        <v>44809</v>
      </c>
      <c r="C5193">
        <v>4590.2299800000001</v>
      </c>
    </row>
    <row r="5194" spans="1:3" x14ac:dyDescent="0.25">
      <c r="A5194" t="s">
        <v>13</v>
      </c>
      <c r="B5194" s="1">
        <v>44810</v>
      </c>
      <c r="C5194">
        <v>4592.8100590000004</v>
      </c>
    </row>
    <row r="5195" spans="1:3" x14ac:dyDescent="0.25">
      <c r="A5195" t="s">
        <v>13</v>
      </c>
      <c r="B5195" s="1">
        <v>44811</v>
      </c>
      <c r="C5195">
        <v>4612.6000979999999</v>
      </c>
    </row>
    <row r="5196" spans="1:3" x14ac:dyDescent="0.25">
      <c r="A5196" t="s">
        <v>13</v>
      </c>
      <c r="B5196" s="1">
        <v>44812</v>
      </c>
      <c r="C5196">
        <v>4621.3999020000001</v>
      </c>
    </row>
    <row r="5197" spans="1:3" x14ac:dyDescent="0.25">
      <c r="A5197" t="s">
        <v>13</v>
      </c>
      <c r="B5197" s="1">
        <v>44813</v>
      </c>
      <c r="C5197">
        <v>4695.6499020000001</v>
      </c>
    </row>
    <row r="5198" spans="1:3" x14ac:dyDescent="0.25">
      <c r="A5198" t="s">
        <v>13</v>
      </c>
      <c r="B5198" s="1">
        <v>44816</v>
      </c>
      <c r="C5198">
        <v>4767.4902339999999</v>
      </c>
    </row>
    <row r="5199" spans="1:3" x14ac:dyDescent="0.25">
      <c r="A5199" t="s">
        <v>13</v>
      </c>
      <c r="B5199" s="1">
        <v>44817</v>
      </c>
      <c r="C5199">
        <v>4697.3500979999999</v>
      </c>
    </row>
    <row r="5200" spans="1:3" x14ac:dyDescent="0.25">
      <c r="A5200" t="s">
        <v>13</v>
      </c>
      <c r="B5200" s="1">
        <v>44818</v>
      </c>
      <c r="C5200">
        <v>4638.0400390000004</v>
      </c>
    </row>
    <row r="5201" spans="1:3" x14ac:dyDescent="0.25">
      <c r="A5201" t="s">
        <v>13</v>
      </c>
      <c r="B5201" s="1">
        <v>44819</v>
      </c>
      <c r="C5201">
        <v>4645.5297849999997</v>
      </c>
    </row>
    <row r="5202" spans="1:3" x14ac:dyDescent="0.25">
      <c r="A5202" t="s">
        <v>13</v>
      </c>
      <c r="B5202" s="1">
        <v>44820</v>
      </c>
      <c r="C5202">
        <v>4602.0898440000001</v>
      </c>
    </row>
    <row r="5203" spans="1:3" x14ac:dyDescent="0.25">
      <c r="A5203" t="s">
        <v>13</v>
      </c>
      <c r="B5203" s="1">
        <v>44823</v>
      </c>
      <c r="C5203">
        <v>4563.1201170000004</v>
      </c>
    </row>
    <row r="5204" spans="1:3" x14ac:dyDescent="0.25">
      <c r="A5204" t="s">
        <v>13</v>
      </c>
      <c r="B5204" s="1">
        <v>44824</v>
      </c>
      <c r="C5204">
        <v>4492.1201170000004</v>
      </c>
    </row>
    <row r="5205" spans="1:3" x14ac:dyDescent="0.25">
      <c r="A5205" t="s">
        <v>13</v>
      </c>
      <c r="B5205" s="1">
        <v>44825</v>
      </c>
      <c r="C5205">
        <v>4545.4799800000001</v>
      </c>
    </row>
    <row r="5206" spans="1:3" x14ac:dyDescent="0.25">
      <c r="A5206" t="s">
        <v>13</v>
      </c>
      <c r="B5206" s="1">
        <v>44826</v>
      </c>
      <c r="C5206">
        <v>4477.25</v>
      </c>
    </row>
    <row r="5207" spans="1:3" x14ac:dyDescent="0.25">
      <c r="A5207" t="s">
        <v>13</v>
      </c>
      <c r="B5207" s="1">
        <v>44827</v>
      </c>
      <c r="C5207">
        <v>4391.3999020000001</v>
      </c>
    </row>
    <row r="5208" spans="1:3" x14ac:dyDescent="0.25">
      <c r="A5208" t="s">
        <v>13</v>
      </c>
      <c r="B5208" s="1">
        <v>44830</v>
      </c>
      <c r="C5208">
        <v>4368.8701170000004</v>
      </c>
    </row>
    <row r="5209" spans="1:3" x14ac:dyDescent="0.25">
      <c r="A5209" t="s">
        <v>13</v>
      </c>
      <c r="B5209" s="1">
        <v>44831</v>
      </c>
      <c r="C5209">
        <v>4383.8901370000003</v>
      </c>
    </row>
    <row r="5210" spans="1:3" x14ac:dyDescent="0.25">
      <c r="A5210" t="s">
        <v>13</v>
      </c>
      <c r="B5210" s="1">
        <v>44832</v>
      </c>
      <c r="C5210">
        <v>4401.0898440000001</v>
      </c>
    </row>
    <row r="5211" spans="1:3" x14ac:dyDescent="0.25">
      <c r="A5211" t="s">
        <v>13</v>
      </c>
      <c r="B5211" s="1">
        <v>44833</v>
      </c>
      <c r="C5211">
        <v>4302.6801759999998</v>
      </c>
    </row>
    <row r="5212" spans="1:3" x14ac:dyDescent="0.25">
      <c r="A5212" t="s">
        <v>13</v>
      </c>
      <c r="B5212" s="1">
        <v>44834</v>
      </c>
      <c r="C5212">
        <v>4382.3798829999996</v>
      </c>
    </row>
    <row r="5213" spans="1:3" x14ac:dyDescent="0.25">
      <c r="A5213" t="s">
        <v>13</v>
      </c>
      <c r="B5213" s="1">
        <v>44837</v>
      </c>
      <c r="C5213">
        <v>4448.9101559999999</v>
      </c>
    </row>
    <row r="5214" spans="1:3" x14ac:dyDescent="0.25">
      <c r="A5214" t="s">
        <v>13</v>
      </c>
      <c r="B5214" s="1">
        <v>44838</v>
      </c>
      <c r="C5214">
        <v>4587.4101559999999</v>
      </c>
    </row>
    <row r="5215" spans="1:3" x14ac:dyDescent="0.25">
      <c r="A5215" t="s">
        <v>13</v>
      </c>
      <c r="B5215" s="1">
        <v>44839</v>
      </c>
      <c r="C5215">
        <v>4525.9902339999999</v>
      </c>
    </row>
    <row r="5216" spans="1:3" x14ac:dyDescent="0.25">
      <c r="A5216" t="s">
        <v>13</v>
      </c>
      <c r="B5216" s="1">
        <v>44840</v>
      </c>
      <c r="C5216">
        <v>4496.1801759999998</v>
      </c>
    </row>
    <row r="5217" spans="1:3" x14ac:dyDescent="0.25">
      <c r="A5217" t="s">
        <v>13</v>
      </c>
      <c r="B5217" s="1">
        <v>44841</v>
      </c>
      <c r="C5217">
        <v>4405.1098629999997</v>
      </c>
    </row>
    <row r="5218" spans="1:3" x14ac:dyDescent="0.25">
      <c r="A5218" t="s">
        <v>13</v>
      </c>
      <c r="B5218" s="1">
        <v>44844</v>
      </c>
      <c r="C5218">
        <v>4399.1899409999996</v>
      </c>
    </row>
    <row r="5219" spans="1:3" x14ac:dyDescent="0.25">
      <c r="A5219" t="s">
        <v>13</v>
      </c>
      <c r="B5219" s="1">
        <v>44845</v>
      </c>
      <c r="C5219">
        <v>4400.7299800000001</v>
      </c>
    </row>
    <row r="5220" spans="1:3" x14ac:dyDescent="0.25">
      <c r="A5220" t="s">
        <v>13</v>
      </c>
      <c r="B5220" s="1">
        <v>44846</v>
      </c>
      <c r="C5220">
        <v>4388.6298829999996</v>
      </c>
    </row>
    <row r="5221" spans="1:3" x14ac:dyDescent="0.25">
      <c r="A5221" t="s">
        <v>13</v>
      </c>
      <c r="B5221" s="1">
        <v>44847</v>
      </c>
      <c r="C5221">
        <v>4422.6201170000004</v>
      </c>
    </row>
    <row r="5222" spans="1:3" x14ac:dyDescent="0.25">
      <c r="A5222" t="s">
        <v>13</v>
      </c>
      <c r="B5222" s="1">
        <v>44848</v>
      </c>
      <c r="C5222">
        <v>4487.1201170000004</v>
      </c>
    </row>
    <row r="5223" spans="1:3" x14ac:dyDescent="0.25">
      <c r="A5223" t="s">
        <v>13</v>
      </c>
      <c r="B5223" s="1">
        <v>44851</v>
      </c>
      <c r="C5223">
        <v>4577.5200199999999</v>
      </c>
    </row>
    <row r="5224" spans="1:3" x14ac:dyDescent="0.25">
      <c r="A5224" t="s">
        <v>13</v>
      </c>
      <c r="B5224" s="1">
        <v>44852</v>
      </c>
      <c r="C5224">
        <v>4608.1000979999999</v>
      </c>
    </row>
    <row r="5225" spans="1:3" x14ac:dyDescent="0.25">
      <c r="A5225" t="s">
        <v>13</v>
      </c>
      <c r="B5225" s="1">
        <v>44853</v>
      </c>
      <c r="C5225">
        <v>4578.0600590000004</v>
      </c>
    </row>
    <row r="5226" spans="1:3" x14ac:dyDescent="0.25">
      <c r="A5226" t="s">
        <v>13</v>
      </c>
      <c r="B5226" s="1">
        <v>44854</v>
      </c>
      <c r="C5226">
        <v>4535.6000979999999</v>
      </c>
    </row>
    <row r="5227" spans="1:3" x14ac:dyDescent="0.25">
      <c r="A5227" t="s">
        <v>13</v>
      </c>
      <c r="B5227" s="1">
        <v>44855</v>
      </c>
      <c r="C5227">
        <v>4535.7998049999997</v>
      </c>
    </row>
    <row r="5228" spans="1:3" x14ac:dyDescent="0.25">
      <c r="A5228" t="s">
        <v>13</v>
      </c>
      <c r="B5228" s="1">
        <v>44858</v>
      </c>
      <c r="C5228">
        <v>4579.9501950000003</v>
      </c>
    </row>
    <row r="5229" spans="1:3" x14ac:dyDescent="0.25">
      <c r="A5229" t="s">
        <v>13</v>
      </c>
      <c r="B5229" s="1">
        <v>44859</v>
      </c>
      <c r="C5229">
        <v>4620.2998049999997</v>
      </c>
    </row>
    <row r="5230" spans="1:3" x14ac:dyDescent="0.25">
      <c r="A5230" t="s">
        <v>13</v>
      </c>
      <c r="B5230" s="1">
        <v>44860</v>
      </c>
      <c r="C5230">
        <v>4671.5600590000004</v>
      </c>
    </row>
    <row r="5231" spans="1:3" x14ac:dyDescent="0.25">
      <c r="A5231" t="s">
        <v>13</v>
      </c>
      <c r="B5231" s="1">
        <v>44861</v>
      </c>
      <c r="C5231">
        <v>4652.4301759999998</v>
      </c>
    </row>
    <row r="5232" spans="1:3" x14ac:dyDescent="0.25">
      <c r="A5232" t="s">
        <v>13</v>
      </c>
      <c r="B5232" s="1">
        <v>44862</v>
      </c>
      <c r="C5232">
        <v>4604.4902339999999</v>
      </c>
    </row>
    <row r="5233" spans="1:3" x14ac:dyDescent="0.25">
      <c r="A5233" t="s">
        <v>13</v>
      </c>
      <c r="B5233" s="1">
        <v>44865</v>
      </c>
      <c r="C5233">
        <v>4606.5297849999997</v>
      </c>
    </row>
    <row r="5234" spans="1:3" x14ac:dyDescent="0.25">
      <c r="A5234" t="s">
        <v>13</v>
      </c>
      <c r="B5234" s="1">
        <v>44866</v>
      </c>
      <c r="C5234">
        <v>4646.580078</v>
      </c>
    </row>
    <row r="5235" spans="1:3" x14ac:dyDescent="0.25">
      <c r="A5235" t="s">
        <v>13</v>
      </c>
      <c r="B5235" s="1">
        <v>44867</v>
      </c>
      <c r="C5235">
        <v>4619.8598629999997</v>
      </c>
    </row>
    <row r="5236" spans="1:3" x14ac:dyDescent="0.25">
      <c r="A5236" t="s">
        <v>13</v>
      </c>
      <c r="B5236" s="1">
        <v>44868</v>
      </c>
      <c r="C5236">
        <v>4587.7700199999999</v>
      </c>
    </row>
    <row r="5237" spans="1:3" x14ac:dyDescent="0.25">
      <c r="A5237" t="s">
        <v>13</v>
      </c>
      <c r="B5237" s="1">
        <v>44869</v>
      </c>
      <c r="C5237">
        <v>4718.3500979999999</v>
      </c>
    </row>
    <row r="5238" spans="1:3" x14ac:dyDescent="0.25">
      <c r="A5238" t="s">
        <v>13</v>
      </c>
      <c r="B5238" s="1">
        <v>44872</v>
      </c>
      <c r="C5238">
        <v>4767.830078</v>
      </c>
    </row>
    <row r="5239" spans="1:3" x14ac:dyDescent="0.25">
      <c r="A5239" t="s">
        <v>13</v>
      </c>
      <c r="B5239" s="1">
        <v>44873</v>
      </c>
      <c r="C5239">
        <v>4808.3999020000001</v>
      </c>
    </row>
    <row r="5240" spans="1:3" x14ac:dyDescent="0.25">
      <c r="A5240" t="s">
        <v>13</v>
      </c>
      <c r="B5240" s="1">
        <v>44874</v>
      </c>
      <c r="C5240">
        <v>4814.3598629999997</v>
      </c>
    </row>
    <row r="5241" spans="1:3" x14ac:dyDescent="0.25">
      <c r="A5241" t="s">
        <v>13</v>
      </c>
      <c r="B5241" s="1">
        <v>44875</v>
      </c>
      <c r="C5241">
        <v>4876.3500979999999</v>
      </c>
    </row>
    <row r="5242" spans="1:3" x14ac:dyDescent="0.25">
      <c r="A5242" t="s">
        <v>13</v>
      </c>
      <c r="B5242" s="1">
        <v>44876</v>
      </c>
      <c r="C5242">
        <v>4888.3100590000004</v>
      </c>
    </row>
    <row r="5243" spans="1:3" x14ac:dyDescent="0.25">
      <c r="A5243" t="s">
        <v>13</v>
      </c>
      <c r="B5243" s="1">
        <v>44879</v>
      </c>
      <c r="C5243">
        <v>4899.0200199999999</v>
      </c>
    </row>
    <row r="5244" spans="1:3" x14ac:dyDescent="0.25">
      <c r="A5244" t="s">
        <v>13</v>
      </c>
      <c r="B5244" s="1">
        <v>44880</v>
      </c>
      <c r="C5244">
        <v>4893.4799800000001</v>
      </c>
    </row>
    <row r="5245" spans="1:3" x14ac:dyDescent="0.25">
      <c r="A5245" t="s">
        <v>13</v>
      </c>
      <c r="B5245" s="1">
        <v>44881</v>
      </c>
      <c r="C5245">
        <v>4865.2797849999997</v>
      </c>
    </row>
    <row r="5246" spans="1:3" x14ac:dyDescent="0.25">
      <c r="A5246" t="s">
        <v>13</v>
      </c>
      <c r="B5246" s="1">
        <v>44882</v>
      </c>
      <c r="C5246">
        <v>4813.4101559999999</v>
      </c>
    </row>
    <row r="5247" spans="1:3" x14ac:dyDescent="0.25">
      <c r="A5247" t="s">
        <v>13</v>
      </c>
      <c r="B5247" s="1">
        <v>44883</v>
      </c>
      <c r="C5247">
        <v>4863.8901370000003</v>
      </c>
    </row>
    <row r="5248" spans="1:3" x14ac:dyDescent="0.25">
      <c r="A5248" t="s">
        <v>13</v>
      </c>
      <c r="B5248" s="1">
        <v>44886</v>
      </c>
      <c r="C5248">
        <v>4845.6000979999999</v>
      </c>
    </row>
    <row r="5249" spans="1:3" x14ac:dyDescent="0.25">
      <c r="A5249" t="s">
        <v>13</v>
      </c>
      <c r="B5249" s="1">
        <v>44887</v>
      </c>
      <c r="C5249">
        <v>4877</v>
      </c>
    </row>
    <row r="5250" spans="1:3" x14ac:dyDescent="0.25">
      <c r="A5250" t="s">
        <v>13</v>
      </c>
      <c r="B5250" s="1">
        <v>44888</v>
      </c>
      <c r="C5250">
        <v>4896.6601559999999</v>
      </c>
    </row>
    <row r="5251" spans="1:3" x14ac:dyDescent="0.25">
      <c r="A5251" t="s">
        <v>13</v>
      </c>
      <c r="B5251" s="1">
        <v>44889</v>
      </c>
      <c r="C5251">
        <v>4916.3500979999999</v>
      </c>
    </row>
    <row r="5252" spans="1:3" x14ac:dyDescent="0.25">
      <c r="A5252" t="s">
        <v>13</v>
      </c>
      <c r="B5252" s="1">
        <v>44890</v>
      </c>
      <c r="C5252">
        <v>4921.1801759999998</v>
      </c>
    </row>
    <row r="5253" spans="1:3" x14ac:dyDescent="0.25">
      <c r="A5253" t="s">
        <v>13</v>
      </c>
      <c r="B5253" s="1">
        <v>44893</v>
      </c>
      <c r="C5253">
        <v>4855.2299800000001</v>
      </c>
    </row>
    <row r="5254" spans="1:3" x14ac:dyDescent="0.25">
      <c r="A5254" t="s">
        <v>13</v>
      </c>
      <c r="B5254" s="1">
        <v>44894</v>
      </c>
      <c r="C5254">
        <v>4894.0600590000004</v>
      </c>
    </row>
    <row r="5255" spans="1:3" x14ac:dyDescent="0.25">
      <c r="A5255" t="s">
        <v>13</v>
      </c>
      <c r="B5255" s="1">
        <v>44895</v>
      </c>
      <c r="C5255">
        <v>4925.6201170000004</v>
      </c>
    </row>
    <row r="5256" spans="1:3" x14ac:dyDescent="0.25">
      <c r="A5256" t="s">
        <v>13</v>
      </c>
      <c r="B5256" s="1">
        <v>44896</v>
      </c>
      <c r="C5256">
        <v>4983.9702150000003</v>
      </c>
    </row>
    <row r="5257" spans="1:3" x14ac:dyDescent="0.25">
      <c r="A5257" t="s">
        <v>13</v>
      </c>
      <c r="B5257" s="1">
        <v>44897</v>
      </c>
      <c r="C5257">
        <v>5005.2700199999999</v>
      </c>
    </row>
    <row r="5258" spans="1:3" x14ac:dyDescent="0.25">
      <c r="A5258" t="s">
        <v>13</v>
      </c>
      <c r="B5258" s="1">
        <v>44900</v>
      </c>
      <c r="C5258">
        <v>5006.0297849999997</v>
      </c>
    </row>
    <row r="5259" spans="1:3" x14ac:dyDescent="0.25">
      <c r="A5259" t="s">
        <v>13</v>
      </c>
      <c r="B5259" s="1">
        <v>44901</v>
      </c>
      <c r="C5259">
        <v>5006.0297849999997</v>
      </c>
    </row>
    <row r="5260" spans="1:3" x14ac:dyDescent="0.25">
      <c r="A5260" t="s">
        <v>13</v>
      </c>
      <c r="B5260" s="1">
        <v>44902</v>
      </c>
      <c r="C5260">
        <v>4926.2998049999997</v>
      </c>
    </row>
    <row r="5261" spans="1:3" x14ac:dyDescent="0.25">
      <c r="A5261" t="s">
        <v>13</v>
      </c>
      <c r="B5261" s="1">
        <v>44903</v>
      </c>
      <c r="C5261">
        <v>4913.3398440000001</v>
      </c>
    </row>
    <row r="5262" spans="1:3" x14ac:dyDescent="0.25">
      <c r="A5262" t="s">
        <v>13</v>
      </c>
      <c r="B5262" s="1">
        <v>44904</v>
      </c>
      <c r="C5262">
        <v>4981.5097660000001</v>
      </c>
    </row>
    <row r="5263" spans="1:3" x14ac:dyDescent="0.25">
      <c r="A5263" t="s">
        <v>13</v>
      </c>
      <c r="B5263" s="1">
        <v>44907</v>
      </c>
      <c r="C5263">
        <v>4926.0097660000001</v>
      </c>
    </row>
    <row r="5264" spans="1:3" x14ac:dyDescent="0.25">
      <c r="A5264" t="s">
        <v>13</v>
      </c>
      <c r="B5264" s="1">
        <v>44908</v>
      </c>
      <c r="C5264">
        <v>4961.3999020000001</v>
      </c>
    </row>
    <row r="5265" spans="1:3" x14ac:dyDescent="0.25">
      <c r="A5265" t="s">
        <v>13</v>
      </c>
      <c r="B5265" s="1">
        <v>44909</v>
      </c>
      <c r="C5265">
        <v>4964.9101559999999</v>
      </c>
    </row>
    <row r="5266" spans="1:3" x14ac:dyDescent="0.25">
      <c r="A5266" t="s">
        <v>13</v>
      </c>
      <c r="B5266" s="1">
        <v>44910</v>
      </c>
      <c r="C5266">
        <v>4852.7700199999999</v>
      </c>
    </row>
    <row r="5267" spans="1:3" x14ac:dyDescent="0.25">
      <c r="A5267" t="s">
        <v>13</v>
      </c>
      <c r="B5267" s="1">
        <v>44911</v>
      </c>
      <c r="C5267">
        <v>4786.8598629999997</v>
      </c>
    </row>
    <row r="5268" spans="1:3" x14ac:dyDescent="0.25">
      <c r="A5268" t="s">
        <v>13</v>
      </c>
      <c r="B5268" s="1">
        <v>44914</v>
      </c>
      <c r="C5268">
        <v>4827.4399409999996</v>
      </c>
    </row>
    <row r="5269" spans="1:3" x14ac:dyDescent="0.25">
      <c r="A5269" t="s">
        <v>13</v>
      </c>
      <c r="B5269" s="1">
        <v>44915</v>
      </c>
      <c r="C5269">
        <v>4849.6899409999996</v>
      </c>
    </row>
    <row r="5270" spans="1:3" x14ac:dyDescent="0.25">
      <c r="A5270" t="s">
        <v>13</v>
      </c>
      <c r="B5270" s="1">
        <v>44916</v>
      </c>
      <c r="C5270">
        <v>4893.9702150000003</v>
      </c>
    </row>
    <row r="5271" spans="1:3" x14ac:dyDescent="0.25">
      <c r="A5271" t="s">
        <v>13</v>
      </c>
      <c r="B5271" s="1">
        <v>44917</v>
      </c>
      <c r="C5271">
        <v>4869.9799800000001</v>
      </c>
    </row>
    <row r="5272" spans="1:3" x14ac:dyDescent="0.25">
      <c r="A5272" t="s">
        <v>13</v>
      </c>
      <c r="B5272" s="1">
        <v>44918</v>
      </c>
      <c r="C5272">
        <v>4880.8198240000002</v>
      </c>
    </row>
    <row r="5273" spans="1:3" x14ac:dyDescent="0.25">
      <c r="A5273" t="s">
        <v>13</v>
      </c>
      <c r="B5273" s="1">
        <v>44922</v>
      </c>
      <c r="C5273">
        <v>4884.7299800000001</v>
      </c>
    </row>
    <row r="5274" spans="1:3" x14ac:dyDescent="0.25">
      <c r="A5274" t="s">
        <v>13</v>
      </c>
      <c r="B5274" s="1">
        <v>44923</v>
      </c>
      <c r="C5274">
        <v>4858.3901370000003</v>
      </c>
    </row>
    <row r="5275" spans="1:3" x14ac:dyDescent="0.25">
      <c r="A5275" t="s">
        <v>13</v>
      </c>
      <c r="B5275" s="1">
        <v>44924</v>
      </c>
      <c r="C5275">
        <v>4887.2402339999999</v>
      </c>
    </row>
    <row r="5276" spans="1:3" x14ac:dyDescent="0.25">
      <c r="A5276" t="s">
        <v>13</v>
      </c>
      <c r="B5276" s="1">
        <v>44925</v>
      </c>
      <c r="C5276">
        <v>4825.4399409999996</v>
      </c>
    </row>
    <row r="5277" spans="1:3" x14ac:dyDescent="0.25">
      <c r="A5277" t="s">
        <v>13</v>
      </c>
      <c r="B5277" s="1">
        <v>44928</v>
      </c>
      <c r="C5277">
        <v>4917.0297849999997</v>
      </c>
    </row>
    <row r="5278" spans="1:3" x14ac:dyDescent="0.25">
      <c r="A5278" t="s">
        <v>13</v>
      </c>
      <c r="B5278" s="1">
        <v>44929</v>
      </c>
      <c r="C5278">
        <v>4909.5097660000001</v>
      </c>
    </row>
    <row r="5279" spans="1:3" x14ac:dyDescent="0.25">
      <c r="A5279" t="s">
        <v>13</v>
      </c>
      <c r="B5279" s="1">
        <v>44930</v>
      </c>
      <c r="C5279">
        <v>4939.6801759999998</v>
      </c>
    </row>
    <row r="5280" spans="1:3" x14ac:dyDescent="0.25">
      <c r="A5280" t="s">
        <v>13</v>
      </c>
      <c r="B5280" s="1">
        <v>44931</v>
      </c>
      <c r="C5280">
        <v>4968.2597660000001</v>
      </c>
    </row>
    <row r="5281" spans="1:3" x14ac:dyDescent="0.25">
      <c r="A5281" t="s">
        <v>13</v>
      </c>
      <c r="B5281" s="1">
        <v>44935</v>
      </c>
      <c r="C5281">
        <v>5068.2299800000001</v>
      </c>
    </row>
    <row r="5282" spans="1:3" x14ac:dyDescent="0.25">
      <c r="A5282" t="s">
        <v>13</v>
      </c>
      <c r="B5282" s="1">
        <v>44936</v>
      </c>
      <c r="C5282">
        <v>5007.1499020000001</v>
      </c>
    </row>
    <row r="5283" spans="1:3" x14ac:dyDescent="0.25">
      <c r="A5283" t="s">
        <v>13</v>
      </c>
      <c r="B5283" s="1">
        <v>44937</v>
      </c>
      <c r="C5283">
        <v>5012.2299800000001</v>
      </c>
    </row>
    <row r="5284" spans="1:3" x14ac:dyDescent="0.25">
      <c r="A5284" t="s">
        <v>13</v>
      </c>
      <c r="B5284" s="1">
        <v>44938</v>
      </c>
      <c r="C5284">
        <v>5057.1298829999996</v>
      </c>
    </row>
    <row r="5285" spans="1:3" x14ac:dyDescent="0.25">
      <c r="A5285" t="s">
        <v>13</v>
      </c>
      <c r="B5285" s="1">
        <v>44939</v>
      </c>
      <c r="C5285">
        <v>5038.0498049999997</v>
      </c>
    </row>
    <row r="5286" spans="1:3" x14ac:dyDescent="0.25">
      <c r="A5286" t="s">
        <v>13</v>
      </c>
      <c r="B5286" s="1">
        <v>44942</v>
      </c>
      <c r="C5286">
        <v>5044.5</v>
      </c>
    </row>
    <row r="5287" spans="1:3" x14ac:dyDescent="0.25">
      <c r="A5287" t="s">
        <v>13</v>
      </c>
      <c r="B5287" s="1">
        <v>44943</v>
      </c>
      <c r="C5287">
        <v>4994.1201170000004</v>
      </c>
    </row>
    <row r="5288" spans="1:3" x14ac:dyDescent="0.25">
      <c r="A5288" t="s">
        <v>13</v>
      </c>
      <c r="B5288" s="1">
        <v>44944</v>
      </c>
      <c r="C5288">
        <v>5019.9902339999999</v>
      </c>
    </row>
    <row r="5289" spans="1:3" x14ac:dyDescent="0.25">
      <c r="A5289" t="s">
        <v>13</v>
      </c>
      <c r="B5289" s="1">
        <v>44945</v>
      </c>
      <c r="C5289">
        <v>4957.2202150000003</v>
      </c>
    </row>
    <row r="5290" spans="1:3" x14ac:dyDescent="0.25">
      <c r="A5290" t="s">
        <v>13</v>
      </c>
      <c r="B5290" s="1">
        <v>44946</v>
      </c>
      <c r="C5290">
        <v>4983.1499020000001</v>
      </c>
    </row>
    <row r="5291" spans="1:3" x14ac:dyDescent="0.25">
      <c r="A5291" t="s">
        <v>13</v>
      </c>
      <c r="B5291" s="1">
        <v>44949</v>
      </c>
      <c r="C5291">
        <v>5021.5200199999999</v>
      </c>
    </row>
    <row r="5292" spans="1:3" x14ac:dyDescent="0.25">
      <c r="A5292" t="s">
        <v>13</v>
      </c>
      <c r="B5292" s="1">
        <v>44950</v>
      </c>
      <c r="C5292">
        <v>5010.6801759999998</v>
      </c>
    </row>
    <row r="5293" spans="1:3" x14ac:dyDescent="0.25">
      <c r="A5293" t="s">
        <v>13</v>
      </c>
      <c r="B5293" s="1">
        <v>44951</v>
      </c>
      <c r="C5293">
        <v>4968.5297849999997</v>
      </c>
    </row>
    <row r="5294" spans="1:3" x14ac:dyDescent="0.25">
      <c r="A5294" t="s">
        <v>13</v>
      </c>
      <c r="B5294" s="1">
        <v>44952</v>
      </c>
      <c r="C5294">
        <v>5007.1601559999999</v>
      </c>
    </row>
    <row r="5295" spans="1:3" x14ac:dyDescent="0.25">
      <c r="A5295" t="s">
        <v>13</v>
      </c>
      <c r="B5295" s="1">
        <v>44953</v>
      </c>
      <c r="C5295">
        <v>5013.5400390000004</v>
      </c>
    </row>
    <row r="5296" spans="1:3" x14ac:dyDescent="0.25">
      <c r="A5296" t="s">
        <v>13</v>
      </c>
      <c r="B5296" s="1">
        <v>44956</v>
      </c>
      <c r="C5296">
        <v>4986.0698240000002</v>
      </c>
    </row>
    <row r="5297" spans="1:3" x14ac:dyDescent="0.25">
      <c r="A5297" t="s">
        <v>13</v>
      </c>
      <c r="B5297" s="1">
        <v>44957</v>
      </c>
      <c r="C5297">
        <v>4938.4399409999996</v>
      </c>
    </row>
    <row r="5298" spans="1:3" x14ac:dyDescent="0.25">
      <c r="A5298" t="s">
        <v>13</v>
      </c>
      <c r="B5298" s="1">
        <v>44958</v>
      </c>
      <c r="C5298">
        <v>4975.0698240000002</v>
      </c>
    </row>
    <row r="5299" spans="1:3" x14ac:dyDescent="0.25">
      <c r="A5299" t="s">
        <v>13</v>
      </c>
      <c r="B5299" s="1">
        <v>44959</v>
      </c>
      <c r="C5299">
        <v>5061.2099609999996</v>
      </c>
    </row>
    <row r="5300" spans="1:3" x14ac:dyDescent="0.25">
      <c r="A5300" t="s">
        <v>13</v>
      </c>
      <c r="B5300" s="1">
        <v>44960</v>
      </c>
      <c r="C5300">
        <v>5057.8701170000004</v>
      </c>
    </row>
    <row r="5301" spans="1:3" x14ac:dyDescent="0.25">
      <c r="A5301" t="s">
        <v>13</v>
      </c>
      <c r="B5301" s="1">
        <v>44963</v>
      </c>
      <c r="C5301">
        <v>5007.7597660000001</v>
      </c>
    </row>
    <row r="5302" spans="1:3" x14ac:dyDescent="0.25">
      <c r="A5302" t="s">
        <v>13</v>
      </c>
      <c r="B5302" s="1">
        <v>44964</v>
      </c>
      <c r="C5302">
        <v>5010.6499020000001</v>
      </c>
    </row>
    <row r="5303" spans="1:3" x14ac:dyDescent="0.25">
      <c r="A5303" t="s">
        <v>13</v>
      </c>
      <c r="B5303" s="1">
        <v>44965</v>
      </c>
      <c r="C5303">
        <v>5042.169922</v>
      </c>
    </row>
    <row r="5304" spans="1:3" x14ac:dyDescent="0.25">
      <c r="A5304" t="s">
        <v>13</v>
      </c>
      <c r="B5304" s="1">
        <v>44966</v>
      </c>
      <c r="C5304">
        <v>5036.7900390000004</v>
      </c>
    </row>
    <row r="5305" spans="1:3" x14ac:dyDescent="0.25">
      <c r="A5305" t="s">
        <v>13</v>
      </c>
      <c r="B5305" s="1">
        <v>44967</v>
      </c>
      <c r="C5305">
        <v>4961.3598629999997</v>
      </c>
    </row>
    <row r="5306" spans="1:3" x14ac:dyDescent="0.25">
      <c r="A5306" t="s">
        <v>13</v>
      </c>
      <c r="B5306" s="1">
        <v>44970</v>
      </c>
      <c r="C5306">
        <v>5021.2797849999997</v>
      </c>
    </row>
    <row r="5307" spans="1:3" x14ac:dyDescent="0.25">
      <c r="A5307" t="s">
        <v>13</v>
      </c>
      <c r="B5307" s="1">
        <v>44971</v>
      </c>
      <c r="C5307">
        <v>5019.7402339999999</v>
      </c>
    </row>
    <row r="5308" spans="1:3" x14ac:dyDescent="0.25">
      <c r="A5308" t="s">
        <v>13</v>
      </c>
      <c r="B5308" s="1">
        <v>44972</v>
      </c>
      <c r="C5308">
        <v>5005.3598629999997</v>
      </c>
    </row>
    <row r="5309" spans="1:3" x14ac:dyDescent="0.25">
      <c r="A5309" t="s">
        <v>13</v>
      </c>
      <c r="B5309" s="1">
        <v>44973</v>
      </c>
      <c r="C5309">
        <v>5015.1098629999997</v>
      </c>
    </row>
    <row r="5310" spans="1:3" x14ac:dyDescent="0.25">
      <c r="A5310" t="s">
        <v>13</v>
      </c>
      <c r="B5310" s="1">
        <v>44974</v>
      </c>
      <c r="C5310">
        <v>4991.0097660000001</v>
      </c>
    </row>
    <row r="5311" spans="1:3" x14ac:dyDescent="0.25">
      <c r="A5311" t="s">
        <v>13</v>
      </c>
      <c r="B5311" s="1">
        <v>44977</v>
      </c>
      <c r="C5311">
        <v>5014.1601559999999</v>
      </c>
    </row>
    <row r="5312" spans="1:3" x14ac:dyDescent="0.25">
      <c r="A5312" t="s">
        <v>13</v>
      </c>
      <c r="B5312" s="1">
        <v>44978</v>
      </c>
      <c r="C5312">
        <v>4998.0297849999997</v>
      </c>
    </row>
    <row r="5313" spans="1:3" x14ac:dyDescent="0.25">
      <c r="A5313" t="s">
        <v>13</v>
      </c>
      <c r="B5313" s="1">
        <v>44979</v>
      </c>
      <c r="C5313">
        <v>4998.3798829999996</v>
      </c>
    </row>
    <row r="5314" spans="1:3" x14ac:dyDescent="0.25">
      <c r="A5314" t="s">
        <v>13</v>
      </c>
      <c r="B5314" s="1">
        <v>44980</v>
      </c>
      <c r="C5314">
        <v>4992.1401370000003</v>
      </c>
    </row>
    <row r="5315" spans="1:3" x14ac:dyDescent="0.25">
      <c r="A5315" t="s">
        <v>13</v>
      </c>
      <c r="B5315" s="1">
        <v>44981</v>
      </c>
      <c r="C5315">
        <v>4961.1601559999999</v>
      </c>
    </row>
    <row r="5316" spans="1:3" x14ac:dyDescent="0.25">
      <c r="A5316" t="s">
        <v>13</v>
      </c>
      <c r="B5316" s="1">
        <v>44984</v>
      </c>
      <c r="C5316">
        <v>5030.0498049999997</v>
      </c>
    </row>
    <row r="5317" spans="1:3" x14ac:dyDescent="0.25">
      <c r="A5317" t="s">
        <v>13</v>
      </c>
      <c r="B5317" s="1">
        <v>44985</v>
      </c>
      <c r="C5317">
        <v>5027.0200199999999</v>
      </c>
    </row>
    <row r="5318" spans="1:3" x14ac:dyDescent="0.25">
      <c r="A5318" t="s">
        <v>13</v>
      </c>
      <c r="B5318" s="1">
        <v>44986</v>
      </c>
      <c r="C5318">
        <v>5016.3198240000002</v>
      </c>
    </row>
    <row r="5319" spans="1:3" x14ac:dyDescent="0.25">
      <c r="A5319" t="s">
        <v>13</v>
      </c>
      <c r="B5319" s="1">
        <v>44987</v>
      </c>
      <c r="C5319">
        <v>5006</v>
      </c>
    </row>
    <row r="5320" spans="1:3" x14ac:dyDescent="0.25">
      <c r="A5320" t="s">
        <v>13</v>
      </c>
      <c r="B5320" s="1">
        <v>44988</v>
      </c>
      <c r="C5320">
        <v>5067.9301759999998</v>
      </c>
    </row>
    <row r="5321" spans="1:3" x14ac:dyDescent="0.25">
      <c r="A5321" t="s">
        <v>13</v>
      </c>
      <c r="B5321" s="1">
        <v>44991</v>
      </c>
      <c r="C5321">
        <v>5043.669922</v>
      </c>
    </row>
    <row r="5322" spans="1:3" x14ac:dyDescent="0.25">
      <c r="A5322" t="s">
        <v>13</v>
      </c>
      <c r="B5322" s="1">
        <v>44992</v>
      </c>
      <c r="C5322">
        <v>5003.5698240000002</v>
      </c>
    </row>
    <row r="5323" spans="1:3" x14ac:dyDescent="0.25">
      <c r="A5323" t="s">
        <v>13</v>
      </c>
      <c r="B5323" s="1">
        <v>44993</v>
      </c>
      <c r="C5323">
        <v>5001.0097660000001</v>
      </c>
    </row>
    <row r="5324" spans="1:3" x14ac:dyDescent="0.25">
      <c r="A5324" t="s">
        <v>13</v>
      </c>
      <c r="B5324" s="1">
        <v>44994</v>
      </c>
      <c r="C5324">
        <v>4958.8798829999996</v>
      </c>
    </row>
    <row r="5325" spans="1:3" x14ac:dyDescent="0.25">
      <c r="A5325" t="s">
        <v>13</v>
      </c>
      <c r="B5325" s="1">
        <v>44995</v>
      </c>
      <c r="C5325">
        <v>4876.7998049999997</v>
      </c>
    </row>
    <row r="5326" spans="1:3" x14ac:dyDescent="0.25">
      <c r="A5326" t="s">
        <v>13</v>
      </c>
      <c r="B5326" s="1">
        <v>44998</v>
      </c>
      <c r="C5326">
        <v>4771.25</v>
      </c>
    </row>
    <row r="5327" spans="1:3" x14ac:dyDescent="0.25">
      <c r="A5327" t="s">
        <v>13</v>
      </c>
      <c r="B5327" s="1">
        <v>44999</v>
      </c>
      <c r="C5327">
        <v>4824.9902339999999</v>
      </c>
    </row>
    <row r="5328" spans="1:3" x14ac:dyDescent="0.25">
      <c r="A5328" t="s">
        <v>13</v>
      </c>
      <c r="B5328" s="1">
        <v>45000</v>
      </c>
      <c r="C5328">
        <v>4667.2299800000001</v>
      </c>
    </row>
    <row r="5329" spans="1:3" x14ac:dyDescent="0.25">
      <c r="A5329" t="s">
        <v>13</v>
      </c>
      <c r="B5329" s="1">
        <v>45001</v>
      </c>
      <c r="C5329">
        <v>4692.2998049999997</v>
      </c>
    </row>
    <row r="5330" spans="1:3" x14ac:dyDescent="0.25">
      <c r="A5330" t="s">
        <v>13</v>
      </c>
      <c r="B5330" s="1">
        <v>45002</v>
      </c>
      <c r="C5330">
        <v>4619.2700199999999</v>
      </c>
    </row>
    <row r="5331" spans="1:3" x14ac:dyDescent="0.25">
      <c r="A5331" t="s">
        <v>13</v>
      </c>
      <c r="B5331" s="1">
        <v>45005</v>
      </c>
      <c r="C5331">
        <v>4669.080078</v>
      </c>
    </row>
    <row r="5332" spans="1:3" x14ac:dyDescent="0.25">
      <c r="A5332" t="s">
        <v>13</v>
      </c>
      <c r="B5332" s="1">
        <v>45006</v>
      </c>
      <c r="C5332">
        <v>4765.3701170000004</v>
      </c>
    </row>
    <row r="5333" spans="1:3" x14ac:dyDescent="0.25">
      <c r="A5333" t="s">
        <v>13</v>
      </c>
      <c r="B5333" s="1">
        <v>45007</v>
      </c>
      <c r="C5333">
        <v>4735.8500979999999</v>
      </c>
    </row>
    <row r="5334" spans="1:3" x14ac:dyDescent="0.25">
      <c r="A5334" t="s">
        <v>13</v>
      </c>
      <c r="B5334" s="1">
        <v>45008</v>
      </c>
      <c r="C5334">
        <v>4713.3398440000001</v>
      </c>
    </row>
    <row r="5335" spans="1:3" x14ac:dyDescent="0.25">
      <c r="A5335" t="s">
        <v>13</v>
      </c>
      <c r="B5335" s="1">
        <v>45009</v>
      </c>
      <c r="C5335">
        <v>4611.7001950000003</v>
      </c>
    </row>
    <row r="5336" spans="1:3" x14ac:dyDescent="0.25">
      <c r="A5336" t="s">
        <v>13</v>
      </c>
      <c r="B5336" s="1">
        <v>45012</v>
      </c>
      <c r="C5336">
        <v>4644.3701170000004</v>
      </c>
    </row>
    <row r="5337" spans="1:3" x14ac:dyDescent="0.25">
      <c r="A5337" t="s">
        <v>13</v>
      </c>
      <c r="B5337" s="1">
        <v>45013</v>
      </c>
      <c r="C5337">
        <v>4638.919922</v>
      </c>
    </row>
    <row r="5338" spans="1:3" x14ac:dyDescent="0.25">
      <c r="A5338" t="s">
        <v>13</v>
      </c>
      <c r="B5338" s="1">
        <v>45014</v>
      </c>
      <c r="C5338">
        <v>4676.4501950000003</v>
      </c>
    </row>
    <row r="5339" spans="1:3" x14ac:dyDescent="0.25">
      <c r="A5339" t="s">
        <v>13</v>
      </c>
      <c r="B5339" s="1">
        <v>45015</v>
      </c>
      <c r="C5339">
        <v>4749.5297849999997</v>
      </c>
    </row>
    <row r="5340" spans="1:3" x14ac:dyDescent="0.25">
      <c r="A5340" t="s">
        <v>13</v>
      </c>
      <c r="B5340" s="1">
        <v>45016</v>
      </c>
      <c r="C5340">
        <v>4777.6601559999999</v>
      </c>
    </row>
    <row r="5341" spans="1:3" x14ac:dyDescent="0.25">
      <c r="A5341" t="s">
        <v>13</v>
      </c>
      <c r="B5341" s="1">
        <v>45019</v>
      </c>
      <c r="C5341">
        <v>4763.8500979999999</v>
      </c>
    </row>
    <row r="5342" spans="1:3" x14ac:dyDescent="0.25">
      <c r="A5342" t="s">
        <v>13</v>
      </c>
      <c r="B5342" s="1">
        <v>45020</v>
      </c>
      <c r="C5342">
        <v>4781.2597660000001</v>
      </c>
    </row>
    <row r="5343" spans="1:3" x14ac:dyDescent="0.25">
      <c r="A5343" t="s">
        <v>13</v>
      </c>
      <c r="B5343" s="1">
        <v>45021</v>
      </c>
      <c r="C5343">
        <v>4744.4799800000001</v>
      </c>
    </row>
    <row r="5344" spans="1:3" x14ac:dyDescent="0.25">
      <c r="A5344" t="s">
        <v>13</v>
      </c>
      <c r="B5344" s="1">
        <v>45022</v>
      </c>
      <c r="C5344">
        <v>4760.669922</v>
      </c>
    </row>
    <row r="5345" spans="1:3" x14ac:dyDescent="0.25">
      <c r="A5345" t="s">
        <v>13</v>
      </c>
      <c r="B5345" s="1">
        <v>45027</v>
      </c>
      <c r="C5345">
        <v>4816.3398440000001</v>
      </c>
    </row>
    <row r="5346" spans="1:3" x14ac:dyDescent="0.25">
      <c r="A5346" t="s">
        <v>13</v>
      </c>
      <c r="B5346" s="1">
        <v>45028</v>
      </c>
      <c r="C5346">
        <v>4786.0400390000004</v>
      </c>
    </row>
    <row r="5347" spans="1:3" x14ac:dyDescent="0.25">
      <c r="A5347" t="s">
        <v>13</v>
      </c>
      <c r="B5347" s="1">
        <v>45029</v>
      </c>
      <c r="C5347">
        <v>4790.7998049999997</v>
      </c>
    </row>
    <row r="5348" spans="1:3" x14ac:dyDescent="0.25">
      <c r="A5348" t="s">
        <v>13</v>
      </c>
      <c r="B5348" s="1">
        <v>45030</v>
      </c>
      <c r="C5348">
        <v>4821.4799800000001</v>
      </c>
    </row>
    <row r="5349" spans="1:3" x14ac:dyDescent="0.25">
      <c r="A5349" t="s">
        <v>13</v>
      </c>
      <c r="B5349" s="1">
        <v>45033</v>
      </c>
      <c r="C5349">
        <v>4818.25</v>
      </c>
    </row>
    <row r="5350" spans="1:3" x14ac:dyDescent="0.25">
      <c r="A5350" t="s">
        <v>13</v>
      </c>
      <c r="B5350" s="1">
        <v>45034</v>
      </c>
      <c r="C5350">
        <v>4808.4599609999996</v>
      </c>
    </row>
    <row r="5351" spans="1:3" x14ac:dyDescent="0.25">
      <c r="A5351" t="s">
        <v>13</v>
      </c>
      <c r="B5351" s="1">
        <v>45035</v>
      </c>
      <c r="C5351">
        <v>4784.8999020000001</v>
      </c>
    </row>
    <row r="5352" spans="1:3" x14ac:dyDescent="0.25">
      <c r="A5352" t="s">
        <v>13</v>
      </c>
      <c r="B5352" s="1">
        <v>45036</v>
      </c>
      <c r="C5352">
        <v>4751.6899409999996</v>
      </c>
    </row>
    <row r="5353" spans="1:3" x14ac:dyDescent="0.25">
      <c r="A5353" t="s">
        <v>13</v>
      </c>
      <c r="B5353" s="1">
        <v>45037</v>
      </c>
      <c r="C5353">
        <v>4722.4599609999996</v>
      </c>
    </row>
    <row r="5354" spans="1:3" x14ac:dyDescent="0.25">
      <c r="A5354" t="s">
        <v>13</v>
      </c>
      <c r="B5354" s="1">
        <v>45040</v>
      </c>
      <c r="C5354">
        <v>4730.330078</v>
      </c>
    </row>
    <row r="5355" spans="1:3" x14ac:dyDescent="0.25">
      <c r="A5355" t="s">
        <v>13</v>
      </c>
      <c r="B5355" s="1">
        <v>45041</v>
      </c>
      <c r="C5355">
        <v>4720.3398440000001</v>
      </c>
    </row>
    <row r="5356" spans="1:3" x14ac:dyDescent="0.25">
      <c r="A5356" t="s">
        <v>13</v>
      </c>
      <c r="B5356" s="1">
        <v>45042</v>
      </c>
      <c r="C5356">
        <v>4755.9501950000003</v>
      </c>
    </row>
    <row r="5357" spans="1:3" x14ac:dyDescent="0.25">
      <c r="A5357" t="s">
        <v>13</v>
      </c>
      <c r="B5357" s="1">
        <v>45043</v>
      </c>
      <c r="C5357">
        <v>4755.080078</v>
      </c>
    </row>
    <row r="5358" spans="1:3" x14ac:dyDescent="0.25">
      <c r="A5358" t="s">
        <v>13</v>
      </c>
      <c r="B5358" s="1">
        <v>45044</v>
      </c>
      <c r="C5358">
        <v>4749.9902339999999</v>
      </c>
    </row>
    <row r="5359" spans="1:3" x14ac:dyDescent="0.25">
      <c r="A5359" t="s">
        <v>13</v>
      </c>
      <c r="B5359" s="1">
        <v>45048</v>
      </c>
      <c r="C5359">
        <v>4705.5200199999999</v>
      </c>
    </row>
    <row r="5360" spans="1:3" x14ac:dyDescent="0.25">
      <c r="A5360" t="s">
        <v>13</v>
      </c>
      <c r="B5360" s="1">
        <v>45049</v>
      </c>
      <c r="C5360">
        <v>4734.5898440000001</v>
      </c>
    </row>
    <row r="5361" spans="1:3" x14ac:dyDescent="0.25">
      <c r="A5361" t="s">
        <v>13</v>
      </c>
      <c r="B5361" s="1">
        <v>45050</v>
      </c>
      <c r="C5361">
        <v>4707.080078</v>
      </c>
    </row>
    <row r="5362" spans="1:3" x14ac:dyDescent="0.25">
      <c r="A5362" t="s">
        <v>13</v>
      </c>
      <c r="B5362" s="1">
        <v>45051</v>
      </c>
      <c r="C5362">
        <v>4765.0600590000004</v>
      </c>
    </row>
    <row r="5363" spans="1:3" x14ac:dyDescent="0.25">
      <c r="A5363" t="s">
        <v>13</v>
      </c>
      <c r="B5363" s="1">
        <v>45054</v>
      </c>
      <c r="C5363">
        <v>4782.3500979999999</v>
      </c>
    </row>
    <row r="5364" spans="1:3" x14ac:dyDescent="0.25">
      <c r="A5364" t="s">
        <v>13</v>
      </c>
      <c r="B5364" s="1">
        <v>45055</v>
      </c>
      <c r="C5364">
        <v>4719.5297849999997</v>
      </c>
    </row>
    <row r="5365" spans="1:3" x14ac:dyDescent="0.25">
      <c r="A5365" t="s">
        <v>13</v>
      </c>
      <c r="B5365" s="1">
        <v>45056</v>
      </c>
      <c r="C5365">
        <v>4720.5097660000001</v>
      </c>
    </row>
    <row r="5366" spans="1:3" x14ac:dyDescent="0.25">
      <c r="A5366" t="s">
        <v>13</v>
      </c>
      <c r="B5366" s="1">
        <v>45057</v>
      </c>
      <c r="C5366">
        <v>4712.6201170000004</v>
      </c>
    </row>
    <row r="5367" spans="1:3" x14ac:dyDescent="0.25">
      <c r="A5367" t="s">
        <v>13</v>
      </c>
      <c r="B5367" s="1">
        <v>45058</v>
      </c>
      <c r="C5367">
        <v>4694.5898440000001</v>
      </c>
    </row>
    <row r="5368" spans="1:3" x14ac:dyDescent="0.25">
      <c r="A5368" t="s">
        <v>13</v>
      </c>
      <c r="B5368" s="1">
        <v>45061</v>
      </c>
      <c r="C5368">
        <v>4706.419922</v>
      </c>
    </row>
    <row r="5369" spans="1:3" x14ac:dyDescent="0.25">
      <c r="A5369" t="s">
        <v>13</v>
      </c>
      <c r="B5369" s="1">
        <v>45062</v>
      </c>
      <c r="C5369">
        <v>4647.0400390000004</v>
      </c>
    </row>
    <row r="5370" spans="1:3" x14ac:dyDescent="0.25">
      <c r="A5370" t="s">
        <v>13</v>
      </c>
      <c r="B5370" s="1">
        <v>45063</v>
      </c>
      <c r="C5370">
        <v>4631.6601559999999</v>
      </c>
    </row>
    <row r="5371" spans="1:3" x14ac:dyDescent="0.25">
      <c r="A5371" t="s">
        <v>13</v>
      </c>
      <c r="B5371" s="1">
        <v>45065</v>
      </c>
      <c r="C5371">
        <v>4642.7998049999997</v>
      </c>
    </row>
    <row r="5372" spans="1:3" x14ac:dyDescent="0.25">
      <c r="A5372" t="s">
        <v>13</v>
      </c>
      <c r="B5372" s="1">
        <v>45068</v>
      </c>
      <c r="C5372">
        <v>4627.6801759999998</v>
      </c>
    </row>
    <row r="5373" spans="1:3" x14ac:dyDescent="0.25">
      <c r="A5373" t="s">
        <v>13</v>
      </c>
      <c r="B5373" s="1">
        <v>45069</v>
      </c>
      <c r="C5373">
        <v>4627.9399409999996</v>
      </c>
    </row>
    <row r="5374" spans="1:3" x14ac:dyDescent="0.25">
      <c r="A5374" t="s">
        <v>13</v>
      </c>
      <c r="B5374" s="1">
        <v>45070</v>
      </c>
      <c r="C5374">
        <v>4552.8198240000002</v>
      </c>
    </row>
    <row r="5375" spans="1:3" x14ac:dyDescent="0.25">
      <c r="A5375" t="s">
        <v>13</v>
      </c>
      <c r="B5375" s="1">
        <v>45071</v>
      </c>
      <c r="C5375">
        <v>4497.8198240000002</v>
      </c>
    </row>
    <row r="5376" spans="1:3" x14ac:dyDescent="0.25">
      <c r="A5376" t="s">
        <v>13</v>
      </c>
      <c r="B5376" s="1">
        <v>45072</v>
      </c>
      <c r="C5376">
        <v>4542.0297849999997</v>
      </c>
    </row>
    <row r="5377" spans="1:3" x14ac:dyDescent="0.25">
      <c r="A5377" t="s">
        <v>13</v>
      </c>
      <c r="B5377" s="1">
        <v>45075</v>
      </c>
      <c r="C5377">
        <v>4536.6499020000001</v>
      </c>
    </row>
    <row r="5378" spans="1:3" x14ac:dyDescent="0.25">
      <c r="A5378" t="s">
        <v>13</v>
      </c>
      <c r="B5378" s="1">
        <v>45076</v>
      </c>
      <c r="C5378">
        <v>4524.5898440000001</v>
      </c>
    </row>
    <row r="5379" spans="1:3" x14ac:dyDescent="0.25">
      <c r="A5379" t="s">
        <v>13</v>
      </c>
      <c r="B5379" s="1">
        <v>45077</v>
      </c>
      <c r="C5379">
        <v>4463.1000979999999</v>
      </c>
    </row>
    <row r="5380" spans="1:3" x14ac:dyDescent="0.25">
      <c r="A5380" t="s">
        <v>13</v>
      </c>
      <c r="B5380" s="1">
        <v>45078</v>
      </c>
      <c r="C5380">
        <v>4494.75</v>
      </c>
    </row>
    <row r="5381" spans="1:3" x14ac:dyDescent="0.25">
      <c r="A5381" t="s">
        <v>13</v>
      </c>
      <c r="B5381" s="1">
        <v>45079</v>
      </c>
      <c r="C5381">
        <v>4597.7797849999997</v>
      </c>
    </row>
    <row r="5382" spans="1:3" x14ac:dyDescent="0.25">
      <c r="A5382" t="s">
        <v>13</v>
      </c>
      <c r="B5382" s="1">
        <v>45082</v>
      </c>
      <c r="C5382">
        <v>4599.7700199999999</v>
      </c>
    </row>
    <row r="5383" spans="1:3" x14ac:dyDescent="0.25">
      <c r="A5383" t="s">
        <v>13</v>
      </c>
      <c r="B5383" s="1">
        <v>45084</v>
      </c>
      <c r="C5383">
        <v>4618.7202150000003</v>
      </c>
    </row>
    <row r="5384" spans="1:3" x14ac:dyDescent="0.25">
      <c r="A5384" t="s">
        <v>13</v>
      </c>
      <c r="B5384" s="1">
        <v>45085</v>
      </c>
      <c r="C5384">
        <v>4611.2001950000003</v>
      </c>
    </row>
    <row r="5385" spans="1:3" x14ac:dyDescent="0.25">
      <c r="A5385" t="s">
        <v>13</v>
      </c>
      <c r="B5385" s="1">
        <v>45086</v>
      </c>
      <c r="C5385">
        <v>4627.9799800000001</v>
      </c>
    </row>
    <row r="5386" spans="1:3" x14ac:dyDescent="0.25">
      <c r="A5386" t="s">
        <v>13</v>
      </c>
      <c r="B5386" s="1">
        <v>45089</v>
      </c>
      <c r="C5386">
        <v>4629.2402339999999</v>
      </c>
    </row>
    <row r="5387" spans="1:3" x14ac:dyDescent="0.25">
      <c r="A5387" t="s">
        <v>13</v>
      </c>
      <c r="B5387" s="1">
        <v>45090</v>
      </c>
      <c r="C5387">
        <v>4672.5600590000004</v>
      </c>
    </row>
    <row r="5388" spans="1:3" x14ac:dyDescent="0.25">
      <c r="A5388" t="s">
        <v>13</v>
      </c>
      <c r="B5388" s="1">
        <v>45091</v>
      </c>
      <c r="C5388">
        <v>4682.919922</v>
      </c>
    </row>
    <row r="5389" spans="1:3" x14ac:dyDescent="0.25">
      <c r="A5389" t="s">
        <v>13</v>
      </c>
      <c r="B5389" s="1">
        <v>45092</v>
      </c>
      <c r="C5389">
        <v>4665.830078</v>
      </c>
    </row>
    <row r="5390" spans="1:3" x14ac:dyDescent="0.25">
      <c r="A5390" t="s">
        <v>13</v>
      </c>
      <c r="B5390" s="1">
        <v>45093</v>
      </c>
      <c r="C5390">
        <v>4660.7597660000001</v>
      </c>
    </row>
    <row r="5391" spans="1:3" x14ac:dyDescent="0.25">
      <c r="A5391" t="s">
        <v>13</v>
      </c>
      <c r="B5391" s="1">
        <v>45096</v>
      </c>
      <c r="C5391">
        <v>4607.7597660000001</v>
      </c>
    </row>
    <row r="5392" spans="1:3" x14ac:dyDescent="0.25">
      <c r="A5392" t="s">
        <v>13</v>
      </c>
      <c r="B5392" s="1">
        <v>45097</v>
      </c>
      <c r="C5392">
        <v>4526.8500979999999</v>
      </c>
    </row>
    <row r="5393" spans="1:3" x14ac:dyDescent="0.25">
      <c r="A5393" t="s">
        <v>13</v>
      </c>
      <c r="B5393" s="1">
        <v>45098</v>
      </c>
      <c r="C5393">
        <v>4445.9902339999999</v>
      </c>
    </row>
    <row r="5394" spans="1:3" x14ac:dyDescent="0.25">
      <c r="A5394" t="s">
        <v>13</v>
      </c>
      <c r="B5394" s="1">
        <v>45099</v>
      </c>
      <c r="C5394">
        <v>4371.8100590000004</v>
      </c>
    </row>
    <row r="5395" spans="1:3" x14ac:dyDescent="0.25">
      <c r="A5395" t="s">
        <v>13</v>
      </c>
      <c r="B5395" s="1">
        <v>45103</v>
      </c>
      <c r="C5395">
        <v>4371.2998049999997</v>
      </c>
    </row>
    <row r="5396" spans="1:3" x14ac:dyDescent="0.25">
      <c r="A5396" t="s">
        <v>13</v>
      </c>
      <c r="B5396" s="1">
        <v>45104</v>
      </c>
      <c r="C5396">
        <v>4382.0698240000002</v>
      </c>
    </row>
    <row r="5397" spans="1:3" x14ac:dyDescent="0.25">
      <c r="A5397" t="s">
        <v>13</v>
      </c>
      <c r="B5397" s="1">
        <v>45105</v>
      </c>
      <c r="C5397">
        <v>4413.25</v>
      </c>
    </row>
    <row r="5398" spans="1:3" x14ac:dyDescent="0.25">
      <c r="A5398" t="s">
        <v>13</v>
      </c>
      <c r="B5398" s="1">
        <v>45106</v>
      </c>
      <c r="C5398">
        <v>4400.8398440000001</v>
      </c>
    </row>
    <row r="5399" spans="1:3" x14ac:dyDescent="0.25">
      <c r="A5399" t="s">
        <v>13</v>
      </c>
      <c r="B5399" s="1">
        <v>45107</v>
      </c>
      <c r="C5399">
        <v>4419.8701170000004</v>
      </c>
    </row>
    <row r="5400" spans="1:3" x14ac:dyDescent="0.25">
      <c r="A5400" t="s">
        <v>13</v>
      </c>
      <c r="B5400" s="1">
        <v>45110</v>
      </c>
      <c r="C5400">
        <v>4458.4301759999998</v>
      </c>
    </row>
    <row r="5401" spans="1:3" x14ac:dyDescent="0.25">
      <c r="A5401" t="s">
        <v>13</v>
      </c>
      <c r="B5401" s="1">
        <v>45111</v>
      </c>
      <c r="C5401">
        <v>4461.5400390000004</v>
      </c>
    </row>
    <row r="5402" spans="1:3" x14ac:dyDescent="0.25">
      <c r="A5402" t="s">
        <v>13</v>
      </c>
      <c r="B5402" s="1">
        <v>45112</v>
      </c>
      <c r="C5402">
        <v>4433.5898440000001</v>
      </c>
    </row>
    <row r="5403" spans="1:3" x14ac:dyDescent="0.25">
      <c r="A5403" t="s">
        <v>13</v>
      </c>
      <c r="B5403" s="1">
        <v>45113</v>
      </c>
      <c r="C5403">
        <v>4352.2700199999999</v>
      </c>
    </row>
    <row r="5404" spans="1:3" x14ac:dyDescent="0.25">
      <c r="A5404" t="s">
        <v>13</v>
      </c>
      <c r="B5404" s="1">
        <v>45114</v>
      </c>
      <c r="C5404">
        <v>4364.9902339999999</v>
      </c>
    </row>
    <row r="5405" spans="1:3" x14ac:dyDescent="0.25">
      <c r="A5405" t="s">
        <v>13</v>
      </c>
      <c r="B5405" s="1">
        <v>45117</v>
      </c>
      <c r="C5405">
        <v>4355.5498049999997</v>
      </c>
    </row>
    <row r="5406" spans="1:3" x14ac:dyDescent="0.25">
      <c r="A5406" t="s">
        <v>13</v>
      </c>
      <c r="B5406" s="1">
        <v>45118</v>
      </c>
      <c r="C5406">
        <v>4385.3901370000003</v>
      </c>
    </row>
    <row r="5407" spans="1:3" x14ac:dyDescent="0.25">
      <c r="A5407" t="s">
        <v>13</v>
      </c>
      <c r="B5407" s="1">
        <v>45119</v>
      </c>
      <c r="C5407">
        <v>4441.4902339999999</v>
      </c>
    </row>
    <row r="5408" spans="1:3" x14ac:dyDescent="0.25">
      <c r="A5408" t="s">
        <v>13</v>
      </c>
      <c r="B5408" s="1">
        <v>45120</v>
      </c>
      <c r="C5408">
        <v>4467.7597660000001</v>
      </c>
    </row>
    <row r="5409" spans="1:3" x14ac:dyDescent="0.25">
      <c r="A5409" t="s">
        <v>13</v>
      </c>
      <c r="B5409" s="1">
        <v>45121</v>
      </c>
      <c r="C5409">
        <v>4403.7998049999997</v>
      </c>
    </row>
    <row r="5410" spans="1:3" x14ac:dyDescent="0.25">
      <c r="A5410" t="s">
        <v>13</v>
      </c>
      <c r="B5410" s="1">
        <v>45124</v>
      </c>
      <c r="C5410">
        <v>4377.1401370000003</v>
      </c>
    </row>
    <row r="5411" spans="1:3" x14ac:dyDescent="0.25">
      <c r="A5411" t="s">
        <v>13</v>
      </c>
      <c r="B5411" s="1">
        <v>45125</v>
      </c>
      <c r="C5411">
        <v>4410.3398440000001</v>
      </c>
    </row>
    <row r="5412" spans="1:3" x14ac:dyDescent="0.25">
      <c r="A5412" t="s">
        <v>13</v>
      </c>
      <c r="B5412" s="1">
        <v>45126</v>
      </c>
      <c r="C5412">
        <v>4419.2998049999997</v>
      </c>
    </row>
    <row r="5413" spans="1:3" x14ac:dyDescent="0.25">
      <c r="A5413" t="s">
        <v>13</v>
      </c>
      <c r="B5413" s="1">
        <v>45127</v>
      </c>
      <c r="C5413">
        <v>4405.25</v>
      </c>
    </row>
    <row r="5414" spans="1:3" x14ac:dyDescent="0.25">
      <c r="A5414" t="s">
        <v>13</v>
      </c>
      <c r="B5414" s="1">
        <v>45128</v>
      </c>
      <c r="C5414">
        <v>4397.9599609999996</v>
      </c>
    </row>
    <row r="5415" spans="1:3" x14ac:dyDescent="0.25">
      <c r="A5415" t="s">
        <v>13</v>
      </c>
      <c r="B5415" s="1">
        <v>45131</v>
      </c>
      <c r="C5415">
        <v>4412.1401370000003</v>
      </c>
    </row>
    <row r="5416" spans="1:3" x14ac:dyDescent="0.25">
      <c r="A5416" t="s">
        <v>13</v>
      </c>
      <c r="B5416" s="1">
        <v>45132</v>
      </c>
      <c r="C5416">
        <v>4479.5200199999999</v>
      </c>
    </row>
    <row r="5417" spans="1:3" x14ac:dyDescent="0.25">
      <c r="A5417" t="s">
        <v>13</v>
      </c>
      <c r="B5417" s="1">
        <v>45133</v>
      </c>
      <c r="C5417">
        <v>4437.669922</v>
      </c>
    </row>
    <row r="5418" spans="1:3" x14ac:dyDescent="0.25">
      <c r="A5418" t="s">
        <v>13</v>
      </c>
      <c r="B5418" s="1">
        <v>45134</v>
      </c>
      <c r="C5418">
        <v>4384.2900390000004</v>
      </c>
    </row>
    <row r="5419" spans="1:3" x14ac:dyDescent="0.25">
      <c r="A5419" t="s">
        <v>13</v>
      </c>
      <c r="B5419" s="1">
        <v>45135</v>
      </c>
      <c r="C5419">
        <v>4385.1298829999996</v>
      </c>
    </row>
    <row r="5420" spans="1:3" x14ac:dyDescent="0.25">
      <c r="A5420" t="s">
        <v>13</v>
      </c>
      <c r="B5420" s="1">
        <v>45138</v>
      </c>
      <c r="C5420">
        <v>4388.2402339999999</v>
      </c>
    </row>
    <row r="5421" spans="1:3" x14ac:dyDescent="0.25">
      <c r="A5421" t="s">
        <v>13</v>
      </c>
      <c r="B5421" s="1">
        <v>45139</v>
      </c>
      <c r="C5421">
        <v>4376.3398440000001</v>
      </c>
    </row>
    <row r="5422" spans="1:3" x14ac:dyDescent="0.25">
      <c r="A5422" t="s">
        <v>13</v>
      </c>
      <c r="B5422" s="1">
        <v>45140</v>
      </c>
      <c r="C5422">
        <v>4309.4101559999999</v>
      </c>
    </row>
    <row r="5423" spans="1:3" x14ac:dyDescent="0.25">
      <c r="A5423" t="s">
        <v>13</v>
      </c>
      <c r="B5423" s="1">
        <v>45141</v>
      </c>
      <c r="C5423">
        <v>4266.4301759999998</v>
      </c>
    </row>
    <row r="5424" spans="1:3" x14ac:dyDescent="0.25">
      <c r="A5424" t="s">
        <v>13</v>
      </c>
      <c r="B5424" s="1">
        <v>45142</v>
      </c>
      <c r="C5424">
        <v>4291.9399409999996</v>
      </c>
    </row>
    <row r="5425" spans="1:3" x14ac:dyDescent="0.25">
      <c r="A5425" t="s">
        <v>13</v>
      </c>
      <c r="B5425" s="1">
        <v>45145</v>
      </c>
      <c r="C5425">
        <v>4298.169922</v>
      </c>
    </row>
    <row r="5426" spans="1:3" x14ac:dyDescent="0.25">
      <c r="A5426" t="s">
        <v>13</v>
      </c>
      <c r="B5426" s="1">
        <v>45146</v>
      </c>
      <c r="C5426">
        <v>4265.7099609999996</v>
      </c>
    </row>
    <row r="5427" spans="1:3" x14ac:dyDescent="0.25">
      <c r="A5427" t="s">
        <v>13</v>
      </c>
      <c r="B5427" s="1">
        <v>45147</v>
      </c>
      <c r="C5427">
        <v>4318.3500979999999</v>
      </c>
    </row>
    <row r="5428" spans="1:3" x14ac:dyDescent="0.25">
      <c r="A5428" t="s">
        <v>13</v>
      </c>
      <c r="B5428" s="1">
        <v>45148</v>
      </c>
      <c r="C5428">
        <v>4349.0498049999997</v>
      </c>
    </row>
    <row r="5429" spans="1:3" x14ac:dyDescent="0.25">
      <c r="A5429" t="s">
        <v>13</v>
      </c>
      <c r="B5429" s="1">
        <v>45149</v>
      </c>
      <c r="C5429">
        <v>4303.8500979999999</v>
      </c>
    </row>
    <row r="5430" spans="1:3" x14ac:dyDescent="0.25">
      <c r="A5430" t="s">
        <v>13</v>
      </c>
      <c r="B5430" s="1">
        <v>45152</v>
      </c>
      <c r="C5430">
        <v>4270.6098629999997</v>
      </c>
    </row>
    <row r="5431" spans="1:3" x14ac:dyDescent="0.25">
      <c r="A5431" t="s">
        <v>13</v>
      </c>
      <c r="B5431" s="1">
        <v>45153</v>
      </c>
      <c r="C5431">
        <v>4246.9501950000003</v>
      </c>
    </row>
    <row r="5432" spans="1:3" x14ac:dyDescent="0.25">
      <c r="A5432" t="s">
        <v>13</v>
      </c>
      <c r="B5432" s="1">
        <v>45154</v>
      </c>
      <c r="C5432">
        <v>4232.5698240000002</v>
      </c>
    </row>
    <row r="5433" spans="1:3" x14ac:dyDescent="0.25">
      <c r="A5433" t="s">
        <v>13</v>
      </c>
      <c r="B5433" s="1">
        <v>45155</v>
      </c>
      <c r="C5433">
        <v>4226.1601559999999</v>
      </c>
    </row>
    <row r="5434" spans="1:3" x14ac:dyDescent="0.25">
      <c r="A5434" t="s">
        <v>13</v>
      </c>
      <c r="B5434" s="1">
        <v>45156</v>
      </c>
      <c r="C5434">
        <v>4209.8798829999996</v>
      </c>
    </row>
    <row r="5435" spans="1:3" x14ac:dyDescent="0.25">
      <c r="A5435" t="s">
        <v>13</v>
      </c>
      <c r="B5435" s="1">
        <v>45159</v>
      </c>
      <c r="C5435">
        <v>4201.6098629999997</v>
      </c>
    </row>
    <row r="5436" spans="1:3" x14ac:dyDescent="0.25">
      <c r="A5436" t="s">
        <v>13</v>
      </c>
      <c r="B5436" s="1">
        <v>45160</v>
      </c>
      <c r="C5436">
        <v>4240.5498049999997</v>
      </c>
    </row>
    <row r="5437" spans="1:3" x14ac:dyDescent="0.25">
      <c r="A5437" t="s">
        <v>13</v>
      </c>
      <c r="B5437" s="1">
        <v>45161</v>
      </c>
      <c r="C5437">
        <v>4252.4399409999996</v>
      </c>
    </row>
    <row r="5438" spans="1:3" x14ac:dyDescent="0.25">
      <c r="A5438" t="s">
        <v>13</v>
      </c>
      <c r="B5438" s="1">
        <v>45162</v>
      </c>
      <c r="C5438">
        <v>4227.1201170000004</v>
      </c>
    </row>
    <row r="5439" spans="1:3" x14ac:dyDescent="0.25">
      <c r="A5439" t="s">
        <v>13</v>
      </c>
      <c r="B5439" s="1">
        <v>45163</v>
      </c>
      <c r="C5439">
        <v>4232.2402339999999</v>
      </c>
    </row>
    <row r="5440" spans="1:3" x14ac:dyDescent="0.25">
      <c r="A5440" t="s">
        <v>13</v>
      </c>
      <c r="B5440" s="1">
        <v>45166</v>
      </c>
      <c r="C5440">
        <v>4294.2099609999996</v>
      </c>
    </row>
    <row r="5441" spans="1:3" x14ac:dyDescent="0.25">
      <c r="A5441" t="s">
        <v>13</v>
      </c>
      <c r="B5441" s="1">
        <v>45167</v>
      </c>
      <c r="C5441">
        <v>4369.6401370000003</v>
      </c>
    </row>
    <row r="5442" spans="1:3" x14ac:dyDescent="0.25">
      <c r="A5442" t="s">
        <v>13</v>
      </c>
      <c r="B5442" s="1">
        <v>45168</v>
      </c>
      <c r="C5442">
        <v>4393.6899409999996</v>
      </c>
    </row>
    <row r="5443" spans="1:3" x14ac:dyDescent="0.25">
      <c r="A5443" t="s">
        <v>13</v>
      </c>
      <c r="B5443" s="1">
        <v>45169</v>
      </c>
      <c r="C5443">
        <v>4378.9599609999996</v>
      </c>
    </row>
    <row r="5444" spans="1:3" x14ac:dyDescent="0.25">
      <c r="A5444" t="s">
        <v>13</v>
      </c>
      <c r="B5444" s="1">
        <v>45170</v>
      </c>
      <c r="C5444">
        <v>4389.1000979999999</v>
      </c>
    </row>
    <row r="5445" spans="1:3" x14ac:dyDescent="0.25">
      <c r="A5445" t="s">
        <v>13</v>
      </c>
      <c r="B5445" s="1">
        <v>45173</v>
      </c>
      <c r="C5445">
        <v>4390.7099609999996</v>
      </c>
    </row>
    <row r="5446" spans="1:3" x14ac:dyDescent="0.25">
      <c r="A5446" t="s">
        <v>13</v>
      </c>
      <c r="B5446" s="1">
        <v>45174</v>
      </c>
      <c r="C5446">
        <v>4383.4301759999998</v>
      </c>
    </row>
    <row r="5447" spans="1:3" x14ac:dyDescent="0.25">
      <c r="A5447" t="s">
        <v>13</v>
      </c>
      <c r="B5447" s="1">
        <v>45175</v>
      </c>
      <c r="C5447">
        <v>4394.5</v>
      </c>
    </row>
    <row r="5448" spans="1:3" x14ac:dyDescent="0.25">
      <c r="A5448" t="s">
        <v>13</v>
      </c>
      <c r="B5448" s="1">
        <v>45176</v>
      </c>
      <c r="C5448">
        <v>4358.0600590000004</v>
      </c>
    </row>
    <row r="5449" spans="1:3" x14ac:dyDescent="0.25">
      <c r="A5449" t="s">
        <v>13</v>
      </c>
      <c r="B5449" s="1">
        <v>45177</v>
      </c>
      <c r="C5449">
        <v>4330.8598629999997</v>
      </c>
    </row>
    <row r="5450" spans="1:3" x14ac:dyDescent="0.25">
      <c r="A5450" t="s">
        <v>13</v>
      </c>
      <c r="B5450" s="1">
        <v>45180</v>
      </c>
      <c r="C5450">
        <v>4377.0498049999997</v>
      </c>
    </row>
    <row r="5451" spans="1:3" x14ac:dyDescent="0.25">
      <c r="A5451" t="s">
        <v>13</v>
      </c>
      <c r="B5451" s="1">
        <v>45181</v>
      </c>
      <c r="C5451">
        <v>4328.6499020000001</v>
      </c>
    </row>
    <row r="5452" spans="1:3" x14ac:dyDescent="0.25">
      <c r="A5452" t="s">
        <v>13</v>
      </c>
      <c r="B5452" s="1">
        <v>45182</v>
      </c>
      <c r="C5452">
        <v>4313.5297849999997</v>
      </c>
    </row>
    <row r="5453" spans="1:3" x14ac:dyDescent="0.25">
      <c r="A5453" t="s">
        <v>13</v>
      </c>
      <c r="B5453" s="1">
        <v>45183</v>
      </c>
      <c r="C5453">
        <v>4400.5400390000004</v>
      </c>
    </row>
    <row r="5454" spans="1:3" x14ac:dyDescent="0.25">
      <c r="A5454" t="s">
        <v>13</v>
      </c>
      <c r="B5454" s="1">
        <v>45184</v>
      </c>
      <c r="C5454">
        <v>4406.4599609999996</v>
      </c>
    </row>
    <row r="5455" spans="1:3" x14ac:dyDescent="0.25">
      <c r="A5455" t="s">
        <v>13</v>
      </c>
      <c r="B5455" s="1">
        <v>45187</v>
      </c>
      <c r="C5455">
        <v>4383.3100590000004</v>
      </c>
    </row>
    <row r="5456" spans="1:3" x14ac:dyDescent="0.25">
      <c r="A5456" t="s">
        <v>13</v>
      </c>
      <c r="B5456" s="1">
        <v>45188</v>
      </c>
      <c r="C5456">
        <v>4369.3701170000004</v>
      </c>
    </row>
    <row r="5457" spans="1:3" x14ac:dyDescent="0.25">
      <c r="A5457" t="s">
        <v>13</v>
      </c>
      <c r="B5457" s="1">
        <v>45189</v>
      </c>
      <c r="C5457">
        <v>4387.0698240000002</v>
      </c>
    </row>
    <row r="5458" spans="1:3" x14ac:dyDescent="0.25">
      <c r="A5458" t="s">
        <v>13</v>
      </c>
      <c r="B5458" s="1">
        <v>45190</v>
      </c>
      <c r="C5458">
        <v>4340.8598629999997</v>
      </c>
    </row>
    <row r="5459" spans="1:3" x14ac:dyDescent="0.25">
      <c r="A5459" t="s">
        <v>13</v>
      </c>
      <c r="B5459" s="1">
        <v>45191</v>
      </c>
      <c r="C5459">
        <v>4326.2402339999999</v>
      </c>
    </row>
    <row r="5460" spans="1:3" x14ac:dyDescent="0.25">
      <c r="A5460" t="s">
        <v>13</v>
      </c>
      <c r="B5460" s="1">
        <v>45194</v>
      </c>
      <c r="C5460">
        <v>4275.4501950000003</v>
      </c>
    </row>
    <row r="5461" spans="1:3" x14ac:dyDescent="0.25">
      <c r="A5461" t="s">
        <v>13</v>
      </c>
      <c r="B5461" s="1">
        <v>45195</v>
      </c>
      <c r="C5461">
        <v>4232.9702150000003</v>
      </c>
    </row>
    <row r="5462" spans="1:3" x14ac:dyDescent="0.25">
      <c r="A5462" t="s">
        <v>13</v>
      </c>
      <c r="B5462" s="1">
        <v>45196</v>
      </c>
      <c r="C5462">
        <v>4215.4501950000003</v>
      </c>
    </row>
    <row r="5463" spans="1:3" x14ac:dyDescent="0.25">
      <c r="A5463" t="s">
        <v>13</v>
      </c>
      <c r="B5463" s="1">
        <v>45197</v>
      </c>
      <c r="C5463">
        <v>4239.419922</v>
      </c>
    </row>
    <row r="5464" spans="1:3" x14ac:dyDescent="0.25">
      <c r="A5464" t="s">
        <v>13</v>
      </c>
      <c r="B5464" s="1">
        <v>45198</v>
      </c>
      <c r="C5464">
        <v>4269.5200199999999</v>
      </c>
    </row>
    <row r="5465" spans="1:3" x14ac:dyDescent="0.25">
      <c r="A5465" t="s">
        <v>13</v>
      </c>
      <c r="B5465" s="1">
        <v>45201</v>
      </c>
      <c r="C5465">
        <v>4221.6801759999998</v>
      </c>
    </row>
    <row r="5466" spans="1:3" x14ac:dyDescent="0.25">
      <c r="A5466" t="s">
        <v>13</v>
      </c>
      <c r="B5466" s="1">
        <v>45202</v>
      </c>
      <c r="C5466">
        <v>4159.9501950000003</v>
      </c>
    </row>
    <row r="5467" spans="1:3" x14ac:dyDescent="0.25">
      <c r="A5467" t="s">
        <v>13</v>
      </c>
      <c r="B5467" s="1">
        <v>45203</v>
      </c>
      <c r="C5467">
        <v>4138.7700199999999</v>
      </c>
    </row>
    <row r="5468" spans="1:3" x14ac:dyDescent="0.25">
      <c r="A5468" t="s">
        <v>13</v>
      </c>
      <c r="B5468" s="1">
        <v>45204</v>
      </c>
      <c r="C5468">
        <v>4135</v>
      </c>
    </row>
    <row r="5469" spans="1:3" x14ac:dyDescent="0.25">
      <c r="A5469" t="s">
        <v>13</v>
      </c>
      <c r="B5469" s="1">
        <v>45205</v>
      </c>
      <c r="C5469">
        <v>4189.6098629999997</v>
      </c>
    </row>
    <row r="5470" spans="1:3" x14ac:dyDescent="0.25">
      <c r="A5470" t="s">
        <v>13</v>
      </c>
      <c r="B5470" s="1">
        <v>45208</v>
      </c>
      <c r="C5470">
        <v>4179.2700199999999</v>
      </c>
    </row>
    <row r="5471" spans="1:3" x14ac:dyDescent="0.25">
      <c r="A5471" t="s">
        <v>13</v>
      </c>
      <c r="B5471" s="1">
        <v>45209</v>
      </c>
      <c r="C5471">
        <v>4274.4702150000003</v>
      </c>
    </row>
    <row r="5472" spans="1:3" x14ac:dyDescent="0.25">
      <c r="A5472" t="s">
        <v>13</v>
      </c>
      <c r="B5472" s="1">
        <v>45210</v>
      </c>
      <c r="C5472">
        <v>4287.1201170000004</v>
      </c>
    </row>
    <row r="5473" spans="1:3" x14ac:dyDescent="0.25">
      <c r="A5473" t="s">
        <v>13</v>
      </c>
      <c r="B5473" s="1">
        <v>45211</v>
      </c>
      <c r="C5473">
        <v>4282.7700199999999</v>
      </c>
    </row>
    <row r="5474" spans="1:3" x14ac:dyDescent="0.25">
      <c r="A5474" t="s">
        <v>13</v>
      </c>
      <c r="B5474" s="1">
        <v>45212</v>
      </c>
      <c r="C5474">
        <v>4247.1401370000003</v>
      </c>
    </row>
    <row r="5475" spans="1:3" x14ac:dyDescent="0.25">
      <c r="A5475" t="s">
        <v>13</v>
      </c>
      <c r="B5475" s="1">
        <v>45215</v>
      </c>
      <c r="C5475">
        <v>4252.1000979999999</v>
      </c>
    </row>
    <row r="5476" spans="1:3" x14ac:dyDescent="0.25">
      <c r="A5476" t="s">
        <v>13</v>
      </c>
      <c r="B5476" s="1">
        <v>45216</v>
      </c>
      <c r="C5476">
        <v>4208.8798829999996</v>
      </c>
    </row>
    <row r="5477" spans="1:3" x14ac:dyDescent="0.25">
      <c r="A5477" t="s">
        <v>13</v>
      </c>
      <c r="B5477" s="1">
        <v>45217</v>
      </c>
      <c r="C5477">
        <v>4147.1499020000001</v>
      </c>
    </row>
    <row r="5478" spans="1:3" x14ac:dyDescent="0.25">
      <c r="A5478" t="s">
        <v>13</v>
      </c>
      <c r="B5478" s="1">
        <v>45218</v>
      </c>
      <c r="C5478">
        <v>4082.530029</v>
      </c>
    </row>
    <row r="5479" spans="1:3" x14ac:dyDescent="0.25">
      <c r="A5479" t="s">
        <v>13</v>
      </c>
      <c r="B5479" s="1">
        <v>45219</v>
      </c>
      <c r="C5479">
        <v>4015.030029</v>
      </c>
    </row>
    <row r="5480" spans="1:3" x14ac:dyDescent="0.25">
      <c r="A5480" t="s">
        <v>13</v>
      </c>
      <c r="B5480" s="1">
        <v>45222</v>
      </c>
      <c r="C5480">
        <v>3982.330078</v>
      </c>
    </row>
    <row r="5481" spans="1:3" x14ac:dyDescent="0.25">
      <c r="A5481" t="s">
        <v>13</v>
      </c>
      <c r="B5481" s="1">
        <v>45223</v>
      </c>
      <c r="C5481">
        <v>4033.6201169999999</v>
      </c>
    </row>
    <row r="5482" spans="1:3" x14ac:dyDescent="0.25">
      <c r="A5482" t="s">
        <v>13</v>
      </c>
      <c r="B5482" s="1">
        <v>45224</v>
      </c>
      <c r="C5482">
        <v>4027.030029</v>
      </c>
    </row>
    <row r="5483" spans="1:3" x14ac:dyDescent="0.25">
      <c r="A5483" t="s">
        <v>13</v>
      </c>
      <c r="B5483" s="1">
        <v>45225</v>
      </c>
      <c r="C5483">
        <v>4053.3798830000001</v>
      </c>
    </row>
    <row r="5484" spans="1:3" x14ac:dyDescent="0.25">
      <c r="A5484" t="s">
        <v>13</v>
      </c>
      <c r="B5484" s="1">
        <v>45226</v>
      </c>
      <c r="C5484">
        <v>4058.3400879999999</v>
      </c>
    </row>
    <row r="5485" spans="1:3" x14ac:dyDescent="0.25">
      <c r="A5485" t="s">
        <v>13</v>
      </c>
      <c r="B5485" s="1">
        <v>45229</v>
      </c>
      <c r="C5485">
        <v>4067.4399410000001</v>
      </c>
    </row>
    <row r="5486" spans="1:3" x14ac:dyDescent="0.25">
      <c r="A5486" t="s">
        <v>13</v>
      </c>
      <c r="B5486" s="1">
        <v>45230</v>
      </c>
      <c r="C5486">
        <v>4118.9101559999999</v>
      </c>
    </row>
    <row r="5487" spans="1:3" x14ac:dyDescent="0.25">
      <c r="A5487" t="s">
        <v>13</v>
      </c>
      <c r="B5487" s="1">
        <v>45231</v>
      </c>
      <c r="C5487">
        <v>4110.2299800000001</v>
      </c>
    </row>
    <row r="5488" spans="1:3" x14ac:dyDescent="0.25">
      <c r="A5488" t="s">
        <v>13</v>
      </c>
      <c r="B5488" s="1">
        <v>45232</v>
      </c>
      <c r="C5488">
        <v>4210.4702150000003</v>
      </c>
    </row>
    <row r="5489" spans="1:3" x14ac:dyDescent="0.25">
      <c r="A5489" t="s">
        <v>13</v>
      </c>
      <c r="B5489" s="1">
        <v>45233</v>
      </c>
      <c r="C5489">
        <v>4241.4399409999996</v>
      </c>
    </row>
    <row r="5490" spans="1:3" x14ac:dyDescent="0.25">
      <c r="A5490" t="s">
        <v>13</v>
      </c>
      <c r="B5490" s="1">
        <v>45236</v>
      </c>
      <c r="C5490">
        <v>4250.5</v>
      </c>
    </row>
    <row r="5491" spans="1:3" x14ac:dyDescent="0.25">
      <c r="A5491" t="s">
        <v>13</v>
      </c>
      <c r="B5491" s="1">
        <v>45237</v>
      </c>
      <c r="C5491">
        <v>4231.1298829999996</v>
      </c>
    </row>
    <row r="5492" spans="1:3" x14ac:dyDescent="0.25">
      <c r="A5492" t="s">
        <v>13</v>
      </c>
      <c r="B5492" s="1">
        <v>45238</v>
      </c>
      <c r="C5492">
        <v>4266.2299800000001</v>
      </c>
    </row>
    <row r="5493" spans="1:3" x14ac:dyDescent="0.25">
      <c r="A5493" t="s">
        <v>13</v>
      </c>
      <c r="B5493" s="1">
        <v>45239</v>
      </c>
      <c r="C5493">
        <v>4309.8999020000001</v>
      </c>
    </row>
    <row r="5494" spans="1:3" x14ac:dyDescent="0.25">
      <c r="A5494" t="s">
        <v>13</v>
      </c>
      <c r="B5494" s="1">
        <v>45240</v>
      </c>
      <c r="C5494">
        <v>4263.0600590000004</v>
      </c>
    </row>
    <row r="5495" spans="1:3" x14ac:dyDescent="0.25">
      <c r="A5495" t="s">
        <v>13</v>
      </c>
      <c r="B5495" s="1">
        <v>45243</v>
      </c>
      <c r="C5495">
        <v>4272.6401370000003</v>
      </c>
    </row>
    <row r="5496" spans="1:3" x14ac:dyDescent="0.25">
      <c r="A5496" t="s">
        <v>13</v>
      </c>
      <c r="B5496" s="1">
        <v>45244</v>
      </c>
      <c r="C5496">
        <v>4356.9902339999999</v>
      </c>
    </row>
    <row r="5497" spans="1:3" x14ac:dyDescent="0.25">
      <c r="A5497" t="s">
        <v>13</v>
      </c>
      <c r="B5497" s="1">
        <v>45245</v>
      </c>
      <c r="C5497">
        <v>4370.25</v>
      </c>
    </row>
    <row r="5498" spans="1:3" x14ac:dyDescent="0.25">
      <c r="A5498" t="s">
        <v>13</v>
      </c>
      <c r="B5498" s="1">
        <v>45246</v>
      </c>
      <c r="C5498">
        <v>4317.5698240000002</v>
      </c>
    </row>
    <row r="5499" spans="1:3" x14ac:dyDescent="0.25">
      <c r="A5499" t="s">
        <v>13</v>
      </c>
      <c r="B5499" s="1">
        <v>45247</v>
      </c>
      <c r="C5499">
        <v>4366.0698240000002</v>
      </c>
    </row>
    <row r="5500" spans="1:3" x14ac:dyDescent="0.25">
      <c r="A5500" t="s">
        <v>13</v>
      </c>
      <c r="B5500" s="1">
        <v>45250</v>
      </c>
      <c r="C5500">
        <v>4369.2001950000003</v>
      </c>
    </row>
    <row r="5501" spans="1:3" x14ac:dyDescent="0.25">
      <c r="A5501" t="s">
        <v>13</v>
      </c>
      <c r="B5501" s="1">
        <v>45251</v>
      </c>
      <c r="C5501">
        <v>4344.5498049999997</v>
      </c>
    </row>
    <row r="5502" spans="1:3" x14ac:dyDescent="0.25">
      <c r="A5502" t="s">
        <v>13</v>
      </c>
      <c r="B5502" s="1">
        <v>45252</v>
      </c>
      <c r="C5502">
        <v>4332.7597660000001</v>
      </c>
    </row>
    <row r="5503" spans="1:3" x14ac:dyDescent="0.25">
      <c r="A5503" t="s">
        <v>13</v>
      </c>
      <c r="B5503" s="1">
        <v>45253</v>
      </c>
      <c r="C5503">
        <v>4354.5</v>
      </c>
    </row>
    <row r="5504" spans="1:3" x14ac:dyDescent="0.25">
      <c r="A5504" t="s">
        <v>13</v>
      </c>
      <c r="B5504" s="1">
        <v>45254</v>
      </c>
      <c r="C5504">
        <v>4356.9599609999996</v>
      </c>
    </row>
    <row r="5505" spans="1:3" x14ac:dyDescent="0.25">
      <c r="A5505" t="s">
        <v>13</v>
      </c>
      <c r="B5505" s="1">
        <v>45257</v>
      </c>
      <c r="C5505">
        <v>4335.7001950000003</v>
      </c>
    </row>
    <row r="5506" spans="1:3" x14ac:dyDescent="0.25">
      <c r="A5506" t="s">
        <v>13</v>
      </c>
      <c r="B5506" s="1">
        <v>45258</v>
      </c>
      <c r="C5506">
        <v>4347.5</v>
      </c>
    </row>
    <row r="5507" spans="1:3" x14ac:dyDescent="0.25">
      <c r="A5507" t="s">
        <v>13</v>
      </c>
      <c r="B5507" s="1">
        <v>45259</v>
      </c>
      <c r="C5507">
        <v>4364.5097660000001</v>
      </c>
    </row>
    <row r="5508" spans="1:3" x14ac:dyDescent="0.25">
      <c r="A5508" t="s">
        <v>13</v>
      </c>
      <c r="B5508" s="1">
        <v>45260</v>
      </c>
      <c r="C5508">
        <v>4379.0097660000001</v>
      </c>
    </row>
    <row r="5509" spans="1:3" x14ac:dyDescent="0.25">
      <c r="A5509" t="s">
        <v>13</v>
      </c>
      <c r="B5509" s="1">
        <v>45261</v>
      </c>
      <c r="C5509">
        <v>4416.6201170000004</v>
      </c>
    </row>
    <row r="5510" spans="1:3" x14ac:dyDescent="0.25">
      <c r="A5510" t="s">
        <v>13</v>
      </c>
      <c r="B5510" s="1">
        <v>45264</v>
      </c>
      <c r="C5510">
        <v>4357.2700199999999</v>
      </c>
    </row>
    <row r="5511" spans="1:3" x14ac:dyDescent="0.25">
      <c r="A5511" t="s">
        <v>13</v>
      </c>
      <c r="B5511" s="1">
        <v>45265</v>
      </c>
      <c r="C5511">
        <v>4347.7001950000003</v>
      </c>
    </row>
    <row r="5512" spans="1:3" x14ac:dyDescent="0.25">
      <c r="A5512" t="s">
        <v>13</v>
      </c>
      <c r="B5512" s="1">
        <v>45266</v>
      </c>
      <c r="C5512">
        <v>4347.7001950000003</v>
      </c>
    </row>
    <row r="5513" spans="1:3" x14ac:dyDescent="0.25">
      <c r="A5513" t="s">
        <v>13</v>
      </c>
      <c r="B5513" s="1">
        <v>45267</v>
      </c>
      <c r="C5513">
        <v>4397.8598629999997</v>
      </c>
    </row>
    <row r="5514" spans="1:3" x14ac:dyDescent="0.25">
      <c r="A5514" t="s">
        <v>13</v>
      </c>
      <c r="B5514" s="1">
        <v>45268</v>
      </c>
      <c r="C5514">
        <v>4442.3500979999999</v>
      </c>
    </row>
    <row r="5515" spans="1:3" x14ac:dyDescent="0.25">
      <c r="A5515" t="s">
        <v>13</v>
      </c>
      <c r="B5515" s="1">
        <v>45271</v>
      </c>
      <c r="C5515">
        <v>4426.4501950000003</v>
      </c>
    </row>
    <row r="5516" spans="1:3" x14ac:dyDescent="0.25">
      <c r="A5516" t="s">
        <v>13</v>
      </c>
      <c r="B5516" s="1">
        <v>45272</v>
      </c>
      <c r="C5516">
        <v>4392.4799800000001</v>
      </c>
    </row>
    <row r="5517" spans="1:3" x14ac:dyDescent="0.25">
      <c r="A5517" t="s">
        <v>13</v>
      </c>
      <c r="B5517" s="1">
        <v>45273</v>
      </c>
      <c r="C5517">
        <v>4367.6401370000003</v>
      </c>
    </row>
    <row r="5518" spans="1:3" x14ac:dyDescent="0.25">
      <c r="A5518" t="s">
        <v>13</v>
      </c>
      <c r="B5518" s="1">
        <v>45274</v>
      </c>
      <c r="C5518">
        <v>4447.2597660000001</v>
      </c>
    </row>
    <row r="5519" spans="1:3" x14ac:dyDescent="0.25">
      <c r="A5519" t="s">
        <v>13</v>
      </c>
      <c r="B5519" s="1">
        <v>45275</v>
      </c>
      <c r="C5519">
        <v>4433.5698240000002</v>
      </c>
    </row>
    <row r="5520" spans="1:3" x14ac:dyDescent="0.25">
      <c r="A5520" t="s">
        <v>13</v>
      </c>
      <c r="B5520" s="1">
        <v>45278</v>
      </c>
      <c r="C5520">
        <v>4444.3500979999999</v>
      </c>
    </row>
    <row r="5521" spans="1:3" x14ac:dyDescent="0.25">
      <c r="A5521" t="s">
        <v>13</v>
      </c>
      <c r="B5521" s="1">
        <v>45279</v>
      </c>
      <c r="C5521">
        <v>4485.8701170000004</v>
      </c>
    </row>
    <row r="5522" spans="1:3" x14ac:dyDescent="0.25">
      <c r="A5522" t="s">
        <v>13</v>
      </c>
      <c r="B5522" s="1">
        <v>45280</v>
      </c>
      <c r="C5522">
        <v>4495.5200199999999</v>
      </c>
    </row>
    <row r="5523" spans="1:3" x14ac:dyDescent="0.25">
      <c r="A5523" t="s">
        <v>13</v>
      </c>
      <c r="B5523" s="1">
        <v>45281</v>
      </c>
      <c r="C5523">
        <v>4478.7099609999996</v>
      </c>
    </row>
    <row r="5524" spans="1:3" x14ac:dyDescent="0.25">
      <c r="A5524" t="s">
        <v>13</v>
      </c>
      <c r="B5524" s="1">
        <v>45282</v>
      </c>
      <c r="C5524">
        <v>4521.3798829999996</v>
      </c>
    </row>
    <row r="5525" spans="1:3" x14ac:dyDescent="0.25">
      <c r="A5525" t="s">
        <v>13</v>
      </c>
      <c r="B5525" s="1">
        <v>45287</v>
      </c>
      <c r="C5525">
        <v>4545.8798829999996</v>
      </c>
    </row>
    <row r="5526" spans="1:3" x14ac:dyDescent="0.25">
      <c r="A5526" t="s">
        <v>13</v>
      </c>
      <c r="B5526" s="1">
        <v>45288</v>
      </c>
      <c r="C5526">
        <v>4529.2402339999999</v>
      </c>
    </row>
    <row r="5527" spans="1:3" x14ac:dyDescent="0.25">
      <c r="A5527" t="s">
        <v>13</v>
      </c>
      <c r="B5527" s="1">
        <v>45289</v>
      </c>
      <c r="C5527">
        <v>4515.9702150000003</v>
      </c>
    </row>
    <row r="5528" spans="1:3" x14ac:dyDescent="0.25">
      <c r="A5528" t="s">
        <v>13</v>
      </c>
      <c r="B5528" s="1">
        <v>45293</v>
      </c>
      <c r="C5528">
        <v>4537.0498049999997</v>
      </c>
    </row>
    <row r="5529" spans="1:3" x14ac:dyDescent="0.25">
      <c r="A5529" t="s">
        <v>13</v>
      </c>
      <c r="B5529" s="1">
        <v>45294</v>
      </c>
      <c r="C5529">
        <v>4486.0200199999999</v>
      </c>
    </row>
    <row r="5530" spans="1:3" x14ac:dyDescent="0.25">
      <c r="A5530" t="s">
        <v>13</v>
      </c>
      <c r="B5530" s="1">
        <v>45295</v>
      </c>
      <c r="C5530">
        <v>4555.4399409999996</v>
      </c>
    </row>
    <row r="5531" spans="1:3" x14ac:dyDescent="0.25">
      <c r="A5531" t="s">
        <v>13</v>
      </c>
      <c r="B5531" s="1">
        <v>45296</v>
      </c>
      <c r="C5531">
        <v>4577.7998049999997</v>
      </c>
    </row>
    <row r="5532" spans="1:3" x14ac:dyDescent="0.25">
      <c r="A5532" t="s">
        <v>13</v>
      </c>
      <c r="B5532" s="1">
        <v>45299</v>
      </c>
      <c r="C5532">
        <v>4585.7900390000004</v>
      </c>
    </row>
    <row r="5533" spans="1:3" x14ac:dyDescent="0.25">
      <c r="A5533" t="s">
        <v>13</v>
      </c>
      <c r="B5533" s="1">
        <v>45300</v>
      </c>
      <c r="C5533">
        <v>4563.0200199999999</v>
      </c>
    </row>
    <row r="5534" spans="1:3" x14ac:dyDescent="0.25">
      <c r="A5534" t="s">
        <v>13</v>
      </c>
      <c r="B5534" s="1">
        <v>45301</v>
      </c>
      <c r="C5534">
        <v>4550.5498049999997</v>
      </c>
    </row>
    <row r="5535" spans="1:3" x14ac:dyDescent="0.25">
      <c r="A5535" t="s">
        <v>13</v>
      </c>
      <c r="B5535" s="1">
        <v>45302</v>
      </c>
      <c r="C5535">
        <v>4527.8999020000001</v>
      </c>
    </row>
    <row r="5536" spans="1:3" x14ac:dyDescent="0.25">
      <c r="A5536" t="s">
        <v>13</v>
      </c>
      <c r="B5536" s="1">
        <v>45303</v>
      </c>
      <c r="C5536">
        <v>4569.3100590000004</v>
      </c>
    </row>
    <row r="5537" spans="1:3" x14ac:dyDescent="0.25">
      <c r="A5537" t="s">
        <v>13</v>
      </c>
      <c r="B5537" s="1">
        <v>45306</v>
      </c>
      <c r="C5537">
        <v>4558.330078</v>
      </c>
    </row>
    <row r="5538" spans="1:3" x14ac:dyDescent="0.25">
      <c r="A5538" t="s">
        <v>13</v>
      </c>
      <c r="B5538" s="1">
        <v>45307</v>
      </c>
      <c r="C5538">
        <v>4540.8198240000002</v>
      </c>
    </row>
    <row r="5539" spans="1:3" x14ac:dyDescent="0.25">
      <c r="A5539" t="s">
        <v>13</v>
      </c>
      <c r="B5539" s="1">
        <v>45308</v>
      </c>
      <c r="C5539">
        <v>4461.7700199999999</v>
      </c>
    </row>
    <row r="5540" spans="1:3" x14ac:dyDescent="0.25">
      <c r="A5540" t="s">
        <v>13</v>
      </c>
      <c r="B5540" s="1">
        <v>45309</v>
      </c>
      <c r="C5540">
        <v>4454.7402339999999</v>
      </c>
    </row>
    <row r="5541" spans="1:3" x14ac:dyDescent="0.25">
      <c r="A5541" t="s">
        <v>13</v>
      </c>
      <c r="B5541" s="1">
        <v>45310</v>
      </c>
      <c r="C5541">
        <v>4395.4501950000003</v>
      </c>
    </row>
    <row r="5542" spans="1:3" x14ac:dyDescent="0.25">
      <c r="A5542" t="s">
        <v>13</v>
      </c>
      <c r="B5542" s="1">
        <v>45313</v>
      </c>
      <c r="C5542">
        <v>4424.4501950000003</v>
      </c>
    </row>
    <row r="5543" spans="1:3" x14ac:dyDescent="0.25">
      <c r="A5543" t="s">
        <v>13</v>
      </c>
      <c r="B5543" s="1">
        <v>45314</v>
      </c>
      <c r="C5543">
        <v>4449.1298829999996</v>
      </c>
    </row>
    <row r="5544" spans="1:3" x14ac:dyDescent="0.25">
      <c r="A5544" t="s">
        <v>13</v>
      </c>
      <c r="B5544" s="1">
        <v>45315</v>
      </c>
      <c r="C5544">
        <v>4489.4799800000001</v>
      </c>
    </row>
    <row r="5545" spans="1:3" x14ac:dyDescent="0.25">
      <c r="A5545" t="s">
        <v>13</v>
      </c>
      <c r="B5545" s="1">
        <v>45316</v>
      </c>
      <c r="C5545">
        <v>4542.0498049999997</v>
      </c>
    </row>
    <row r="5546" spans="1:3" x14ac:dyDescent="0.25">
      <c r="A5546" t="s">
        <v>13</v>
      </c>
      <c r="B5546" s="1">
        <v>45317</v>
      </c>
      <c r="C5546">
        <v>4583.5498049999997</v>
      </c>
    </row>
    <row r="5547" spans="1:3" x14ac:dyDescent="0.25">
      <c r="A5547" t="s">
        <v>13</v>
      </c>
      <c r="B5547" s="1">
        <v>45320</v>
      </c>
      <c r="C5547">
        <v>4582.5600590000004</v>
      </c>
    </row>
    <row r="5548" spans="1:3" x14ac:dyDescent="0.25">
      <c r="A5548" t="s">
        <v>13</v>
      </c>
      <c r="B5548" s="1">
        <v>45321</v>
      </c>
      <c r="C5548">
        <v>4556.0698240000002</v>
      </c>
    </row>
    <row r="5549" spans="1:3" x14ac:dyDescent="0.25">
      <c r="A5549" t="s">
        <v>13</v>
      </c>
      <c r="B5549" s="1">
        <v>45322</v>
      </c>
      <c r="C5549">
        <v>4548.7900390000004</v>
      </c>
    </row>
    <row r="5550" spans="1:3" x14ac:dyDescent="0.25">
      <c r="A5550" t="s">
        <v>13</v>
      </c>
      <c r="B5550" s="1">
        <v>45323</v>
      </c>
      <c r="C5550">
        <v>4485.8701170000004</v>
      </c>
    </row>
    <row r="5551" spans="1:3" x14ac:dyDescent="0.25">
      <c r="A5551" t="s">
        <v>13</v>
      </c>
      <c r="B5551" s="1">
        <v>45324</v>
      </c>
      <c r="C5551">
        <v>4479.5297849999997</v>
      </c>
    </row>
    <row r="5552" spans="1:3" x14ac:dyDescent="0.25">
      <c r="A5552" t="s">
        <v>13</v>
      </c>
      <c r="B5552" s="1">
        <v>45327</v>
      </c>
      <c r="C5552">
        <v>4433.8701170000004</v>
      </c>
    </row>
    <row r="5553" spans="1:3" x14ac:dyDescent="0.25">
      <c r="A5553" t="s">
        <v>13</v>
      </c>
      <c r="B5553" s="1">
        <v>45328</v>
      </c>
      <c r="C5553">
        <v>4458.2700199999999</v>
      </c>
    </row>
    <row r="5554" spans="1:3" x14ac:dyDescent="0.25">
      <c r="A5554" t="s">
        <v>13</v>
      </c>
      <c r="B5554" s="1">
        <v>45329</v>
      </c>
      <c r="C5554">
        <v>4443.0200199999999</v>
      </c>
    </row>
    <row r="5555" spans="1:3" x14ac:dyDescent="0.25">
      <c r="A5555" t="s">
        <v>13</v>
      </c>
      <c r="B5555" s="1">
        <v>45330</v>
      </c>
      <c r="C5555">
        <v>4416.7001950000003</v>
      </c>
    </row>
    <row r="5556" spans="1:3" x14ac:dyDescent="0.25">
      <c r="A5556" t="s">
        <v>13</v>
      </c>
      <c r="B5556" s="1">
        <v>45331</v>
      </c>
      <c r="C5556">
        <v>4388.75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9256-7374-480B-8626-499520D8A745}">
  <sheetPr codeName="Sheet5"/>
  <dimension ref="A1"/>
  <sheetViews>
    <sheetView workbookViewId="0">
      <selection activeCell="V9" sqref="V9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7609D9-F7D7-49B0-BB54-DD001B6F6A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Sheet6</vt:lpstr>
      <vt:lpstr>Sheet4</vt:lpstr>
      <vt:lpstr>Covariance</vt:lpstr>
      <vt:lpstr>investment</vt:lpstr>
      <vt:lpstr>scatters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Durbar Partha</dc:creator>
  <cp:lastModifiedBy>Durbar Partha</cp:lastModifiedBy>
  <dcterms:created xsi:type="dcterms:W3CDTF">2024-02-11T16:44:36Z</dcterms:created>
  <dcterms:modified xsi:type="dcterms:W3CDTF">2024-02-11T20:53:56Z</dcterms:modified>
</cp:coreProperties>
</file>